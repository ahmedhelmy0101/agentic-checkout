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pplied" sheetId="2" state="visible" r:id="rId4"/>
    <sheet name="Excluded" sheetId="3" state="visible" r:id="rId5"/>
    <sheet name="Skipped" sheetId="4" state="visible" r:id="rId6"/>
    <sheet name="Deleted" sheetId="5" state="visible" r:id="rId7"/>
  </sheets>
  <definedNames>
    <definedName function="false" hidden="true" localSheetId="1" name="_xlnm._FilterDatabase" vbProcedure="false">Applied!$A$1:$I$1186</definedName>
    <definedName function="false" hidden="true" localSheetId="4" name="_xlnm._FilterDatabase" vbProcedure="false">Deleted!$A$1:$E$12</definedName>
    <definedName function="false" hidden="true" localSheetId="2" name="_xlnm._FilterDatabase" vbProcedure="false">Excluded!$A$1:$D$53</definedName>
    <definedName function="false" hidden="true" localSheetId="3" name="_xlnm._FilterDatabase" vbProcedure="false">Skipped!$A$1:$F$21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<sst xmlns="http://schemas.openxmlformats.org/spreadsheetml/2006/main" count="5004" uniqueCount="1431">
  <si>
    <t xml:space="preserve">Price Changes Applied – 23/24 Oct 2026</t>
  </si>
  <si>
    <t xml:space="preserve">Store</t>
  </si>
  <si>
    <t xml:space="preserve">Tamwenat Elzekrayat (Shopify)</t>
  </si>
  <si>
    <t xml:space="preserve">Reason</t>
  </si>
  <si>
    <t xml:space="preserve">SAR→EGP 12.5 → 14.74 (+17.92%)</t>
  </si>
  <si>
    <t xml:space="preserve">Group increases</t>
  </si>
  <si>
    <t xml:space="preserve">G1 22% · G2 18% · G3 16% · G4 15% · G5 2% · Keef elmosafer = fixed prices</t>
  </si>
  <si>
    <t xml:space="preserve">Variants updated</t>
  </si>
  <si>
    <t xml:space="preserve">Average change % (per item)</t>
  </si>
  <si>
    <t xml:space="preserve">Excluded variants</t>
  </si>
  <si>
    <t xml:space="preserve">Skipped products</t>
  </si>
  <si>
    <t xml:space="preserve">Deleted products</t>
  </si>
  <si>
    <t xml:space="preserve">Rollback</t>
  </si>
  <si>
    <t xml:space="preserve">Old prices are in the Applied sheet and in reports/price_change_2026-10-23_rollback.json</t>
  </si>
  <si>
    <t xml:space="preserve">Product</t>
  </si>
  <si>
    <t xml:space="preserve">Variant</t>
  </si>
  <si>
    <t xml:space="preserve">Type</t>
  </si>
  <si>
    <t xml:space="preserve">Price Group</t>
  </si>
  <si>
    <t xml:space="preserve">Old Price (EGP)</t>
  </si>
  <si>
    <t xml:space="preserve">New Price (EGP)</t>
  </si>
  <si>
    <t xml:space="preserve">Change (EGP)</t>
  </si>
  <si>
    <t xml:space="preserve">Change %</t>
  </si>
  <si>
    <t xml:space="preserve">Oman Chips spicy small pack</t>
  </si>
  <si>
    <t xml:space="preserve">-</t>
  </si>
  <si>
    <t xml:space="preserve">Single</t>
  </si>
  <si>
    <t xml:space="preserve">Price-sensitive best seller (frequent, cheap, high margin) – protect price image</t>
  </si>
  <si>
    <t xml:space="preserve">Gandour Mastic Gum, One Piece, 2.7 Grams</t>
  </si>
  <si>
    <t xml:space="preserve">Slow mover / long tail – low price sensitivity</t>
  </si>
  <si>
    <t xml:space="preserve">Ghandour MESTEKA Gum 6 Pcs Pack</t>
  </si>
  <si>
    <t xml:space="preserve">Mirinda citrus</t>
  </si>
  <si>
    <t xml:space="preserve">Core seller, medium margin (40%)</t>
  </si>
  <si>
    <t xml:space="preserve">zamzam water 330ml</t>
  </si>
  <si>
    <t xml:space="preserve">Top revenue item with healthy margin</t>
  </si>
  <si>
    <t xml:space="preserve">Zamzam water</t>
  </si>
  <si>
    <t xml:space="preserve">5 liters without cartoon</t>
  </si>
  <si>
    <t xml:space="preserve">5 liters with cartoon</t>
  </si>
  <si>
    <t xml:space="preserve">200 ml</t>
  </si>
  <si>
    <t xml:space="preserve">Ulker choco sandwich</t>
  </si>
  <si>
    <t xml:space="preserve">Core seller with healthy margin</t>
  </si>
  <si>
    <t xml:space="preserve">Millionaire cheese corn</t>
  </si>
  <si>
    <t xml:space="preserve">Shani</t>
  </si>
  <si>
    <t xml:space="preserve">cheetos har nar</t>
  </si>
  <si>
    <t xml:space="preserve">batook mistic gum 1 pack</t>
  </si>
  <si>
    <t xml:space="preserve">nescafe arabiana with Cardamom 1 pac 30g</t>
  </si>
  <si>
    <t xml:space="preserve">Core seller, medium margin (37%)</t>
  </si>
  <si>
    <t xml:space="preserve">kinza citrus</t>
  </si>
  <si>
    <t xml:space="preserve">SOHAR chipsy 13g</t>
  </si>
  <si>
    <t xml:space="preserve">chicken sticks Chips vegetables</t>
  </si>
  <si>
    <t xml:space="preserve">ghandour cherry lolli pop</t>
  </si>
  <si>
    <t xml:space="preserve">snack shrimp Flavored</t>
  </si>
  <si>
    <t xml:space="preserve">quavers small</t>
  </si>
  <si>
    <t xml:space="preserve">Core seller, medium margin (28%)</t>
  </si>
  <si>
    <t xml:space="preserve">nescafe arabiana with Cardamom 1 pac 3 gm</t>
  </si>
  <si>
    <t xml:space="preserve">ice cream Elsaudia</t>
  </si>
  <si>
    <t xml:space="preserve">Pofak Oman Cheese Flavour</t>
  </si>
  <si>
    <t xml:space="preserve">Fish Fash</t>
  </si>
  <si>
    <t xml:space="preserve">tasali ketchup small</t>
  </si>
  <si>
    <t xml:space="preserve">lays spicy small 11 g</t>
  </si>
  <si>
    <t xml:space="preserve">Saudi pepsi</t>
  </si>
  <si>
    <t xml:space="preserve">Oman Chips Spicy medium pack 50 gm</t>
  </si>
  <si>
    <t xml:space="preserve">Indian Crackers White</t>
  </si>
  <si>
    <t xml:space="preserve">cheetos har nar Family size</t>
  </si>
  <si>
    <t xml:space="preserve">lays spicy family size</t>
  </si>
  <si>
    <t xml:space="preserve">Zamzam corn</t>
  </si>
  <si>
    <t xml:space="preserve">Marukawa Grape Bubble Gum</t>
  </si>
  <si>
    <t xml:space="preserve">jelly pop 1 pcs</t>
  </si>
  <si>
    <t xml:space="preserve">kdd chocolate low fat</t>
  </si>
  <si>
    <t xml:space="preserve">Dobbi</t>
  </si>
  <si>
    <t xml:space="preserve">Miska Gum 1 Pack Of 8 Pcs</t>
  </si>
  <si>
    <t xml:space="preserve">glasses choco</t>
  </si>
  <si>
    <t xml:space="preserve">Bufak Fico</t>
  </si>
  <si>
    <t xml:space="preserve">necklace candy</t>
  </si>
  <si>
    <t xml:space="preserve">TOTTI fruiti</t>
  </si>
  <si>
    <t xml:space="preserve">ulker chocolate</t>
  </si>
  <si>
    <t xml:space="preserve">Core seller, medium margin (34%)</t>
  </si>
  <si>
    <t xml:space="preserve">crispy Salt &amp; vinegar</t>
  </si>
  <si>
    <t xml:space="preserve">Elsaudia milk</t>
  </si>
  <si>
    <t xml:space="preserve">Lay's French Cheese small</t>
  </si>
  <si>
    <t xml:space="preserve">salata chipsy</t>
  </si>
  <si>
    <t xml:space="preserve">Saudi Indomie (special chicken)</t>
  </si>
  <si>
    <t xml:space="preserve">lays salt small</t>
  </si>
  <si>
    <t xml:space="preserve">toffo nestle</t>
  </si>
  <si>
    <t xml:space="preserve">Pakistani noodles</t>
  </si>
  <si>
    <t xml:space="preserve">kat kat Ulker chocolate</t>
  </si>
  <si>
    <t xml:space="preserve">raja vegetables</t>
  </si>
  <si>
    <t xml:space="preserve">lays ketchup small 25gm</t>
  </si>
  <si>
    <t xml:space="preserve">Siip Corn Snack (roasted corn)</t>
  </si>
  <si>
    <t xml:space="preserve">Tarazan Chipsy</t>
  </si>
  <si>
    <t xml:space="preserve">bifa soft</t>
  </si>
  <si>
    <t xml:space="preserve">Low margin (15%)</t>
  </si>
  <si>
    <t xml:space="preserve">fruit candy</t>
  </si>
  <si>
    <t xml:space="preserve">Saudi Indomie (vegetables)</t>
  </si>
  <si>
    <t xml:space="preserve">salted peanuts</t>
  </si>
  <si>
    <t xml:space="preserve">siip corn snack (cheese)</t>
  </si>
  <si>
    <t xml:space="preserve">kat kat Ulker chocolate 18g</t>
  </si>
  <si>
    <t xml:space="preserve">Saudi Indomie (hot &amp; spicy fried noodles)</t>
  </si>
  <si>
    <t xml:space="preserve">Marami Spicy Flavor</t>
  </si>
  <si>
    <t xml:space="preserve">freeze dried whole strawberries 50g</t>
  </si>
  <si>
    <t xml:space="preserve">kinza cola</t>
  </si>
  <si>
    <t xml:space="preserve">Abu Qous (capsules)</t>
  </si>
  <si>
    <t xml:space="preserve">sun cola</t>
  </si>
  <si>
    <t xml:space="preserve">Core seller, medium margin (38%)</t>
  </si>
  <si>
    <t xml:space="preserve">KDD (chocolate)</t>
  </si>
  <si>
    <t xml:space="preserve">Lollita 1 pc</t>
  </si>
  <si>
    <t xml:space="preserve">Batook Mint Gum</t>
  </si>
  <si>
    <t xml:space="preserve">happy mistic gum</t>
  </si>
  <si>
    <t xml:space="preserve">crispy ABC ketchup flavor M-pack</t>
  </si>
  <si>
    <t xml:space="preserve">Saudi Indomie (fried noodles)</t>
  </si>
  <si>
    <t xml:space="preserve">Brush Lollipop (Borgat) 1 Pc</t>
  </si>
  <si>
    <t xml:space="preserve">cheetos har nar 65g</t>
  </si>
  <si>
    <t xml:space="preserve">marami ketchup Flavor</t>
  </si>
  <si>
    <t xml:space="preserve">keef elmosafer with cardamom 5 gm</t>
  </si>
  <si>
    <t xml:space="preserve">Fixed</t>
  </si>
  <si>
    <t xml:space="preserve">New price set by user – price drop due to high competition</t>
  </si>
  <si>
    <t xml:space="preserve">Heart lollipop (borgat) 1 pc.</t>
  </si>
  <si>
    <t xml:space="preserve">Ring Candy Original</t>
  </si>
  <si>
    <t xml:space="preserve">Saudi Indomie (red chili fried noodles)</t>
  </si>
  <si>
    <t xml:space="preserve">7 days croissant chocolate</t>
  </si>
  <si>
    <t xml:space="preserve">oman chips Family Size</t>
  </si>
  <si>
    <t xml:space="preserve">chocolate safari</t>
  </si>
  <si>
    <t xml:space="preserve">Saudi Indomie (chicken curry)</t>
  </si>
  <si>
    <t xml:space="preserve">Saudi Indomie (green chili fried noodles)</t>
  </si>
  <si>
    <t xml:space="preserve">CRIC CRAC special flavor</t>
  </si>
  <si>
    <t xml:space="preserve">Alrabee Orange Juice 125 Ml</t>
  </si>
  <si>
    <t xml:space="preserve">Elsaudia chocolate milk 200ml</t>
  </si>
  <si>
    <t xml:space="preserve">indomie spicy fried noodles black</t>
  </si>
  <si>
    <t xml:space="preserve">Extreme.z strawberry</t>
  </si>
  <si>
    <t xml:space="preserve">Albatal Spicy</t>
  </si>
  <si>
    <t xml:space="preserve">Rana Hot Sauce 100ml</t>
  </si>
  <si>
    <t xml:space="preserve">Core seller, medium margin (35%)</t>
  </si>
  <si>
    <t xml:space="preserve">Ulker Sticks</t>
  </si>
  <si>
    <t xml:space="preserve">tufi luk chocolate</t>
  </si>
  <si>
    <t xml:space="preserve">Batook Cardamon Gum</t>
  </si>
  <si>
    <t xml:space="preserve">triplex caramel biscuit</t>
  </si>
  <si>
    <t xml:space="preserve">Low margin (24%)</t>
  </si>
  <si>
    <t xml:space="preserve">indomie vegetable flavour cup</t>
  </si>
  <si>
    <t xml:space="preserve">indofood Sumatra hot sauce 140 ml</t>
  </si>
  <si>
    <t xml:space="preserve">Marami Chicken</t>
  </si>
  <si>
    <t xml:space="preserve">abu Walad biscuit</t>
  </si>
  <si>
    <t xml:space="preserve">hazelnut wafer (Kras)</t>
  </si>
  <si>
    <t xml:space="preserve">vegetable Potato's chips</t>
  </si>
  <si>
    <t xml:space="preserve">snek ku mi-mi chicken flavor</t>
  </si>
  <si>
    <t xml:space="preserve">lays maxx mexican chili 60g</t>
  </si>
  <si>
    <t xml:space="preserve">Chicken Sticks Spicy</t>
  </si>
  <si>
    <t xml:space="preserve">chanachur crispy</t>
  </si>
  <si>
    <t xml:space="preserve">Cherry Lollipop</t>
  </si>
  <si>
    <t xml:space="preserve">chiplets ketchup</t>
  </si>
  <si>
    <t xml:space="preserve">mastic</t>
  </si>
  <si>
    <t xml:space="preserve">raja ketchup</t>
  </si>
  <si>
    <t xml:space="preserve">sun ring cheese flavor</t>
  </si>
  <si>
    <t xml:space="preserve">borgat cherry Lolli pop</t>
  </si>
  <si>
    <t xml:space="preserve">CRIC CRAC ketchup flavor</t>
  </si>
  <si>
    <t xml:space="preserve">TOTTI Fruiti hearts</t>
  </si>
  <si>
    <t xml:space="preserve">keef elmosafer with Saffron 30 gm</t>
  </si>
  <si>
    <t xml:space="preserve">keef elmosafer with cardamom 30 gm</t>
  </si>
  <si>
    <t xml:space="preserve">Fairco Hot Stix</t>
  </si>
  <si>
    <t xml:space="preserve">seno choco cream</t>
  </si>
  <si>
    <t xml:space="preserve">marami BBQ flavor</t>
  </si>
  <si>
    <t xml:space="preserve">Abu Qous (Heel Flavor)</t>
  </si>
  <si>
    <t xml:space="preserve">indian red crackers large pack</t>
  </si>
  <si>
    <t xml:space="preserve">Ice cream toy</t>
  </si>
  <si>
    <t xml:space="preserve">borgat gummy raspderry &amp; blackberry</t>
  </si>
  <si>
    <t xml:space="preserve">Crispy ABC Family Ketchup</t>
  </si>
  <si>
    <t xml:space="preserve">Fairco Salted Sticks</t>
  </si>
  <si>
    <t xml:space="preserve">Pofak Oman family Cheese Flavour</t>
  </si>
  <si>
    <t xml:space="preserve">Core seller, medium margin (33%)</t>
  </si>
  <si>
    <t xml:space="preserve">Rabea Karak Tea With Cardamom 1 pc</t>
  </si>
  <si>
    <t xml:space="preserve">triangular wafer</t>
  </si>
  <si>
    <t xml:space="preserve">vegetables Biscuits</t>
  </si>
  <si>
    <t xml:space="preserve">Baja Arabic coffee with cardamom</t>
  </si>
  <si>
    <t xml:space="preserve">Core seller, medium margin (32%)</t>
  </si>
  <si>
    <t xml:space="preserve">7 Days Cake Chocolate With Vanilla Cream</t>
  </si>
  <si>
    <t xml:space="preserve">push pop lollipop 1pics</t>
  </si>
  <si>
    <t xml:space="preserve">Caramel Log</t>
  </si>
  <si>
    <t xml:space="preserve">Momo Dy Corn Fingers cheese</t>
  </si>
  <si>
    <t xml:space="preserve">abu qous</t>
  </si>
  <si>
    <t xml:space="preserve">Low margin (8%)</t>
  </si>
  <si>
    <t xml:space="preserve">Mistika Gum (Miska)</t>
  </si>
  <si>
    <t xml:space="preserve">Saudi Indomie (vegetables) 5pc</t>
  </si>
  <si>
    <t xml:space="preserve">Wholesale</t>
  </si>
  <si>
    <t xml:space="preserve">Wholesale – same group as its single "Saudi Indomie (vegetables)"</t>
  </si>
  <si>
    <t xml:space="preserve">marami vinegar flavor</t>
  </si>
  <si>
    <t xml:space="preserve">Sun Rings Onion Flavor</t>
  </si>
  <si>
    <t xml:space="preserve">ritz biscuits</t>
  </si>
  <si>
    <t xml:space="preserve">Lay's French Cheese Family size</t>
  </si>
  <si>
    <t xml:space="preserve">Core seller, medium margin (31%)</t>
  </si>
  <si>
    <t xml:space="preserve">sun top orange ( egyptian product )</t>
  </si>
  <si>
    <t xml:space="preserve">Ajwa Dates (Siafa)400 gms</t>
  </si>
  <si>
    <t xml:space="preserve">Ghandour Mastic gum 60 pcs</t>
  </si>
  <si>
    <t xml:space="preserve">luxury cream fudge 400g elshamg</t>
  </si>
  <si>
    <t xml:space="preserve">tasali spicy family size 155g</t>
  </si>
  <si>
    <t xml:space="preserve">Borgat Gummy Cola</t>
  </si>
  <si>
    <t xml:space="preserve">Tomato Sauce ElSaudia</t>
  </si>
  <si>
    <t xml:space="preserve">Capri- Sun orange</t>
  </si>
  <si>
    <t xml:space="preserve">Caramel Log Chocolate</t>
  </si>
  <si>
    <t xml:space="preserve">jordanian zaatar 100 gm</t>
  </si>
  <si>
    <t xml:space="preserve">Low margin (-14%)</t>
  </si>
  <si>
    <t xml:space="preserve">karmoush chipsy</t>
  </si>
  <si>
    <t xml:space="preserve">Sun Rings cheese Flavor (Lsize)</t>
  </si>
  <si>
    <t xml:space="preserve">heart chocolate</t>
  </si>
  <si>
    <t xml:space="preserve">Lollita 10 pc</t>
  </si>
  <si>
    <t xml:space="preserve">Wholesale – same group as its single "Lollita 1 pc"</t>
  </si>
  <si>
    <t xml:space="preserve">chicken Biscuits</t>
  </si>
  <si>
    <t xml:space="preserve">crystal hot sauce 88 ml</t>
  </si>
  <si>
    <t xml:space="preserve">momo dy shrimp flavour</t>
  </si>
  <si>
    <t xml:space="preserve">Low margin (25%)</t>
  </si>
  <si>
    <t xml:space="preserve">Kaddi 270 Ml</t>
  </si>
  <si>
    <t xml:space="preserve">Raja Vegetables Family Size</t>
  </si>
  <si>
    <t xml:space="preserve">code red 250 ml</t>
  </si>
  <si>
    <t xml:space="preserve">Italian choco cream</t>
  </si>
  <si>
    <t xml:space="preserve">Low margin (21%)</t>
  </si>
  <si>
    <t xml:space="preserve">cheetos har nar medium size 110g</t>
  </si>
  <si>
    <t xml:space="preserve">marami salt flavor</t>
  </si>
  <si>
    <t xml:space="preserve">Elyamama Cake Vanilla</t>
  </si>
  <si>
    <t xml:space="preserve">keef elmosafer with Saffron 5 gm</t>
  </si>
  <si>
    <t xml:space="preserve">New price set by user</t>
  </si>
  <si>
    <t xml:space="preserve">Batook Banana Gum</t>
  </si>
  <si>
    <t xml:space="preserve">Borgat Gummy ringlets</t>
  </si>
  <si>
    <t xml:space="preserve">alin hot chanachur</t>
  </si>
  <si>
    <t xml:space="preserve">indofood sweet soy sauce</t>
  </si>
  <si>
    <t xml:space="preserve">chocolate rico wafer</t>
  </si>
  <si>
    <t xml:space="preserve">rana hot sauce 474ml</t>
  </si>
  <si>
    <t xml:space="preserve">Memories tea biscuit 150g</t>
  </si>
  <si>
    <t xml:space="preserve">Original Iranian Saffron 1gm</t>
  </si>
  <si>
    <t xml:space="preserve">Twizzlers Strawberry low fat 70g</t>
  </si>
  <si>
    <t xml:space="preserve">Low margin (3%)</t>
  </si>
  <si>
    <t xml:space="preserve">Abo walad chocolate wafer</t>
  </si>
  <si>
    <t xml:space="preserve">Saudi Indomie (special chicken) 5 pc</t>
  </si>
  <si>
    <t xml:space="preserve">Wholesale – same group as its single "Saudi Indomie (special chicken)"</t>
  </si>
  <si>
    <t xml:space="preserve">TOTTI Fruiti cola</t>
  </si>
  <si>
    <t xml:space="preserve">americana cake chocolate rolls 6pcs</t>
  </si>
  <si>
    <t xml:space="preserve">shrimp biscuits</t>
  </si>
  <si>
    <t xml:space="preserve">Meswak</t>
  </si>
  <si>
    <t xml:space="preserve">Chicken Sticks Chips Vegetables Each Pack Contains 75g</t>
  </si>
  <si>
    <t xml:space="preserve">lays salt &amp; vinegar family size 155g</t>
  </si>
  <si>
    <t xml:space="preserve">Abo Fas 3 m</t>
  </si>
  <si>
    <t xml:space="preserve">Puf Marshmallow</t>
  </si>
  <si>
    <t xml:space="preserve">Salad Chipsy</t>
  </si>
  <si>
    <t xml:space="preserve">Puck Creamy Cheese 500 Gm</t>
  </si>
  <si>
    <t xml:space="preserve">Elbatal Chipsy (Dayno)</t>
  </si>
  <si>
    <t xml:space="preserve">khaltet AlQaseem 125 gm</t>
  </si>
  <si>
    <t xml:space="preserve">tasali kamoon &amp; lemon</t>
  </si>
  <si>
    <t xml:space="preserve">Baja Arabic Coffee Saffron</t>
  </si>
  <si>
    <t xml:space="preserve">Elitesse wafer</t>
  </si>
  <si>
    <t xml:space="preserve">Dakket elMadina 100g</t>
  </si>
  <si>
    <t xml:space="preserve">Low margin (-0%)</t>
  </si>
  <si>
    <t xml:space="preserve">Puck Creamy Cheese 2*500 Gm</t>
  </si>
  <si>
    <t xml:space="preserve">Core seller, medium margin (30%)</t>
  </si>
  <si>
    <t xml:space="preserve">Borgat Gummy cakes</t>
  </si>
  <si>
    <t xml:space="preserve">Elbatal Popcorn (butter)</t>
  </si>
  <si>
    <t xml:space="preserve">Salad Chipsy mediam size 21g</t>
  </si>
  <si>
    <t xml:space="preserve">chicken sticks ketchup flavor</t>
  </si>
  <si>
    <t xml:space="preserve">Salata chipsy family size</t>
  </si>
  <si>
    <t xml:space="preserve">ruchi chanachur BAR-B-Q</t>
  </si>
  <si>
    <t xml:space="preserve">trixy chocolate</t>
  </si>
  <si>
    <t xml:space="preserve">Deemah date maamoul 1pics</t>
  </si>
  <si>
    <t xml:space="preserve">Saudi Indomie (chicken curry) 5pc</t>
  </si>
  <si>
    <t xml:space="preserve">Wholesale – same group as its single "Saudi Indomie (chicken curry)"</t>
  </si>
  <si>
    <t xml:space="preserve">halawany mamoul 1 piece 32g</t>
  </si>
  <si>
    <t xml:space="preserve">shabora Karamesh</t>
  </si>
  <si>
    <t xml:space="preserve">Elsaudia banana Milk</t>
  </si>
  <si>
    <t xml:space="preserve">Puck thick cream 125ml</t>
  </si>
  <si>
    <t xml:space="preserve">Vimto Zero</t>
  </si>
  <si>
    <t xml:space="preserve">Albatal Ketchup</t>
  </si>
  <si>
    <t xml:space="preserve">Capri- Sun mango</t>
  </si>
  <si>
    <t xml:space="preserve">Deemah kleija cardamom</t>
  </si>
  <si>
    <t xml:space="preserve">Rings (cheese)</t>
  </si>
  <si>
    <t xml:space="preserve">Saffron color 100 gm</t>
  </si>
  <si>
    <t xml:space="preserve">Saudi Indomie (fried noodles) 5 pc</t>
  </si>
  <si>
    <t xml:space="preserve">Wholesale – same group as its single "Saudi Indomie (fried noodles)"</t>
  </si>
  <si>
    <t xml:space="preserve">chocolate biscuit sticks</t>
  </si>
  <si>
    <t xml:space="preserve">siip fire burst 5g</t>
  </si>
  <si>
    <t xml:space="preserve">Capri- Sun Cocktail</t>
  </si>
  <si>
    <t xml:space="preserve">Cheetos Twisted Cheese</t>
  </si>
  <si>
    <t xml:space="preserve">Low margin (-18%)</t>
  </si>
  <si>
    <t xml:space="preserve">Mehran Curry powder 200g</t>
  </si>
  <si>
    <t xml:space="preserve">Core seller, medium margin (39%)</t>
  </si>
  <si>
    <t xml:space="preserve">seven days swiss roll chocolate 20g</t>
  </si>
  <si>
    <t xml:space="preserve">sour bubble gum (lyan) grape flavor</t>
  </si>
  <si>
    <t xml:space="preserve">sour bubble gum (lyan) strawaberry flavor</t>
  </si>
  <si>
    <t xml:space="preserve">Elsaudia strawberry Milk</t>
  </si>
  <si>
    <t xml:space="preserve">Reese,s peanut butter cups 42g</t>
  </si>
  <si>
    <t xml:space="preserve">capri- sun strawberry</t>
  </si>
  <si>
    <t xml:space="preserve">tasali katchup 155g</t>
  </si>
  <si>
    <t xml:space="preserve">Indomie Fried Noodles Barbeque Chicken Flavor Cup</t>
  </si>
  <si>
    <t xml:space="preserve">Trolli Mini Burger Gummy Candy 9g</t>
  </si>
  <si>
    <t xml:space="preserve">Low margin (22%)</t>
  </si>
  <si>
    <t xml:space="preserve">seven days Cake strawberry</t>
  </si>
  <si>
    <t xml:space="preserve">Mehran biryani  Masala 120g</t>
  </si>
  <si>
    <t xml:space="preserve">creme caramel (foster clarks)</t>
  </si>
  <si>
    <t xml:space="preserve">jhal muri spicy</t>
  </si>
  <si>
    <t xml:space="preserve">kdd tomato paste 135g</t>
  </si>
  <si>
    <t xml:space="preserve">cheddar cheese (Kraft) 190 gm</t>
  </si>
  <si>
    <t xml:space="preserve">Borgat bluberry Lolli Pop</t>
  </si>
  <si>
    <t xml:space="preserve">ETI popkek with chocolate</t>
  </si>
  <si>
    <t xml:space="preserve">americana cake vanilla large 6pcs</t>
  </si>
  <si>
    <t xml:space="preserve">Elyamama Cake strawberry</t>
  </si>
  <si>
    <t xml:space="preserve">americana cake strawberry</t>
  </si>
  <si>
    <t xml:space="preserve">bisconni cocomo chocolate 14g</t>
  </si>
  <si>
    <t xml:space="preserve">fantasy chipsy 22g</t>
  </si>
  <si>
    <t xml:space="preserve">indofood Mild soy sauce</t>
  </si>
  <si>
    <t xml:space="preserve">Dobbi Family size</t>
  </si>
  <si>
    <t xml:space="preserve">elbatal popcorn (cheese)</t>
  </si>
  <si>
    <t xml:space="preserve">hazelnut rico wafer</t>
  </si>
  <si>
    <t xml:space="preserve">poosh bubble gum strawberry 2pcs</t>
  </si>
  <si>
    <t xml:space="preserve">No cost in Shopify – default to core increase</t>
  </si>
  <si>
    <t xml:space="preserve">Nice (chilli) 21g</t>
  </si>
  <si>
    <t xml:space="preserve">Shabora Karamesh borr</t>
  </si>
  <si>
    <t xml:space="preserve">Momo Dy Corn Fingers spicy cheese</t>
  </si>
  <si>
    <t xml:space="preserve">indomie chicken flavour cup</t>
  </si>
  <si>
    <t xml:space="preserve">Homor candy 250 gm</t>
  </si>
  <si>
    <t xml:space="preserve">batook mix gum</t>
  </si>
  <si>
    <t xml:space="preserve">rings (onion)</t>
  </si>
  <si>
    <t xml:space="preserve">nescafe arabiana with Cardamom 20pc</t>
  </si>
  <si>
    <t xml:space="preserve">Wholesale – same group as its single "nescafe arabiana with Cardamom 1 pac 3 gm"</t>
  </si>
  <si>
    <t xml:space="preserve">Marukawa orange Bubble Gum</t>
  </si>
  <si>
    <t xml:space="preserve">ulker sesame biscuit</t>
  </si>
  <si>
    <t xml:space="preserve">Baja salted cashew</t>
  </si>
  <si>
    <t xml:space="preserve">Marami vinegar Zig-Zag family size</t>
  </si>
  <si>
    <t xml:space="preserve">sour bubble gum (lyan) apple flavor</t>
  </si>
  <si>
    <t xml:space="preserve">Teashop biscuits</t>
  </si>
  <si>
    <t xml:space="preserve">lucky pop</t>
  </si>
  <si>
    <t xml:space="preserve">siafa barni dates 1kg</t>
  </si>
  <si>
    <t xml:space="preserve">Batook orange chewing gum</t>
  </si>
  <si>
    <t xml:space="preserve">Elbatal Popcorn (spicy)</t>
  </si>
  <si>
    <t xml:space="preserve">Baja deluxe Mix</t>
  </si>
  <si>
    <t xml:space="preserve">Ice cream elasudia ufo</t>
  </si>
  <si>
    <t xml:space="preserve">raja spicy</t>
  </si>
  <si>
    <t xml:space="preserve">Uno Choco Cream</t>
  </si>
  <si>
    <t xml:space="preserve">Baja Mild Arabica Coffee</t>
  </si>
  <si>
    <t xml:space="preserve">Low margin (12%)</t>
  </si>
  <si>
    <t xml:space="preserve">Elmaddah Caramel</t>
  </si>
  <si>
    <t xml:space="preserve">Boshar Al nar cheese</t>
  </si>
  <si>
    <t xml:space="preserve">Low margin (13%)</t>
  </si>
  <si>
    <t xml:space="preserve">SOHAR 97 Gm</t>
  </si>
  <si>
    <t xml:space="preserve">Sun Rings Onion Flavor (Lsize)</t>
  </si>
  <si>
    <t xml:space="preserve">golden finger waffer</t>
  </si>
  <si>
    <t xml:space="preserve">ABC Crispy Vinegar Flavor</t>
  </si>
  <si>
    <t xml:space="preserve">CRIC CRAC Special Flavor Family size</t>
  </si>
  <si>
    <t xml:space="preserve">Eltajj Cream 155g</t>
  </si>
  <si>
    <t xml:space="preserve">Homor Candy redberry 250 Gm</t>
  </si>
  <si>
    <t xml:space="preserve">borgat Very Berry Lollipop Candy</t>
  </si>
  <si>
    <t xml:space="preserve">Bahlool sticks</t>
  </si>
  <si>
    <t xml:space="preserve">Kitco Stix Grilled Chicken Sticks 40g</t>
  </si>
  <si>
    <t xml:space="preserve">Kitco Stix Red Chilli Sticks 40g</t>
  </si>
  <si>
    <t xml:space="preserve">Miaw miaw shrimp</t>
  </si>
  <si>
    <t xml:space="preserve">Rabea Karak Tea With Cardamom 10 pack</t>
  </si>
  <si>
    <t xml:space="preserve">Wholesale – same group as its single "Rabea Karak Tea With Cardamom 1 pc"</t>
  </si>
  <si>
    <t xml:space="preserve">nova gum cinnabon</t>
  </si>
  <si>
    <t xml:space="preserve">Shabora Karamesh Milk</t>
  </si>
  <si>
    <t xml:space="preserve">tamr hendy 150 gm</t>
  </si>
  <si>
    <t xml:space="preserve">3 cows cheese 200 gm</t>
  </si>
  <si>
    <t xml:space="preserve">Fini roller strawberry&amp;cream</t>
  </si>
  <si>
    <t xml:space="preserve">Borgat Fusen mini bubble gums strawberry</t>
  </si>
  <si>
    <t xml:space="preserve">Hobby Chocolate Bar with Hazelnuts, Ulker</t>
  </si>
  <si>
    <t xml:space="preserve">Vegetable Potato's Chips Family Pack</t>
  </si>
  <si>
    <t xml:space="preserve">dallat aljazera coffe 30g</t>
  </si>
  <si>
    <t xml:space="preserve">doux chicken franks original 400g</t>
  </si>
  <si>
    <t xml:space="preserve">Indomie Fried Noodles Cup</t>
  </si>
  <si>
    <t xml:space="preserve">Nahool cake</t>
  </si>
  <si>
    <t xml:space="preserve">Seven Days Swiss Roll strawberry</t>
  </si>
  <si>
    <t xml:space="preserve">banana wafer</t>
  </si>
  <si>
    <t xml:space="preserve">Borgat Fusen mini bubble gums berry</t>
  </si>
  <si>
    <t xml:space="preserve">Borgat Gummy cars</t>
  </si>
  <si>
    <t xml:space="preserve">Gum Stick Mint Flavour 1 Pc</t>
  </si>
  <si>
    <t xml:space="preserve">albatal tikita family size 155g</t>
  </si>
  <si>
    <t xml:space="preserve">indomie curry flavour cup</t>
  </si>
  <si>
    <t xml:space="preserve">Abu Kass rice 1 kg</t>
  </si>
  <si>
    <t xml:space="preserve">Lowest increase – set by user (staple coffee / rice / tea)</t>
  </si>
  <si>
    <t xml:space="preserve">Ringo Chocolate Wafer</t>
  </si>
  <si>
    <t xml:space="preserve">Nova gum mint (green)</t>
  </si>
  <si>
    <t xml:space="preserve">Sambosa Switz 1 kilo</t>
  </si>
  <si>
    <t xml:space="preserve">Sukkary Rotab Siafa 1kg</t>
  </si>
  <si>
    <t xml:space="preserve">crispy rings cheese flavor</t>
  </si>
  <si>
    <t xml:space="preserve">galaxy cake chocolate</t>
  </si>
  <si>
    <t xml:space="preserve">seven days Swiss roll vanilla cream 20g</t>
  </si>
  <si>
    <t xml:space="preserve">indian crackers cup</t>
  </si>
  <si>
    <t xml:space="preserve">Gum Stick Watermelon Flavour 1 Pc</t>
  </si>
  <si>
    <t xml:space="preserve">deemah strawberry cupcake</t>
  </si>
  <si>
    <t xml:space="preserve">red roaster hot sauce</t>
  </si>
  <si>
    <t xml:space="preserve">vimto drink 250ml</t>
  </si>
  <si>
    <t xml:space="preserve">Corn Zamzam Family Size</t>
  </si>
  <si>
    <t xml:space="preserve">Gum Stick Strawberry Flavour 1 Pc</t>
  </si>
  <si>
    <t xml:space="preserve">KDD mango and grapes without suger 180ml</t>
  </si>
  <si>
    <t xml:space="preserve">mr splash spread chocolate</t>
  </si>
  <si>
    <t xml:space="preserve">saudia double chocolate milk 200ml</t>
  </si>
  <si>
    <t xml:space="preserve">super roll hazelnut wafers</t>
  </si>
  <si>
    <t xml:space="preserve">Borgat cola Lolli Pop 1 pcs</t>
  </si>
  <si>
    <t xml:space="preserve">Karak with Saffron tea Rabea 1pc</t>
  </si>
  <si>
    <t xml:space="preserve">Salad Chipsy Family Size 75g</t>
  </si>
  <si>
    <t xml:space="preserve">Saudia milk chocolate and caramel</t>
  </si>
  <si>
    <t xml:space="preserve">siip wrapz cheese flavour coated snack 15g</t>
  </si>
  <si>
    <t xml:space="preserve">Elshouokh Arabian Coffee 250 Gm</t>
  </si>
  <si>
    <t xml:space="preserve">Goody tenderina original tuna 185g</t>
  </si>
  <si>
    <t xml:space="preserve">Tamreya ghandour 1 pack</t>
  </si>
  <si>
    <t xml:space="preserve">kdd mango grape without suger 125ml</t>
  </si>
  <si>
    <t xml:space="preserve">khaltet AlQaseem saffran 125 gm</t>
  </si>
  <si>
    <t xml:space="preserve">Low margin (19%)</t>
  </si>
  <si>
    <t xml:space="preserve">Alwalimah Kabsa Mix</t>
  </si>
  <si>
    <t xml:space="preserve">Ulker | Kat Kat Tat Crispy Puff Pastry with Pistachio Cream</t>
  </si>
  <si>
    <t xml:space="preserve">deemah fantasy cake chocolate</t>
  </si>
  <si>
    <t xml:space="preserve">nescafe arabiana with safaran 1 pac 30g</t>
  </si>
  <si>
    <t xml:space="preserve">ulker tea biscuits</t>
  </si>
  <si>
    <t xml:space="preserve">Puck thick cream 250 ml</t>
  </si>
  <si>
    <t xml:space="preserve">chocolate nestle lion 42g</t>
  </si>
  <si>
    <t xml:space="preserve">sweet plus zeffo marshmallow cakes  150g</t>
  </si>
  <si>
    <t xml:space="preserve">7 days croissant Strawberry</t>
  </si>
  <si>
    <t xml:space="preserve">Mero Marshmallow</t>
  </si>
  <si>
    <t xml:space="preserve">Sukkary Rotab Siafa        (3kg)</t>
  </si>
  <si>
    <t xml:space="preserve">elmadinah henna 250gm</t>
  </si>
  <si>
    <t xml:space="preserve">Low margin (6%)</t>
  </si>
  <si>
    <t xml:space="preserve">albatal cheese ball,s 15g</t>
  </si>
  <si>
    <t xml:space="preserve">alin regular chanachur</t>
  </si>
  <si>
    <t xml:space="preserve">ALBatal chipsy (salt)</t>
  </si>
  <si>
    <t xml:space="preserve">Marami Spicy Zig-Zag Family Size</t>
  </si>
  <si>
    <t xml:space="preserve">Rita Sparkling Drink red</t>
  </si>
  <si>
    <t xml:space="preserve">americana cake strawberry large 6pcs</t>
  </si>
  <si>
    <t xml:space="preserve">deemah cocolate cupcake</t>
  </si>
  <si>
    <t xml:space="preserve">deemah marmo cake chocolate</t>
  </si>
  <si>
    <t xml:space="preserve">Brick game 9999</t>
  </si>
  <si>
    <t xml:space="preserve">Siafa Sukkary Dates 400gm</t>
  </si>
  <si>
    <t xml:space="preserve">luxury cream fudge 900g elshamg</t>
  </si>
  <si>
    <t xml:space="preserve">kat kat Ulker chocolate 12 pcs</t>
  </si>
  <si>
    <t xml:space="preserve">Wholesale – same group as its single "kat kat Ulker chocolate"</t>
  </si>
  <si>
    <t xml:space="preserve">luna milk analogue 170ML</t>
  </si>
  <si>
    <t xml:space="preserve">Dob gum 1 pack</t>
  </si>
  <si>
    <t xml:space="preserve">Kitco Stix Salt &amp; Vinegar Sticks 40g</t>
  </si>
  <si>
    <t xml:space="preserve">alwalimah Bukhari Rice Mix.</t>
  </si>
  <si>
    <t xml:space="preserve">deemah double chocolate muffin</t>
  </si>
  <si>
    <t xml:space="preserve">galaxy cake caramel</t>
  </si>
  <si>
    <t xml:space="preserve">galaxy cake vanilla</t>
  </si>
  <si>
    <t xml:space="preserve">indomie spicy fried noodles black 5 pcs</t>
  </si>
  <si>
    <t xml:space="preserve">Wholesale – same group as its single "indomie spicy fried noodles black"</t>
  </si>
  <si>
    <t xml:space="preserve">kinder cards</t>
  </si>
  <si>
    <t xml:space="preserve">Miaw Miaw Pizza Flavor</t>
  </si>
  <si>
    <t xml:space="preserve">freeze dried banana 100g ( egyptian product )</t>
  </si>
  <si>
    <t xml:space="preserve">kdd cocktail 125ml</t>
  </si>
  <si>
    <t xml:space="preserve">Baja salted pistachio</t>
  </si>
  <si>
    <t xml:space="preserve">Marami cheese</t>
  </si>
  <si>
    <t xml:space="preserve">snek ku pick fine shrimp flavor</t>
  </si>
  <si>
    <t xml:space="preserve">Dried lemon 70g</t>
  </si>
  <si>
    <t xml:space="preserve">Hazelnut Ulker Deluxe Wafer</t>
  </si>
  <si>
    <t xml:space="preserve">Milk toffo (Demah) 250 Gm</t>
  </si>
  <si>
    <t xml:space="preserve">Puck Creamy Cheese 240g</t>
  </si>
  <si>
    <t xml:space="preserve">Saudi Indomie (green chili fried noodles) 5pc</t>
  </si>
  <si>
    <t xml:space="preserve">Wholesale – same group as its single "Saudi Indomie (green chili fried noodles)"</t>
  </si>
  <si>
    <t xml:space="preserve">Saudi Indomie (hot &amp; spicy fried noodles) 5pc</t>
  </si>
  <si>
    <t xml:space="preserve">Wholesale – same group as its single "Saudi Indomie (hot &amp; spicy fried noodles)"</t>
  </si>
  <si>
    <t xml:space="preserve">Spout lotte spearmint</t>
  </si>
  <si>
    <t xml:space="preserve">chocolate rico wafer large pack 30g</t>
  </si>
  <si>
    <t xml:space="preserve">kdd chocolate low fat 24 pack</t>
  </si>
  <si>
    <t xml:space="preserve">Low margin (-33%)</t>
  </si>
  <si>
    <t xml:space="preserve">lays mango &amp; hot spices 60g</t>
  </si>
  <si>
    <t xml:space="preserve">rico biscuit chocolate 1 pc</t>
  </si>
  <si>
    <t xml:space="preserve">Balsharaf Pufak Cheese Flavour 20 gm</t>
  </si>
  <si>
    <t xml:space="preserve">Oman Chips Spicy can</t>
  </si>
  <si>
    <t xml:space="preserve">doux chicken franks hot &amp; spicy 400g</t>
  </si>
  <si>
    <t xml:space="preserve">doux chicken franks smoked 400g</t>
  </si>
  <si>
    <t xml:space="preserve">quavers large</t>
  </si>
  <si>
    <t xml:space="preserve">Batook Mint Gum pack of 20 Pcs</t>
  </si>
  <si>
    <t xml:space="preserve">Wholesale – same group as its single "Batook Mint Gum"</t>
  </si>
  <si>
    <t xml:space="preserve">Laviva Chocolate, Ulker</t>
  </si>
  <si>
    <t xml:space="preserve">Saudi pepsi diet</t>
  </si>
  <si>
    <t xml:space="preserve">chips deemah farfasha crunchy corn</t>
  </si>
  <si>
    <t xml:space="preserve">chupa sour belt</t>
  </si>
  <si>
    <t xml:space="preserve">deemah curvy cake chocolate</t>
  </si>
  <si>
    <t xml:space="preserve">ghandour fruit gum 1pack</t>
  </si>
  <si>
    <t xml:space="preserve">macadamia vanilla smoked 120g</t>
  </si>
  <si>
    <t xml:space="preserve">rana Grape leaves 400 gm</t>
  </si>
  <si>
    <t xml:space="preserve">Saudi Indomie hot &amp; spicy fried noodles cup</t>
  </si>
  <si>
    <t xml:space="preserve">abu kass punjabi amber rice 5kg</t>
  </si>
  <si>
    <t xml:space="preserve">americana cake vanilla</t>
  </si>
  <si>
    <t xml:space="preserve">cheetos crunchy spicy and limon 65g</t>
  </si>
  <si>
    <t xml:space="preserve">sour zank strawberry sticks</t>
  </si>
  <si>
    <t xml:space="preserve">Dried vegetables 100g</t>
  </si>
  <si>
    <t xml:space="preserve">Kat Kat Ulker hazelnut</t>
  </si>
  <si>
    <t xml:space="preserve">Kitco Stix lightly salted Potato Sticks 40g</t>
  </si>
  <si>
    <t xml:space="preserve">Nova Apple Gum</t>
  </si>
  <si>
    <t xml:space="preserve">bumb bubble gum blueberry</t>
  </si>
  <si>
    <t xml:space="preserve">flash carbonated soft drink 250ml (blue)</t>
  </si>
  <si>
    <t xml:space="preserve">ghandour cinnamon gum 1pack</t>
  </si>
  <si>
    <t xml:space="preserve">Eltajj cream 95 g</t>
  </si>
  <si>
    <t xml:space="preserve">KDD strawberry</t>
  </si>
  <si>
    <t xml:space="preserve">ZAZy Jelly (strawberry)</t>
  </si>
  <si>
    <t xml:space="preserve">alalali borth</t>
  </si>
  <si>
    <t xml:space="preserve">khaltet AlQaseem 250 gm</t>
  </si>
  <si>
    <t xml:space="preserve">Low margin (23%)</t>
  </si>
  <si>
    <t xml:space="preserve">nova gum fruits</t>
  </si>
  <si>
    <t xml:space="preserve">Hotel perfume</t>
  </si>
  <si>
    <t xml:space="preserve">Kohl Alathmad</t>
  </si>
  <si>
    <t xml:space="preserve">Pineapple juice Alrabei</t>
  </si>
  <si>
    <t xml:space="preserve">Saudi Indomie (red chili fried noodles) 5 pc</t>
  </si>
  <si>
    <t xml:space="preserve">Wholesale – same group as its single "Saudi Indomie (red chili fried noodles)"</t>
  </si>
  <si>
    <t xml:space="preserve">Spout lotte cinnamon</t>
  </si>
  <si>
    <t xml:space="preserve">alrabie berry mix original 125ml</t>
  </si>
  <si>
    <t xml:space="preserve">deemah cupcake vanilla</t>
  </si>
  <si>
    <t xml:space="preserve">flash carbonated soft drink 250ml (red)</t>
  </si>
  <si>
    <t xml:space="preserve">Japanese crackers</t>
  </si>
  <si>
    <t xml:space="preserve">Nasma cheese Corn</t>
  </si>
  <si>
    <t xml:space="preserve">mero chocolate and peanut</t>
  </si>
  <si>
    <t xml:space="preserve">siip wrapz strawberry 15g</t>
  </si>
  <si>
    <t xml:space="preserve">sweet plus zeffo  marshmallow cakes strawberry 150g</t>
  </si>
  <si>
    <t xml:space="preserve">American cardamom 100g</t>
  </si>
  <si>
    <t xml:space="preserve">Lipton ice tea peach French 330ml</t>
  </si>
  <si>
    <t xml:space="preserve">ghandour waffle</t>
  </si>
  <si>
    <t xml:space="preserve">kat kat Ulker chocolate 30*18g</t>
  </si>
  <si>
    <t xml:space="preserve">Wholesale – same group as its single "kat kat Ulker chocolate 18g"</t>
  </si>
  <si>
    <t xml:space="preserve">punjabi almuhaidib basmati rice 5kg</t>
  </si>
  <si>
    <t xml:space="preserve">Alwalimah baryani Mix</t>
  </si>
  <si>
    <t xml:space="preserve">Baja salted almond</t>
  </si>
  <si>
    <t xml:space="preserve">Sour Zank cola Sticks</t>
  </si>
  <si>
    <t xml:space="preserve">doux chicken franks cheese 400g</t>
  </si>
  <si>
    <t xml:space="preserve">Gandour Spearmint Gum 60 pcs sugar free‏</t>
  </si>
  <si>
    <t xml:space="preserve">Mabroom Dates(Siafa)400 gms</t>
  </si>
  <si>
    <t xml:space="preserve">Core seller, medium margin (29%)</t>
  </si>
  <si>
    <t xml:space="preserve">Miaw Miaw Chicken</t>
  </si>
  <si>
    <t xml:space="preserve">Reese's White Creamy Peanut Butter Chocolate Cup 39g</t>
  </si>
  <si>
    <t xml:space="preserve">fofo pop lolipop strawberry</t>
  </si>
  <si>
    <t xml:space="preserve">galaxy cake hazelnut</t>
  </si>
  <si>
    <t xml:space="preserve">siip wrapz chocolate 15g</t>
  </si>
  <si>
    <t xml:space="preserve">Low margin (4%)</t>
  </si>
  <si>
    <t xml:space="preserve">7 days cake bar chocolate mini 40g</t>
  </si>
  <si>
    <t xml:space="preserve">Karak with Saffron tea Rabea 10pack</t>
  </si>
  <si>
    <t xml:space="preserve">Wholesale – same group as its single "Karak with Saffron tea Rabea 1pc"</t>
  </si>
  <si>
    <t xml:space="preserve">Samyang carbonara ramen</t>
  </si>
  <si>
    <t xml:space="preserve">Teashop zekrayat date biscuit</t>
  </si>
  <si>
    <t xml:space="preserve">doux chicken franks garlic 400g</t>
  </si>
  <si>
    <t xml:space="preserve">lays salt &amp; vinegar 11g</t>
  </si>
  <si>
    <t xml:space="preserve">rita sparkling drink blue 240ml</t>
  </si>
  <si>
    <t xml:space="preserve">Gandour natural mastic gum sugar free</t>
  </si>
  <si>
    <t xml:space="preserve">Miaw Miaw Spicy Shrimp</t>
  </si>
  <si>
    <t xml:space="preserve">Sour Zank appleSticks</t>
  </si>
  <si>
    <t xml:space="preserve">rana Jalapeno hot sauce</t>
  </si>
  <si>
    <t xml:space="preserve">salted peanuts large 120g</t>
  </si>
  <si>
    <t xml:space="preserve">Kitco Stix Tabasco Pepper Sauce Potato Sticks 40g</t>
  </si>
  <si>
    <t xml:space="preserve">Marami ketchup Zig-Zag Family Size</t>
  </si>
  <si>
    <t xml:space="preserve">Samyang Buldak Quattro Cheese Spicy Chicken</t>
  </si>
  <si>
    <t xml:space="preserve">Siafa Dates chocolate &amp; Lotus 100 Gms</t>
  </si>
  <si>
    <t xml:space="preserve">Core seller, medium margin (27%)</t>
  </si>
  <si>
    <t xml:space="preserve">siafa mamool 210g</t>
  </si>
  <si>
    <t xml:space="preserve">zello gummy pizza</t>
  </si>
  <si>
    <t xml:space="preserve">7 days cake bar chocolate milk mini 40g</t>
  </si>
  <si>
    <t xml:space="preserve">Low margin (16%)</t>
  </si>
  <si>
    <t xml:space="preserve">Hobby waffer Chocolate</t>
  </si>
  <si>
    <t xml:space="preserve">Meswak lemon flavor</t>
  </si>
  <si>
    <t xml:space="preserve">Nova Gum Peppermint</t>
  </si>
  <si>
    <t xml:space="preserve">Ringo chocolate vanilla wafer 1pack</t>
  </si>
  <si>
    <t xml:space="preserve">Rita Sparkling Drink berry</t>
  </si>
  <si>
    <t xml:space="preserve">Sukkary Mefatel Siafa 1 kg</t>
  </si>
  <si>
    <t xml:space="preserve">Twizzlers Strawberry zero sugar 141g</t>
  </si>
  <si>
    <t xml:space="preserve">cheddar Kraft creme cheese 230 gm</t>
  </si>
  <si>
    <t xml:space="preserve">puck cream</t>
  </si>
  <si>
    <t xml:space="preserve">siafa Dates Mamool Asawer (No Added Sugar ) 200 Gms</t>
  </si>
  <si>
    <t xml:space="preserve">Apple juice Alrabei</t>
  </si>
  <si>
    <t xml:space="preserve">KDD Apple</t>
  </si>
  <si>
    <t xml:space="preserve">Siafa Chocolate Dates With Hazelnut 100gm</t>
  </si>
  <si>
    <t xml:space="preserve">Ulker Dubai Chocolate with Pistachio Cream &amp; Kataifi Filling</t>
  </si>
  <si>
    <t xml:space="preserve">takis fuego hot chill &amp; lime 140g</t>
  </si>
  <si>
    <t xml:space="preserve">6 pc rana hot sauce *100ml</t>
  </si>
  <si>
    <t xml:space="preserve">Wholesale – same group as its single "Rana Hot Sauce 100ml"</t>
  </si>
  <si>
    <t xml:space="preserve">Alshalaan Rice 5 Kg</t>
  </si>
  <si>
    <t xml:space="preserve">Alwalimah  baryani spicy Mix</t>
  </si>
  <si>
    <t xml:space="preserve">Marami  ketchup Zig-Zag small</t>
  </si>
  <si>
    <t xml:space="preserve">Marami BBQ Zig-Zag family size</t>
  </si>
  <si>
    <t xml:space="preserve">Rita Sparkling Drink mojito</t>
  </si>
  <si>
    <t xml:space="preserve">Siafa Dates With Dark Chocolate And Almond 100 Gms</t>
  </si>
  <si>
    <t xml:space="preserve">albatal tikita mediem size 65g</t>
  </si>
  <si>
    <t xml:space="preserve">rico salty sticks 20g</t>
  </si>
  <si>
    <t xml:space="preserve">siafa mamool cappuccino 115g</t>
  </si>
  <si>
    <t xml:space="preserve">siafa sukkary Rotab 500g</t>
  </si>
  <si>
    <t xml:space="preserve">Kitco Stix Hot &amp; Spicy Sticks 40g</t>
  </si>
  <si>
    <t xml:space="preserve">Millionaire chips salt &amp; vinegar</t>
  </si>
  <si>
    <t xml:space="preserve">Oman Majid Crispy Potato Chips 12Gm</t>
  </si>
  <si>
    <t xml:space="preserve">alrai juice apple grape 125ml</t>
  </si>
  <si>
    <t xml:space="preserve">luna cream plain 155g</t>
  </si>
  <si>
    <t xml:space="preserve">lutti roll up gum</t>
  </si>
  <si>
    <t xml:space="preserve">7 days croissant Vanilla</t>
  </si>
  <si>
    <t xml:space="preserve">Chiplets Salt &amp; vinegar</t>
  </si>
  <si>
    <t xml:space="preserve">Cric Crac Ketchup Family Size</t>
  </si>
  <si>
    <t xml:space="preserve">Fish Fash Spicy Family Pack</t>
  </si>
  <si>
    <t xml:space="preserve">Samyang Crema Carbo Buldak</t>
  </si>
  <si>
    <t xml:space="preserve">Sedr Alhelal 350 gm</t>
  </si>
  <si>
    <t xml:space="preserve">Spout lotte peppermint</t>
  </si>
  <si>
    <t xml:space="preserve">abu kass rice 2kg</t>
  </si>
  <si>
    <t xml:space="preserve">cheetos har nar 16 pack * 25g</t>
  </si>
  <si>
    <t xml:space="preserve">Wholesale – same group as its single "cheetos har nar"</t>
  </si>
  <si>
    <t xml:space="preserve">Arabic Coffee Beesha 250gm</t>
  </si>
  <si>
    <t xml:space="preserve">Choki Choki Chocolate Cashew Paste Sticks 27g</t>
  </si>
  <si>
    <t xml:space="preserve">KDD Full Cream Milk</t>
  </si>
  <si>
    <t xml:space="preserve">Marami french cheese zig-zag family size</t>
  </si>
  <si>
    <t xml:space="preserve">Monster ultra rosa Energy Drink 500ml</t>
  </si>
  <si>
    <t xml:space="preserve">Siafa mamool asawer cardamom 200g</t>
  </si>
  <si>
    <t xml:space="preserve">Trolli Pizza 5 Slice 20g</t>
  </si>
  <si>
    <t xml:space="preserve">borgat icepop duopop watermelon &amp; blueberry 1pc</t>
  </si>
  <si>
    <t xml:space="preserve">choco panda</t>
  </si>
  <si>
    <t xml:space="preserve">ghandour tutti frutti gum 1pack</t>
  </si>
  <si>
    <t xml:space="preserve">ice cream Elsaudia vanilia and chocolate</t>
  </si>
  <si>
    <t xml:space="preserve">rozy gummy hotdog 30g</t>
  </si>
  <si>
    <t xml:space="preserve">siafa mamool ajwa 210g</t>
  </si>
  <si>
    <t xml:space="preserve">Elyamama Cake Blueberry</t>
  </si>
  <si>
    <t xml:space="preserve">Fini roller watermelon</t>
  </si>
  <si>
    <t xml:space="preserve">Monster Rio Punch Energy Drink 500ml</t>
  </si>
  <si>
    <t xml:space="preserve">Rana hot sauce 180ml</t>
  </si>
  <si>
    <t xml:space="preserve">Twizzlers nibs cherry low fat 63g</t>
  </si>
  <si>
    <t xml:space="preserve">freeze dried mango cubes 70 gm</t>
  </si>
  <si>
    <t xml:space="preserve">kat kat Ulker creme</t>
  </si>
  <si>
    <t xml:space="preserve">siip cheese corn large pack</t>
  </si>
  <si>
    <t xml:space="preserve">Goody tenderina tuna  80g</t>
  </si>
  <si>
    <t xml:space="preserve">Homor Jawi</t>
  </si>
  <si>
    <t xml:space="preserve">Kiwi and lime Alrabie</t>
  </si>
  <si>
    <t xml:space="preserve">Saudi Airlines candle</t>
  </si>
  <si>
    <t xml:space="preserve">Low margin (-35%)</t>
  </si>
  <si>
    <t xml:space="preserve">Siafa Mamool Asawer Sesame 200 Gms</t>
  </si>
  <si>
    <t xml:space="preserve">Twizzlers Strawberry low fat 198g</t>
  </si>
  <si>
    <t xml:space="preserve">alwalimah masala mix</t>
  </si>
  <si>
    <t xml:space="preserve">americana butter cookies</t>
  </si>
  <si>
    <t xml:space="preserve">fini straws strawberry</t>
  </si>
  <si>
    <t xml:space="preserve">miaw miaw spicy</t>
  </si>
  <si>
    <t xml:space="preserve">siafa mamool asawer 300g</t>
  </si>
  <si>
    <t xml:space="preserve">siip rosted corn large pack</t>
  </si>
  <si>
    <t xml:space="preserve">Bravo buble gum tuty fruity 2 pieces</t>
  </si>
  <si>
    <t xml:space="preserve">Fini roller Raspberry</t>
  </si>
  <si>
    <t xml:space="preserve">Monster Mariposa Energy Drink 500ml</t>
  </si>
  <si>
    <t xml:space="preserve">Musk silk</t>
  </si>
  <si>
    <t xml:space="preserve">Siafa Chocolate Dates With milk chocolate 100gm</t>
  </si>
  <si>
    <t xml:space="preserve">Siafa Dates With White Chocolate And Almond 100 Gms</t>
  </si>
  <si>
    <t xml:space="preserve">Siafa mamool asawer cinnamon 200g</t>
  </si>
  <si>
    <t xml:space="preserve">Siafa mamool chocolate 210g</t>
  </si>
  <si>
    <t xml:space="preserve">alrabie mango</t>
  </si>
  <si>
    <t xml:space="preserve">kraft cheddar cheese 500g</t>
  </si>
  <si>
    <t xml:space="preserve">Core seller, medium margin (26%)</t>
  </si>
  <si>
    <t xml:space="preserve">loqmet elqadi (alalali)</t>
  </si>
  <si>
    <t xml:space="preserve">Low margin (-7%)</t>
  </si>
  <si>
    <t xml:space="preserve">snack chocolate sandwich  22g</t>
  </si>
  <si>
    <t xml:space="preserve">soudan chocolate</t>
  </si>
  <si>
    <t xml:space="preserve">sours mix smile fruit gum</t>
  </si>
  <si>
    <t xml:space="preserve">ulker chocolate 10 packs</t>
  </si>
  <si>
    <t xml:space="preserve">Wholesale – same group as its single "ulker chocolate"</t>
  </si>
  <si>
    <t xml:space="preserve">ulker kat kat Strawberry</t>
  </si>
  <si>
    <t xml:space="preserve">7 days double croissant cocoa &amp; vanilla with caramel filing</t>
  </si>
  <si>
    <t xml:space="preserve">Chupa Chups Lolipop Candy</t>
  </si>
  <si>
    <t xml:space="preserve">Marami cheddar jalapeno Zig-Zag Family Size</t>
  </si>
  <si>
    <t xml:space="preserve">Milk powder anchor 900g</t>
  </si>
  <si>
    <t xml:space="preserve">Monster Pacific Punch Energy Drink 500ml</t>
  </si>
  <si>
    <t xml:space="preserve">Safawi Dates(Siafa)400 gms</t>
  </si>
  <si>
    <t xml:space="preserve">Siafa Dates With Brown Chocolate coated dates 115 Gms</t>
  </si>
  <si>
    <t xml:space="preserve">borgat sour buzz mini belts strawberry 50 gm</t>
  </si>
  <si>
    <t xml:space="preserve">chocolate nestle lion peanut 42g</t>
  </si>
  <si>
    <t xml:space="preserve">chupa sour belt large pack</t>
  </si>
  <si>
    <t xml:space="preserve">kdd apple kids</t>
  </si>
  <si>
    <t xml:space="preserve">luxury (vanilla) fudge 400g elshamg</t>
  </si>
  <si>
    <t xml:space="preserve">seven days Swiss roll vanilla with vanilla filling</t>
  </si>
  <si>
    <t xml:space="preserve">siafa sagai honey and almond 400g</t>
  </si>
  <si>
    <t xml:space="preserve">ulker stickes zaater</t>
  </si>
  <si>
    <t xml:space="preserve">zello burger minis</t>
  </si>
  <si>
    <t xml:space="preserve">Low margin (-31%)</t>
  </si>
  <si>
    <t xml:space="preserve">Borgat Raspberry Jelly 160 grams</t>
  </si>
  <si>
    <t xml:space="preserve">Farfasha ketchup</t>
  </si>
  <si>
    <t xml:space="preserve">Kitco Stix sour cream &amp; onion Sticks 40g</t>
  </si>
  <si>
    <t xml:space="preserve">Marami BBQ Zig-Zag small</t>
  </si>
  <si>
    <t xml:space="preserve">Marami Corn Sticks Chili &amp; Lime 25g</t>
  </si>
  <si>
    <t xml:space="preserve">Monster zero suger ultra mango 500ml</t>
  </si>
  <si>
    <t xml:space="preserve">Rita mixed berries (sparkling drink)</t>
  </si>
  <si>
    <t xml:space="preserve">Strawberry Baloona Gum</t>
  </si>
  <si>
    <t xml:space="preserve">alwalimah basmati rice</t>
  </si>
  <si>
    <t xml:space="preserve">halawany mamoul small 18 pack</t>
  </si>
  <si>
    <t xml:space="preserve">lutti tubble gum cherry</t>
  </si>
  <si>
    <t xml:space="preserve">nahool cake we bees vanilla 1 pack</t>
  </si>
  <si>
    <t xml:space="preserve">saudi pepsi 24 pc</t>
  </si>
  <si>
    <t xml:space="preserve">ulker stickes cheese</t>
  </si>
  <si>
    <t xml:space="preserve">ulker stickes sesame</t>
  </si>
  <si>
    <t xml:space="preserve">Low margin (-13%)</t>
  </si>
  <si>
    <t xml:space="preserve">7 days chocolate cake bar with chocolate filling 5pieces</t>
  </si>
  <si>
    <t xml:space="preserve">Curry Spices 100 Gm</t>
  </si>
  <si>
    <t xml:space="preserve">Monster mango Energy Drink 500ml</t>
  </si>
  <si>
    <t xml:space="preserve">Twizzlers cherry low fat 172g</t>
  </si>
  <si>
    <t xml:space="preserve">deemah chocolate brownie 44g</t>
  </si>
  <si>
    <t xml:space="preserve">eti pop kek with chocolate 144g</t>
  </si>
  <si>
    <t xml:space="preserve">Low margin (10%)</t>
  </si>
  <si>
    <t xml:space="preserve">fid fad</t>
  </si>
  <si>
    <t xml:space="preserve">joy wavy vegetables chips 12g</t>
  </si>
  <si>
    <t xml:space="preserve">siafa mamool biscuit with dates 115g</t>
  </si>
  <si>
    <t xml:space="preserve">sour drop and jam gummy bluberry</t>
  </si>
  <si>
    <t xml:space="preserve">tasali ketchup small 21 pcs</t>
  </si>
  <si>
    <t xml:space="preserve">Wholesale – same group as its single "tasali ketchup small"</t>
  </si>
  <si>
    <t xml:space="preserve">Baja Arabic coffee with cardamom 10 pc</t>
  </si>
  <si>
    <t xml:space="preserve">Wholesale – same group as its single "Baja Arabic coffee with cardamom"</t>
  </si>
  <si>
    <t xml:space="preserve">Batook Chewing Gum</t>
  </si>
  <si>
    <t xml:space="preserve">Berry mix juice Alrabie 185 ml</t>
  </si>
  <si>
    <t xml:space="preserve">Nova Gum Watermelon</t>
  </si>
  <si>
    <t xml:space="preserve">Sour Zank bluberry Sticks</t>
  </si>
  <si>
    <t xml:space="preserve">TOTTI fruiti 15pc</t>
  </si>
  <si>
    <t xml:space="preserve">Low margin (-38%)</t>
  </si>
  <si>
    <t xml:space="preserve">chocolate safari 12 pcs</t>
  </si>
  <si>
    <t xml:space="preserve">Wholesale – same group as its single "chocolate safari"</t>
  </si>
  <si>
    <t xml:space="preserve">garlic krupuk</t>
  </si>
  <si>
    <t xml:space="preserve">kdd premium chocolate milk 250ml</t>
  </si>
  <si>
    <t xml:space="preserve">Low margin (14%)</t>
  </si>
  <si>
    <t xml:space="preserve">krupuk shrimp</t>
  </si>
  <si>
    <t xml:space="preserve">lipton sparking ice tea tropikal 330ml</t>
  </si>
  <si>
    <t xml:space="preserve">ulker sticks 12pc</t>
  </si>
  <si>
    <t xml:space="preserve">Wholesale – same group as its single "Ulker Sticks"</t>
  </si>
  <si>
    <t xml:space="preserve">Alwalimah mandi mix</t>
  </si>
  <si>
    <t xml:space="preserve">Batook Banana Gum 20 pc</t>
  </si>
  <si>
    <t xml:space="preserve">Wholesale – same group as its single "Batook Banana Gum"</t>
  </si>
  <si>
    <t xml:space="preserve">Borgat Fusen mini bubble gums cola</t>
  </si>
  <si>
    <t xml:space="preserve">Dob gum 1pc</t>
  </si>
  <si>
    <t xml:space="preserve">Merito starch spray</t>
  </si>
  <si>
    <t xml:space="preserve">Meswak without flavor</t>
  </si>
  <si>
    <t xml:space="preserve">Mirinda citrus 24pack</t>
  </si>
  <si>
    <t xml:space="preserve">Wholesale – same group as its single "Mirinda citrus"</t>
  </si>
  <si>
    <t xml:space="preserve">Samyang Hot Chicken Ramen Noodles 140g</t>
  </si>
  <si>
    <t xml:space="preserve">Siafa Dates Orange Peel 100 Gms</t>
  </si>
  <si>
    <t xml:space="preserve">Siafa Dates With white chocolate coated dates 115 gms</t>
  </si>
  <si>
    <t xml:space="preserve">Low margin (9%)</t>
  </si>
  <si>
    <t xml:space="preserve">Sweet Plus Sugar free choco biscuits vanilla 105g</t>
  </si>
  <si>
    <t xml:space="preserve">TROLLI SOUR FRIES BOX 22g</t>
  </si>
  <si>
    <t xml:space="preserve">Watermelon balloon gum</t>
  </si>
  <si>
    <t xml:space="preserve">bumb bubble gum cola</t>
  </si>
  <si>
    <t xml:space="preserve">happy mistic gum 75 pack</t>
  </si>
  <si>
    <t xml:space="preserve">kdd bechamel sauce 500ml</t>
  </si>
  <si>
    <t xml:space="preserve">lutti tubble gum raspberry</t>
  </si>
  <si>
    <t xml:space="preserve">mountain dew spark 330ml</t>
  </si>
  <si>
    <t xml:space="preserve">snackits baked cheese</t>
  </si>
  <si>
    <t xml:space="preserve">triplex milk chocolate biscuit 20g</t>
  </si>
  <si>
    <t xml:space="preserve">Albatal chips yogurt &amp; mint flavor small 12g</t>
  </si>
  <si>
    <t xml:space="preserve">Alwazah Pure Cylon Tea 400 gm</t>
  </si>
  <si>
    <t xml:space="preserve">Boshar Al nar chili &amp; lemon</t>
  </si>
  <si>
    <t xml:space="preserve">Kitco Stix Paprika Sticks 40g</t>
  </si>
  <si>
    <t xml:space="preserve">Siafa Mamool Asawer Black Seeds 200 Gms</t>
  </si>
  <si>
    <t xml:space="preserve">Yan Yan Sticks Chocolate huzelnut</t>
  </si>
  <si>
    <t xml:space="preserve">albatal salted peanuts 11g</t>
  </si>
  <si>
    <t xml:space="preserve">borgat bounz gum 12g</t>
  </si>
  <si>
    <t xml:space="preserve">finjan alarab coffee cardamom 25g</t>
  </si>
  <si>
    <t xml:space="preserve">freeze dried mango slices 70gm</t>
  </si>
  <si>
    <t xml:space="preserve">jadayel Royal oil</t>
  </si>
  <si>
    <t xml:space="preserve">jhal muri chill &amp; lemon</t>
  </si>
  <si>
    <t xml:space="preserve">khadeer tea ceylon 200g</t>
  </si>
  <si>
    <t xml:space="preserve">kleja mama</t>
  </si>
  <si>
    <t xml:space="preserve">kraft cheddar cheese 250g</t>
  </si>
  <si>
    <t xml:space="preserve">monster energy lando norris 500ml</t>
  </si>
  <si>
    <t xml:space="preserve">moonsters chocolate bits chocobon 15g</t>
  </si>
  <si>
    <t xml:space="preserve">nescafe arabiana with Cardamom 1 pac 30g 1 pack of 10 pcs</t>
  </si>
  <si>
    <t xml:space="preserve">Wholesale – same group as its single "nescafe arabiana with Cardamom 1 pac 30g"</t>
  </si>
  <si>
    <t xml:space="preserve">om Saleh Mamool</t>
  </si>
  <si>
    <t xml:space="preserve">riyadh food vanilla</t>
  </si>
  <si>
    <t xml:space="preserve">salted peanuts 24pc</t>
  </si>
  <si>
    <t xml:space="preserve">Wholesale – same group as its single "salted peanuts"</t>
  </si>
  <si>
    <t xml:space="preserve">sweet plus Biscuits with strawberry jam 150g</t>
  </si>
  <si>
    <t xml:space="preserve">tufi luk chocolate 12 pcs</t>
  </si>
  <si>
    <t xml:space="preserve">Wholesale – same group as its single "tufi luk chocolate"</t>
  </si>
  <si>
    <t xml:space="preserve">Bravo buble gum strawberry 2 pieces</t>
  </si>
  <si>
    <t xml:space="preserve">Chinese nuts 120g</t>
  </si>
  <si>
    <t xml:space="preserve">Dried fruits (freezed)</t>
  </si>
  <si>
    <t xml:space="preserve">Marami salt Zig-Zag family size</t>
  </si>
  <si>
    <t xml:space="preserve">Mehran Tandoori Masala</t>
  </si>
  <si>
    <t xml:space="preserve">Meswak clove flavor</t>
  </si>
  <si>
    <t xml:space="preserve">Milk powder anchor 400gm</t>
  </si>
  <si>
    <t xml:space="preserve">Samyang Hot Chicken Ramen Cheese Noodles</t>
  </si>
  <si>
    <t xml:space="preserve">Siafa mamool asawer borr</t>
  </si>
  <si>
    <t xml:space="preserve">Sweet Plus Sugar Free Cocoa Biscuits 100G</t>
  </si>
  <si>
    <t xml:space="preserve">alwalimah basmati rice 5kg</t>
  </si>
  <si>
    <t xml:space="preserve">crispy rings cheese flavor family size</t>
  </si>
  <si>
    <t xml:space="preserve">cumin seeds</t>
  </si>
  <si>
    <t xml:space="preserve">donut cake deemah (chocolate)</t>
  </si>
  <si>
    <t xml:space="preserve">ghandour spearmint gum 1pack</t>
  </si>
  <si>
    <t xml:space="preserve">kraft cheddar cheese 440g</t>
  </si>
  <si>
    <t xml:space="preserve">lays spicy 110g</t>
  </si>
  <si>
    <t xml:space="preserve">mamoul dosari</t>
  </si>
  <si>
    <t xml:space="preserve">monster energy ultra watermelon 500ml</t>
  </si>
  <si>
    <t xml:space="preserve">reese,s sticks peanut butter creme 42g</t>
  </si>
  <si>
    <t xml:space="preserve">siafa mamool coconut 115g</t>
  </si>
  <si>
    <t xml:space="preserve">sweet plus sugar free cocoa choco biscuits 105g</t>
  </si>
  <si>
    <t xml:space="preserve">Amber oud</t>
  </si>
  <si>
    <t xml:space="preserve">Capri- Sun mango 10pc</t>
  </si>
  <si>
    <t xml:space="preserve">Wholesale – same group as its single "Capri- Sun mango"</t>
  </si>
  <si>
    <t xml:space="preserve">Miaw miaw original falvor</t>
  </si>
  <si>
    <t xml:space="preserve">Salted Biscuits</t>
  </si>
  <si>
    <t xml:space="preserve">Sambosa Switz Baladi 1 kilo</t>
  </si>
  <si>
    <t xml:space="preserve">Samyang Hot Chicken Romen Jjajang Noodles 140g</t>
  </si>
  <si>
    <t xml:space="preserve">Siafa mamool asawer saffron 200g</t>
  </si>
  <si>
    <t xml:space="preserve">Sour apple rings candy</t>
  </si>
  <si>
    <t xml:space="preserve">Low margin (11%)</t>
  </si>
  <si>
    <t xml:space="preserve">bentleys tea</t>
  </si>
  <si>
    <t xml:space="preserve">bifa soft banana  30pcs</t>
  </si>
  <si>
    <t xml:space="preserve">Wholesale – same group as its single "bifa soft"</t>
  </si>
  <si>
    <t xml:space="preserve">bikan vanilia 500g</t>
  </si>
  <si>
    <t xml:space="preserve">Low margin (-4%)</t>
  </si>
  <si>
    <t xml:space="preserve">bumb bubble gum watermelon</t>
  </si>
  <si>
    <t xml:space="preserve">crunchos potato stix grilled chicken 35g</t>
  </si>
  <si>
    <t xml:space="preserve">lays spicy babrica family</t>
  </si>
  <si>
    <t xml:space="preserve">monster energy orange &amp; lemon 500ml</t>
  </si>
  <si>
    <t xml:space="preserve">rana hot souce extra hot</t>
  </si>
  <si>
    <t xml:space="preserve">siafa mamool hazelnut 115g</t>
  </si>
  <si>
    <t xml:space="preserve">sour drop and jam gummy rasberry</t>
  </si>
  <si>
    <t xml:space="preserve">sweet plus crispy &amp; cocoa whithout suger 100g</t>
  </si>
  <si>
    <t xml:space="preserve">sweet plus suger free cocoa wafer rolls 120g</t>
  </si>
  <si>
    <t xml:space="preserve">tiffany Kraemer</t>
  </si>
  <si>
    <t xml:space="preserve">Al Haram Al Makki Perfume 500ml</t>
  </si>
  <si>
    <t xml:space="preserve">Capri- Sun orange   10pc</t>
  </si>
  <si>
    <t xml:space="preserve">Wholesale – same group as its single "Capri- Sun orange"</t>
  </si>
  <si>
    <t xml:space="preserve">Crunchos Potato Stix ketchup 35g</t>
  </si>
  <si>
    <t xml:space="preserve">Meswak lychee flavor</t>
  </si>
  <si>
    <t xml:space="preserve">Oman Chips ALIBABA Potato 12g</t>
  </si>
  <si>
    <t xml:space="preserve">Sambosa Switz Baladi 2 kilo + free box</t>
  </si>
  <si>
    <t xml:space="preserve">Samyang Hot Chicken Ramen * 3 Spicy Noodles 140g</t>
  </si>
  <si>
    <t xml:space="preserve">Trolli kiss strawberry</t>
  </si>
  <si>
    <t xml:space="preserve">Twizzlers rainbow low fat 351g</t>
  </si>
  <si>
    <t xml:space="preserve">alwalimah basmati rice 2kg</t>
  </si>
  <si>
    <t xml:space="preserve">chupa chups sour bites 85g</t>
  </si>
  <si>
    <t xml:space="preserve">ghandour peppermint gum 1pack</t>
  </si>
  <si>
    <t xml:space="preserve">khaltet AlQaseem  500gm</t>
  </si>
  <si>
    <t xml:space="preserve">millionair potato chips chilli 10gm</t>
  </si>
  <si>
    <t xml:space="preserve">nahool cake raisen</t>
  </si>
  <si>
    <t xml:space="preserve">siafa White Chocolate Mamool 210 Gms</t>
  </si>
  <si>
    <t xml:space="preserve">sweet plus lemon sugar free mini waffer 180g</t>
  </si>
  <si>
    <t xml:space="preserve">sweet plus peanuts &amp; cocoa whithout suger 100g</t>
  </si>
  <si>
    <t xml:space="preserve">tasali spicy small 21 pcs</t>
  </si>
  <si>
    <t xml:space="preserve">Wholesale – same group as its single "tasali spicy small"</t>
  </si>
  <si>
    <t xml:space="preserve">toffo nestle 48pack</t>
  </si>
  <si>
    <t xml:space="preserve">ulker sticks chili 30g</t>
  </si>
  <si>
    <t xml:space="preserve">Baja Arabic Coffee Saffron 10 pc</t>
  </si>
  <si>
    <t xml:space="preserve">Wholesale – same group as its single "Baja Arabic Coffee Saffron"</t>
  </si>
  <si>
    <t xml:space="preserve">Bay leaf</t>
  </si>
  <si>
    <t xml:space="preserve">Crunchos Potato Stix chilli lime 35g</t>
  </si>
  <si>
    <t xml:space="preserve">Crunchos Potato Stix salt &amp; vinegar 35g</t>
  </si>
  <si>
    <t xml:space="preserve">Crunchos Potato Stix sweet chilli 35g</t>
  </si>
  <si>
    <t xml:space="preserve">KDD chocolate 180 ml - 18 pcs</t>
  </si>
  <si>
    <t xml:space="preserve">Wholesale – same group as its single "KDD (chocolate)"</t>
  </si>
  <si>
    <t xml:space="preserve">Marami Corn Sticks hot cill</t>
  </si>
  <si>
    <t xml:space="preserve">Mogu Mogu Coconut Flavoured Drink with Nata de Coco - 320ml</t>
  </si>
  <si>
    <t xml:space="preserve">Monster Energy Drink Ultra Peachy Keen Zero Sugar 500ml</t>
  </si>
  <si>
    <t xml:space="preserve">Samyang Hot Chicken Romen *2 Spicy Noodles 140g</t>
  </si>
  <si>
    <t xml:space="preserve">Siafa Chocolate With Coconut 100g</t>
  </si>
  <si>
    <t xml:space="preserve">Siafa Sukkary Caramel 100 Gms</t>
  </si>
  <si>
    <t xml:space="preserve">Trolli Gummi Racers Candy - 22gm</t>
  </si>
  <si>
    <t xml:space="preserve">alshaikh iraqi maan wa salwa pistachios + almond 500g</t>
  </si>
  <si>
    <t xml:space="preserve">americana cake chocolate</t>
  </si>
  <si>
    <t xml:space="preserve">bumb bubble gum fruits</t>
  </si>
  <si>
    <t xml:space="preserve">caesar apple juice</t>
  </si>
  <si>
    <t xml:space="preserve">crunchos potato stix cheese 35g</t>
  </si>
  <si>
    <t xml:space="preserve">crunchos potato stix spicy 35g</t>
  </si>
  <si>
    <t xml:space="preserve">elmorjene Hazelnut Cream 700gm</t>
  </si>
  <si>
    <t xml:space="preserve">kdd bechamel sauce 1L</t>
  </si>
  <si>
    <t xml:space="preserve">Low margin (20%)</t>
  </si>
  <si>
    <t xml:space="preserve">miaw miaw Ketchup</t>
  </si>
  <si>
    <t xml:space="preserve">saudi Bison 185 ML</t>
  </si>
  <si>
    <t xml:space="preserve">shock &amp; shock 6pack bubble gum 6 pack</t>
  </si>
  <si>
    <t xml:space="preserve">siafa ajwa with cardamom and nuts powder</t>
  </si>
  <si>
    <t xml:space="preserve">su chocolate marshmallow biscuit</t>
  </si>
  <si>
    <t xml:space="preserve">sweet plus sugar free mini wafers cocoa creme 180g</t>
  </si>
  <si>
    <t xml:space="preserve">sweet plus zeffo marshmallow cakes with coconut  115g</t>
  </si>
  <si>
    <t xml:space="preserve">KDD orange 180ml</t>
  </si>
  <si>
    <t xml:space="preserve">MOGU MOGU Lychee Flavored Drink With NATA DE COCO 320ml</t>
  </si>
  <si>
    <t xml:space="preserve">Monster Absolutely Energy Drink 500ml</t>
  </si>
  <si>
    <t xml:space="preserve">TOTTI Fruiti hearts 15 pc</t>
  </si>
  <si>
    <t xml:space="preserve">Low margin (-47%)</t>
  </si>
  <si>
    <t xml:space="preserve">abu Walad biscuit 12 pc</t>
  </si>
  <si>
    <t xml:space="preserve">Wholesale – same group as its single "abu Walad biscuit"</t>
  </si>
  <si>
    <t xml:space="preserve">borgat icepop duopop strawberry &amp; mango 1pcs</t>
  </si>
  <si>
    <t xml:space="preserve">jum filled marshmallow 15</t>
  </si>
  <si>
    <t xml:space="preserve">reese,s peanut butter cups 185g</t>
  </si>
  <si>
    <t xml:space="preserve">siafa khudri almond 300g</t>
  </si>
  <si>
    <t xml:space="preserve">siafa tamaria 160g</t>
  </si>
  <si>
    <t xml:space="preserve">siip corn snack (cheese) 20 pcs</t>
  </si>
  <si>
    <t xml:space="preserve">Wholesale – same group as its single "siip corn snack (cheese)"</t>
  </si>
  <si>
    <t xml:space="preserve">sweet plus coconut sugar free 100g</t>
  </si>
  <si>
    <t xml:space="preserve">7 days chocolate cake bar with milk filling 5pieces</t>
  </si>
  <si>
    <t xml:space="preserve">Evian Natural Water - 500 ml</t>
  </si>
  <si>
    <t xml:space="preserve">Kleja Queen Molasses Large</t>
  </si>
  <si>
    <t xml:space="preserve">LYLE,s Golden Syrup, Lion's Honey 454 GR</t>
  </si>
  <si>
    <t xml:space="preserve">MOGU MOGU Mango Flavored Drink With NATA DE COCO 320ml</t>
  </si>
  <si>
    <t xml:space="preserve">Mentos Gum sugar free</t>
  </si>
  <si>
    <t xml:space="preserve">Monster Zero Sugar Energy Drink 500ml</t>
  </si>
  <si>
    <t xml:space="preserve">Ovaltine Chocolate Powdered Drink 400 g</t>
  </si>
  <si>
    <t xml:space="preserve">Sambosa Switz 2 kilo + free box</t>
  </si>
  <si>
    <t xml:space="preserve">Siafa Chocolate With Rose 100gm</t>
  </si>
  <si>
    <t xml:space="preserve">Trolli Mini Hot Dog Gummies 12g</t>
  </si>
  <si>
    <t xml:space="preserve">alalali gelatin powder</t>
  </si>
  <si>
    <t xml:space="preserve">Low margin (-15%)</t>
  </si>
  <si>
    <t xml:space="preserve">albarakah sour belt 10g</t>
  </si>
  <si>
    <t xml:space="preserve">alrabea full leaf black tea 100g</t>
  </si>
  <si>
    <t xml:space="preserve">borgat sour buzz strawberry &amp; blueberry 170g</t>
  </si>
  <si>
    <t xml:space="preserve">bumb bubble gum banana</t>
  </si>
  <si>
    <t xml:space="preserve">gum stick dynamic 1pcs</t>
  </si>
  <si>
    <t xml:space="preserve">hawwek delishus fig 25g</t>
  </si>
  <si>
    <t xml:space="preserve">kdd orange with grape 125ml</t>
  </si>
  <si>
    <t xml:space="preserve">sweet plus zydo wafer peanuts creme 38g</t>
  </si>
  <si>
    <t xml:space="preserve">zello sour banana 10g</t>
  </si>
  <si>
    <t xml:space="preserve">AlBaik freshener candle</t>
  </si>
  <si>
    <t xml:space="preserve">Batook orange chewing gum 20 pc</t>
  </si>
  <si>
    <t xml:space="preserve">Wholesale – same group as its single "Batook orange chewing gum"</t>
  </si>
  <si>
    <t xml:space="preserve">Bogart Sour Buzz</t>
  </si>
  <si>
    <t xml:space="preserve">Date Paste 1kg</t>
  </si>
  <si>
    <t xml:space="preserve">Fruit Tella Strawberry flavor 33g</t>
  </si>
  <si>
    <t xml:space="preserve">Fruit-Tella 2in1 strawberry &amp; banana 33g</t>
  </si>
  <si>
    <t xml:space="preserve">Homor Baladi original 400g</t>
  </si>
  <si>
    <t xml:space="preserve">MOGU MOGU Passion Fruit Flavored Drink With NATA DE COCO 320ml</t>
  </si>
  <si>
    <t xml:space="preserve">MOGU MOGU Strawberry</t>
  </si>
  <si>
    <t xml:space="preserve">Mango juice Alrabai</t>
  </si>
  <si>
    <t xml:space="preserve">Sukkary Mefatel Siafa 3kg</t>
  </si>
  <si>
    <t xml:space="preserve">Toffo candy (Demah) 250gm</t>
  </si>
  <si>
    <t xml:space="preserve">baloona bubble gum fruits</t>
  </si>
  <si>
    <t xml:space="preserve">baskin robbins chocolate milk 180ml</t>
  </si>
  <si>
    <t xml:space="preserve">borgat sour buzz multi flavors 10 gm</t>
  </si>
  <si>
    <t xml:space="preserve">cheddar cheese pride 500 gm</t>
  </si>
  <si>
    <t xml:space="preserve">fantasy chipsy family size</t>
  </si>
  <si>
    <t xml:space="preserve">fini holiday cola  90g</t>
  </si>
  <si>
    <t xml:space="preserve">fini tranche pasteque 90g</t>
  </si>
  <si>
    <t xml:space="preserve">lipton ice tea  French Watermelon mint 330ml</t>
  </si>
  <si>
    <t xml:space="preserve">lutti tubble gum tutti</t>
  </si>
  <si>
    <t xml:space="preserve">milka chocolate strawberry cheesecake 300g</t>
  </si>
  <si>
    <t xml:space="preserve">Low margin (-8%)</t>
  </si>
  <si>
    <t xml:space="preserve">mini sour stick strawberry 20g</t>
  </si>
  <si>
    <t xml:space="preserve">siafa tamaria with coconut 300g</t>
  </si>
  <si>
    <t xml:space="preserve">7 days double croissant  strawberry &amp; Vanilla</t>
  </si>
  <si>
    <t xml:space="preserve">Batook Chewing Gum 1pc</t>
  </si>
  <si>
    <t xml:space="preserve">Borgat Raspberry Jelly 80 grams</t>
  </si>
  <si>
    <t xml:space="preserve">Caramel Log Chocolate 15 pc</t>
  </si>
  <si>
    <t xml:space="preserve">Wholesale – same group as its single "Caramel Log Chocolate"</t>
  </si>
  <si>
    <t xml:space="preserve">Dehn Aloud</t>
  </si>
  <si>
    <t xml:space="preserve">Dr Pepper Cherry 330ml</t>
  </si>
  <si>
    <t xml:space="preserve">Dr Pepper Vanilla Float 330 ml</t>
  </si>
  <si>
    <t xml:space="preserve">Dragon fruit dried</t>
  </si>
  <si>
    <t xml:space="preserve">MOGU MOGU Peach Flavored Drink</t>
  </si>
  <si>
    <t xml:space="preserve">Mehran Seekh Kabab Masala</t>
  </si>
  <si>
    <t xml:space="preserve">Milka Choco Sticks 112g</t>
  </si>
  <si>
    <t xml:space="preserve">Mogu Mogu Raspberry Nata De Coco 320ml</t>
  </si>
  <si>
    <t xml:space="preserve">Saudia Tornadoo Ice Cream Pineapple</t>
  </si>
  <si>
    <t xml:space="preserve">Siafa Mamool Asawer Plain 200 Gms</t>
  </si>
  <si>
    <t xml:space="preserve">Siip Corn Snack (roasted corn) 20 pcs</t>
  </si>
  <si>
    <t xml:space="preserve">Wholesale – same group as its single "Siip Corn Snack (roasted corn)"</t>
  </si>
  <si>
    <t xml:space="preserve">Skittles Sour 38gm</t>
  </si>
  <si>
    <t xml:space="preserve">Topokki Korean Carbonara 133g</t>
  </si>
  <si>
    <t xml:space="preserve">Ulker Milk Chocolate Bar with Hazelnuts, 65g</t>
  </si>
  <si>
    <t xml:space="preserve">abu felfel krupuk</t>
  </si>
  <si>
    <t xml:space="preserve">Low margin (-9%)</t>
  </si>
  <si>
    <t xml:space="preserve">americana choco cookies 1kg</t>
  </si>
  <si>
    <t xml:space="preserve">americana choco cookies Assorted chips 1kg</t>
  </si>
  <si>
    <t xml:space="preserve">capri- sun strawberry 10 pc</t>
  </si>
  <si>
    <t xml:space="preserve">Wholesale – same group as its single "capri- sun strawberry"</t>
  </si>
  <si>
    <t xml:space="preserve">esnad albait broast mix 240g</t>
  </si>
  <si>
    <t xml:space="preserve">finjan alarab coffee 250g</t>
  </si>
  <si>
    <t xml:space="preserve">ice cream Elsaudia tornadoo baboo</t>
  </si>
  <si>
    <t xml:space="preserve">lays stax original 100g</t>
  </si>
  <si>
    <t xml:space="preserve">lipton ice tea  French tropical 330ml</t>
  </si>
  <si>
    <t xml:space="preserve">mentos gum cherry mint 12pcs</t>
  </si>
  <si>
    <t xml:space="preserve">millionair potato chips ketchup 10gm</t>
  </si>
  <si>
    <t xml:space="preserve">mini sour stick blueberry 20g</t>
  </si>
  <si>
    <t xml:space="preserve">my boba classic 170g</t>
  </si>
  <si>
    <t xml:space="preserve">sour drop and jam gummy apple</t>
  </si>
  <si>
    <t xml:space="preserve">sunbulah frozen spring roll</t>
  </si>
  <si>
    <t xml:space="preserve">tangle gum 1 cola &amp; 1 fanta &amp; 1 sprite</t>
  </si>
  <si>
    <t xml:space="preserve">Almarai Full Fat Cheddar Block Cheese</t>
  </si>
  <si>
    <t xml:space="preserve">Body Oud Bold Perfume 100ml</t>
  </si>
  <si>
    <t xml:space="preserve">Fine Rabea Leaf Tea 200g</t>
  </si>
  <si>
    <t xml:space="preserve">Freeze Dried Kiwi 80g</t>
  </si>
  <si>
    <t xml:space="preserve">Ghandour peppermint sugar free</t>
  </si>
  <si>
    <t xml:space="preserve">Ghandour red fruits sugar free</t>
  </si>
  <si>
    <t xml:space="preserve">Kitco Stix Tomato Ketchup Sticks 40g</t>
  </si>
  <si>
    <t xml:space="preserve">Lipton red fruits zero suger</t>
  </si>
  <si>
    <t xml:space="preserve">Monster Pipeline Punch Energy Drink 500ml</t>
  </si>
  <si>
    <t xml:space="preserve">Monster energy Assuie Lemonade 500ml</t>
  </si>
  <si>
    <t xml:space="preserve">Pakistani noodles 12pcs</t>
  </si>
  <si>
    <t xml:space="preserve">Puck Cream Cheese Squeeze Spread 400g</t>
  </si>
  <si>
    <t xml:space="preserve">Reese,s large pack 6*42g</t>
  </si>
  <si>
    <t xml:space="preserve">Low margin (0%)</t>
  </si>
  <si>
    <t xml:space="preserve">Saudi  albaik candle</t>
  </si>
  <si>
    <t xml:space="preserve">Low margin (-80%)</t>
  </si>
  <si>
    <t xml:space="preserve">Skittles Wild Berry 38g</t>
  </si>
  <si>
    <t xml:space="preserve">Yan Yan Sticks Chocolate</t>
  </si>
  <si>
    <t xml:space="preserve">borgat sour buzz candy spaghetti Strawberry Flavored 125g</t>
  </si>
  <si>
    <t xml:space="preserve">bourgat sour buzz  straberry 50g</t>
  </si>
  <si>
    <t xml:space="preserve">Low margin (-159%)</t>
  </si>
  <si>
    <t xml:space="preserve">crunchos potato stix salt 35g</t>
  </si>
  <si>
    <t xml:space="preserve">fini anneaux peche 90g</t>
  </si>
  <si>
    <t xml:space="preserve">golden potato french cheese 65g</t>
  </si>
  <si>
    <t xml:space="preserve">kdd caffe latte 250ml</t>
  </si>
  <si>
    <t xml:space="preserve">khadeer tea ceylon gabli  200g</t>
  </si>
  <si>
    <t xml:space="preserve">kleja queen molasses</t>
  </si>
  <si>
    <t xml:space="preserve">kwality ice cream saffron kulfi</t>
  </si>
  <si>
    <t xml:space="preserve">lipton ice tea  French raspberry 330ml</t>
  </si>
  <si>
    <t xml:space="preserve">lipton ice tea lemon French 330ml</t>
  </si>
  <si>
    <t xml:space="preserve">mega chips natural taste 50g</t>
  </si>
  <si>
    <t xml:space="preserve">oroo cream choco 45g</t>
  </si>
  <si>
    <t xml:space="preserve">pizza candy</t>
  </si>
  <si>
    <t xml:space="preserve">skittles original 20g</t>
  </si>
  <si>
    <t xml:space="preserve">turkish Light Coffee without cardamom 250g</t>
  </si>
  <si>
    <t xml:space="preserve">Ülker Caramio Chocolate With Caramel 32g</t>
  </si>
  <si>
    <t xml:space="preserve">Altelal Mastic (100% original)</t>
  </si>
  <si>
    <t xml:space="preserve">Bravo buble gum mint 2 pieces</t>
  </si>
  <si>
    <t xml:space="preserve">Caramel Log 15 pc</t>
  </si>
  <si>
    <t xml:space="preserve">Wholesale – same group as its single "Caramel Log"</t>
  </si>
  <si>
    <t xml:space="preserve">Deemah date maamoul 16pics</t>
  </si>
  <si>
    <t xml:space="preserve">Dr Pepper - Strawberries and Cream - 330 ml</t>
  </si>
  <si>
    <t xml:space="preserve">Elyamama Cake Vanilla 12 pc</t>
  </si>
  <si>
    <t xml:space="preserve">Wholesale – same group as its single "Elyamama Cake Vanilla"</t>
  </si>
  <si>
    <t xml:space="preserve">MOGU MOGU watermelon Flavored Drink</t>
  </si>
  <si>
    <t xml:space="preserve">Meswak mint flavor</t>
  </si>
  <si>
    <t xml:space="preserve">Monster Original Green Energy - 500ml</t>
  </si>
  <si>
    <t xml:space="preserve">Nice (Ketchup)</t>
  </si>
  <si>
    <t xml:space="preserve">Ritter Sport Butter Biscuit 100g</t>
  </si>
  <si>
    <t xml:space="preserve">Ritter Sport Praline Chocolate 100g</t>
  </si>
  <si>
    <t xml:space="preserve">Ritter Sport Whole Almonds Chocolate 100g</t>
  </si>
  <si>
    <t xml:space="preserve">Rozy chocolate with almond sticks 36g</t>
  </si>
  <si>
    <t xml:space="preserve">Samyang Rose Spicy Chicken</t>
  </si>
  <si>
    <t xml:space="preserve">Samyang Tangle Creamy Mushroom Noodles</t>
  </si>
  <si>
    <t xml:space="preserve">Samyang Tangle Garlic Oil Noodles</t>
  </si>
  <si>
    <t xml:space="preserve">Takis Blue Heat Chips 90g</t>
  </si>
  <si>
    <t xml:space="preserve">Takis Fuego Chips 90g</t>
  </si>
  <si>
    <t xml:space="preserve">Takis Volcano Chips 90g</t>
  </si>
  <si>
    <t xml:space="preserve">Ulker HAZELNUT GRAPE CHOCOLATE SQUARE 65 GR</t>
  </si>
  <si>
    <t xml:space="preserve">albatal chips bbq 65g</t>
  </si>
  <si>
    <t xml:space="preserve">alrajhi indian mazza basmati rice 5kg</t>
  </si>
  <si>
    <t xml:space="preserve">alshaikh iraqi maan wa salwa almond 500g</t>
  </si>
  <si>
    <t xml:space="preserve">alwazah green tea 300g</t>
  </si>
  <si>
    <t xml:space="preserve">bourgat sour buzz mini belts strawberry 80g</t>
  </si>
  <si>
    <t xml:space="preserve">cadbury dairy milk fruit &amp; nut 130g</t>
  </si>
  <si>
    <t xml:space="preserve">crystal hot sauce 176ml</t>
  </si>
  <si>
    <t xml:space="preserve">dried mushroom 110 gm</t>
  </si>
  <si>
    <t xml:space="preserve">fini fruits bubble gum 90g</t>
  </si>
  <si>
    <t xml:space="preserve">fish fash spicy 12g</t>
  </si>
  <si>
    <t xml:space="preserve">lays stax cheddar cheese 100g</t>
  </si>
  <si>
    <t xml:space="preserve">lipton ice tea mango  zero suger</t>
  </si>
  <si>
    <t xml:space="preserve">mega chips sour cream &amp; onion 50g</t>
  </si>
  <si>
    <t xml:space="preserve">monster energy ultra  zero suger 440 ml</t>
  </si>
  <si>
    <t xml:space="preserve">sour drop and jam gummy strawberry</t>
  </si>
  <si>
    <t xml:space="preserve">sweet plus Biscuits with  rasberry 150g</t>
  </si>
  <si>
    <t xml:space="preserve">top fruit strawberry jelly candy 800g</t>
  </si>
  <si>
    <t xml:space="preserve">trident dental care sugar free</t>
  </si>
  <si>
    <t xml:space="preserve">tuna treva light meat flakes 80g</t>
  </si>
  <si>
    <t xml:space="preserve">zello sour cola 10g</t>
  </si>
  <si>
    <t xml:space="preserve">Bogart Sour Buzz apple</t>
  </si>
  <si>
    <t xml:space="preserve">Buldak extremely Hot Sauce 165g</t>
  </si>
  <si>
    <t xml:space="preserve">Capri- Sun Cocktail 10 pcs</t>
  </si>
  <si>
    <t xml:space="preserve">Wholesale – same group as its single "Capri- Sun Cocktail"</t>
  </si>
  <si>
    <t xml:space="preserve">Dried okra 70 gm</t>
  </si>
  <si>
    <t xml:space="preserve">Elyamama Cake strawberry 12 pc</t>
  </si>
  <si>
    <t xml:space="preserve">Wholesale – same group as its single "Elyamama Cake strawberry"</t>
  </si>
  <si>
    <t xml:space="preserve">Homor sweet tamarind 225g</t>
  </si>
  <si>
    <t xml:space="preserve">Jadayel anti hair loss</t>
  </si>
  <si>
    <t xml:space="preserve">Ritter Sport Alpine Milk Chocolate 100g</t>
  </si>
  <si>
    <t xml:space="preserve">Ritter Sport Hazelnuts Chocolate 100g</t>
  </si>
  <si>
    <t xml:space="preserve">Low margin (-5%)</t>
  </si>
  <si>
    <t xml:space="preserve">Ritter Sport Raisins Hazelnuts Chocolate 100g</t>
  </si>
  <si>
    <t xml:space="preserve">Ritter Sport Whole Hazelnuts 100g</t>
  </si>
  <si>
    <t xml:space="preserve">Takis Buckin Ranch Chips 90g</t>
  </si>
  <si>
    <t xml:space="preserve">Topokki Korean Original 133g</t>
  </si>
  <si>
    <t xml:space="preserve">almarai muxcle milk 400g</t>
  </si>
  <si>
    <t xml:space="preserve">chupa chups mix fruit</t>
  </si>
  <si>
    <t xml:space="preserve">dates cake 350g</t>
  </si>
  <si>
    <t xml:space="preserve">Low margin (7%)</t>
  </si>
  <si>
    <t xml:space="preserve">deemah cream coconut biscuits 27g</t>
  </si>
  <si>
    <t xml:space="preserve">dried ice cream Sandwich 80g</t>
  </si>
  <si>
    <t xml:space="preserve">fini sour tropical mix 90g</t>
  </si>
  <si>
    <t xml:space="preserve">golden potato ketchup 65g</t>
  </si>
  <si>
    <t xml:space="preserve">goody mayonnaise 946g</t>
  </si>
  <si>
    <t xml:space="preserve">keef elmosafer clove 30g</t>
  </si>
  <si>
    <t xml:space="preserve">kwality ice cream blueberry</t>
  </si>
  <si>
    <t xml:space="preserve">lays stax hot cill 100g</t>
  </si>
  <si>
    <t xml:space="preserve">lays stax spicy lobster 100g</t>
  </si>
  <si>
    <t xml:space="preserve">mega chips chicken 50g</t>
  </si>
  <si>
    <t xml:space="preserve">milka choco biscuits 18pics</t>
  </si>
  <si>
    <t xml:space="preserve">mixed fruits soft gelly 250g</t>
  </si>
  <si>
    <t xml:space="preserve">om saleh maamoul whole wheat 450g</t>
  </si>
  <si>
    <t xml:space="preserve">prestige ruby perfume</t>
  </si>
  <si>
    <t xml:space="preserve">rana ketchup 720g</t>
  </si>
  <si>
    <t xml:space="preserve">siafa sagai almond 300g</t>
  </si>
  <si>
    <t xml:space="preserve">sweet plus Biscuits with muesli original 115g`</t>
  </si>
  <si>
    <t xml:space="preserve">Balsharaf Pufak Chilli Flavour 20 gm</t>
  </si>
  <si>
    <t xml:space="preserve">Cadbury - Dairy Milk Hazelnut (145g)</t>
  </si>
  <si>
    <t xml:space="preserve">Coffee black without cardamom 250g</t>
  </si>
  <si>
    <t xml:space="preserve">Deemah tea biscuits</t>
  </si>
  <si>
    <t xml:space="preserve">Fruit Tella blueberry flavor 33g</t>
  </si>
  <si>
    <t xml:space="preserve">Karak Tea Cardamom 10pack</t>
  </si>
  <si>
    <t xml:space="preserve">Ritter Sport Smarties in Milk Chocolate 100g</t>
  </si>
  <si>
    <t xml:space="preserve">SOHAR chips 23pack *13g</t>
  </si>
  <si>
    <t xml:space="preserve">Wholesale – same group as its single "SOHAR chipsy 13g"</t>
  </si>
  <si>
    <t xml:space="preserve">Samyang habanero lime Chicken</t>
  </si>
  <si>
    <t xml:space="preserve">Siafa Strawberry Chocolate Mamool 210 Gms</t>
  </si>
  <si>
    <t xml:space="preserve">Skittles Original Fruits 38g</t>
  </si>
  <si>
    <t xml:space="preserve">Snackits (Chilli)</t>
  </si>
  <si>
    <t xml:space="preserve">Steviana Sweetener 25 Sticks</t>
  </si>
  <si>
    <t xml:space="preserve">Sun Sip Popping Boba Tea With mix berries Flavor 325ml</t>
  </si>
  <si>
    <t xml:space="preserve">Sunbulah Puff Pastry Sheets - 10 Pieces</t>
  </si>
  <si>
    <t xml:space="preserve">Topokki Korean Carbonara cup 113g</t>
  </si>
  <si>
    <t xml:space="preserve">Topokki Korean Original cup 113g</t>
  </si>
  <si>
    <t xml:space="preserve">Ulker Caramio Caramel Filled Chocolate Bar 55g</t>
  </si>
  <si>
    <t xml:space="preserve">alkhair saudi coffee with cardamom 30g</t>
  </si>
  <si>
    <t xml:space="preserve">alshaikh iraqi maan wa salwa pistachios 500g</t>
  </si>
  <si>
    <t xml:space="preserve">borgat gummy hearts  36g</t>
  </si>
  <si>
    <t xml:space="preserve">Low margin (-26%)</t>
  </si>
  <si>
    <t xml:space="preserve">borgat sour buzz apple 100g</t>
  </si>
  <si>
    <t xml:space="preserve">Low margin (-50%)</t>
  </si>
  <si>
    <t xml:space="preserve">borgat sour buzz candy belts 50g</t>
  </si>
  <si>
    <t xml:space="preserve">borgat sour buzz strawberry flavor 190g</t>
  </si>
  <si>
    <t xml:space="preserve">cadbury dairy milk black forest 130g</t>
  </si>
  <si>
    <t xml:space="preserve">deemah cream vanilla biscuits 27g</t>
  </si>
  <si>
    <t xml:space="preserve">dream coconut milk drink with mocha 290ml</t>
  </si>
  <si>
    <t xml:space="preserve">dried tangerine 80g</t>
  </si>
  <si>
    <t xml:space="preserve">fini jelly bananas 90g</t>
  </si>
  <si>
    <t xml:space="preserve">fini jelly crocodiles 90g</t>
  </si>
  <si>
    <t xml:space="preserve">gum stick fruit flavor 1pcs</t>
  </si>
  <si>
    <t xml:space="preserve">keef elmosafer Saudi Coffee with cardamom , 12 pieces *(5g)</t>
  </si>
  <si>
    <t xml:space="preserve">kettle cooked balsamico &amp; tomato 150g</t>
  </si>
  <si>
    <t xml:space="preserve">kwality ice cream toffee</t>
  </si>
  <si>
    <t xml:space="preserve">lays stax sour cream &amp; onion 100g</t>
  </si>
  <si>
    <t xml:space="preserve">mega chips kebab 50g</t>
  </si>
  <si>
    <t xml:space="preserve">mentos gum breeze mint 12pcs</t>
  </si>
  <si>
    <t xml:space="preserve">milka chocolate happy cows</t>
  </si>
  <si>
    <t xml:space="preserve">milka chocolate raisins &amp; nuts</t>
  </si>
  <si>
    <t xml:space="preserve">millet dates cake 350g</t>
  </si>
  <si>
    <t xml:space="preserve">my boba mango 170g</t>
  </si>
  <si>
    <t xml:space="preserve">punjabi Alshalaan amber rice 5kg</t>
  </si>
  <si>
    <t xml:space="preserve">reese,s nut bar peanut butter 47g</t>
  </si>
  <si>
    <t xml:space="preserve">sanabel alshahed dates maamoul 400g</t>
  </si>
  <si>
    <t xml:space="preserve">snackits baked sour cream &amp; onion</t>
  </si>
  <si>
    <t xml:space="preserve">sun sip Can Popping Boba Tea With Mango &amp; Passion 325ml</t>
  </si>
  <si>
    <t xml:space="preserve">toffix sticks 800g</t>
  </si>
  <si>
    <t xml:space="preserve">ulker deluxe choco nuts (pistachio)</t>
  </si>
  <si>
    <t xml:space="preserve">wild colt bakhur + arrogate comete from assaf</t>
  </si>
  <si>
    <t xml:space="preserve">Core seller, medium margin (25%)</t>
  </si>
  <si>
    <t xml:space="preserve">zello sour mango 10g</t>
  </si>
  <si>
    <t xml:space="preserve">Bahlool sticks 24 pc</t>
  </si>
  <si>
    <t xml:space="preserve">Wholesale – same group as its single "Bahlool sticks"</t>
  </si>
  <si>
    <t xml:space="preserve">Baja deluxe Mix 24pc</t>
  </si>
  <si>
    <t xml:space="preserve">Wholesale – same group as its single "Baja deluxe Mix"</t>
  </si>
  <si>
    <t xml:space="preserve">Baja salted cashew 24 pc</t>
  </si>
  <si>
    <t xml:space="preserve">Wholesale – same group as its single "Baja salted cashew"</t>
  </si>
  <si>
    <t xml:space="preserve">Borgat lollipop strawberry and chocolate 40 pieces</t>
  </si>
  <si>
    <t xml:space="preserve">Buldak original hot Sauce 165g</t>
  </si>
  <si>
    <t xml:space="preserve">Dkhoon Rose Dkhoon Emirates</t>
  </si>
  <si>
    <t xml:space="preserve">Ice cream Elsaudia with chocolate</t>
  </si>
  <si>
    <t xml:space="preserve">Kahilan Dkhoon Emirates</t>
  </si>
  <si>
    <t xml:space="preserve">Kettle Cooked Chips - sweet bbq - 150g</t>
  </si>
  <si>
    <t xml:space="preserve">MOGU MOGU blackcubrany</t>
  </si>
  <si>
    <t xml:space="preserve">Memories tea biscuit small 70g</t>
  </si>
  <si>
    <t xml:space="preserve">Monster Ultra Golden Pineapple  500ml</t>
  </si>
  <si>
    <t xml:space="preserve">Ringo chocolate crispy cream wafer 18g</t>
  </si>
  <si>
    <t xml:space="preserve">Ritter Sport Dark Whole Almonds Chocolate 100g</t>
  </si>
  <si>
    <t xml:space="preserve">Ritter Sport White Whole Hazelnuts 100g</t>
  </si>
  <si>
    <t xml:space="preserve">Rose de Mai perfume</t>
  </si>
  <si>
    <t xml:space="preserve">Saudia Ice Cream Stick Pomegranate</t>
  </si>
  <si>
    <t xml:space="preserve">Shuhrah Rasasi  perfume</t>
  </si>
  <si>
    <t xml:space="preserve">Takis intense nacho Chips 90g</t>
  </si>
  <si>
    <t xml:space="preserve">Topokki Korean cheese 133g</t>
  </si>
  <si>
    <t xml:space="preserve">alkhair saudi coffee golden blend 30g</t>
  </si>
  <si>
    <t xml:space="preserve">almarai protein milk vanilla suger free 400g</t>
  </si>
  <si>
    <t xml:space="preserve">alshaikh iraqi maan wa salwa walnut 500g</t>
  </si>
  <si>
    <t xml:space="preserve">armada nutty nougat</t>
  </si>
  <si>
    <t xml:space="preserve">brio crunchy wafer 20g</t>
  </si>
  <si>
    <t xml:space="preserve">bumb bubble gum orange</t>
  </si>
  <si>
    <t xml:space="preserve">crystal hot sauce 474 ml</t>
  </si>
  <si>
    <t xml:space="preserve">dates &amp; nuts maamoul</t>
  </si>
  <si>
    <t xml:space="preserve">dream coconut milk drink with mango 290ml</t>
  </si>
  <si>
    <t xml:space="preserve">fini fraise sauvage 90g</t>
  </si>
  <si>
    <t xml:space="preserve">fini poulpes 90g</t>
  </si>
  <si>
    <t xml:space="preserve">jum filled marshmallow 15g</t>
  </si>
  <si>
    <t xml:space="preserve">just kettle chips salt 125g</t>
  </si>
  <si>
    <t xml:space="preserve">kdd cherry with white grape 180ml</t>
  </si>
  <si>
    <t xml:space="preserve">keef elmosafer Ginger 30g</t>
  </si>
  <si>
    <t xml:space="preserve">kit kat double chocolate  100g</t>
  </si>
  <si>
    <t xml:space="preserve">mega chips sour cream &amp; cheese 50g</t>
  </si>
  <si>
    <t xml:space="preserve">memories maamoul borr</t>
  </si>
  <si>
    <t xml:space="preserve">milka chocolate oreo brownie</t>
  </si>
  <si>
    <t xml:space="preserve">milka chocolate whole hazelnut</t>
  </si>
  <si>
    <t xml:space="preserve">my boba strawberry 170g</t>
  </si>
  <si>
    <t xml:space="preserve">nadic cheddar 20 slices 400g</t>
  </si>
  <si>
    <t xml:space="preserve">rico biscuit chocolate 1 pack of 24 pcs</t>
  </si>
  <si>
    <t xml:space="preserve">Wholesale – same group as its single "rico biscuit chocolate 1 pc"</t>
  </si>
  <si>
    <t xml:space="preserve">snackits (salted)</t>
  </si>
  <si>
    <t xml:space="preserve">sun sip Can Popping Boba Tea With steawbeery 325ml</t>
  </si>
  <si>
    <t xml:space="preserve">talks me chilli&amp; lemon</t>
  </si>
  <si>
    <t xml:space="preserve">ulker tea biscuits 12 pc</t>
  </si>
  <si>
    <t xml:space="preserve">Wholesale – same group as its single "ulker tea biscuits"</t>
  </si>
  <si>
    <t xml:space="preserve">Americana Quality Premium Butter Cookies 100g</t>
  </si>
  <si>
    <t xml:space="preserve">BARRATT ANGLO BUBBLY 120 pcs</t>
  </si>
  <si>
    <t xml:space="preserve">Baja Mild Arabica Coffee 10 pack *30g</t>
  </si>
  <si>
    <t xml:space="preserve">Wholesale – same group as its single "Baja Mild Arabica Coffee"</t>
  </si>
  <si>
    <t xml:space="preserve">Borgat Bear Jelly 80 Grams</t>
  </si>
  <si>
    <t xml:space="preserve">Borgat Sour Buzz Assorted Filled Sticks 50g</t>
  </si>
  <si>
    <t xml:space="preserve">Buldak Carbonara  hot Sauce 165g</t>
  </si>
  <si>
    <t xml:space="preserve">Clown Corn Cheese Rice Crackers 88.2g</t>
  </si>
  <si>
    <t xml:space="preserve">Clown Original Rice Crackers 88.2g</t>
  </si>
  <si>
    <t xml:space="preserve">Galaxy Salted Caramel 135g</t>
  </si>
  <si>
    <t xml:space="preserve">Galaxy Smooth Milk Bar - 100g</t>
  </si>
  <si>
    <t xml:space="preserve">Karak Tea Zafran 10 pack</t>
  </si>
  <si>
    <t xml:space="preserve">Lays Stax Wagyu Beef &amp; Truffle Flavor 100g</t>
  </si>
  <si>
    <t xml:space="preserve">MOGU MOGU Pineapple Flavored Drink</t>
  </si>
  <si>
    <t xml:space="preserve">Ritter Sport Dark Whole Hazelnuts 100g</t>
  </si>
  <si>
    <t xml:space="preserve">Taeshop Ringo Sandwich Biscuits with Chocolate</t>
  </si>
  <si>
    <t xml:space="preserve">Topokki Korean Cheese cup 113g</t>
  </si>
  <si>
    <t xml:space="preserve">Ulker Chocolate squares with qatayef flavor</t>
  </si>
  <si>
    <t xml:space="preserve">Ulker Milk Chocolate Bar with Pistachio</t>
  </si>
  <si>
    <t xml:space="preserve">borgat bear cup</t>
  </si>
  <si>
    <t xml:space="preserve">borgat gummy sour strawberry 10g</t>
  </si>
  <si>
    <t xml:space="preserve">borgat sour buzz multi flavor 190g</t>
  </si>
  <si>
    <t xml:space="preserve">chupa chups belt gieo que 105g</t>
  </si>
  <si>
    <t xml:space="preserve">damla sour sticks blackberry 30g</t>
  </si>
  <si>
    <t xml:space="preserve">deemah cream banana biscuits 27g</t>
  </si>
  <si>
    <t xml:space="preserve">dream coconut milk drink with banana 290ml</t>
  </si>
  <si>
    <t xml:space="preserve">dream coconut milk with chocolate 290ml</t>
  </si>
  <si>
    <t xml:space="preserve">just kettle chips cheese &amp; chives 125g</t>
  </si>
  <si>
    <t xml:space="preserve">just kettle chips salt &amp; vinegar 125g</t>
  </si>
  <si>
    <t xml:space="preserve">keef elmosafer Saudi Coffee with cardamom, 10 pieces * (30g)</t>
  </si>
  <si>
    <t xml:space="preserve">kikna cinnamon dates cake 15pieces</t>
  </si>
  <si>
    <t xml:space="preserve">krupuk siliana 400g</t>
  </si>
  <si>
    <t xml:space="preserve">lays stax bqq 100g</t>
  </si>
  <si>
    <t xml:space="preserve">milka chocolate broken hazelnut</t>
  </si>
  <si>
    <t xml:space="preserve">milka chocolate chips cookies</t>
  </si>
  <si>
    <t xml:space="preserve">milka chocolate strawberry cilekli</t>
  </si>
  <si>
    <t xml:space="preserve">milka joghurt yoghurt 100g</t>
  </si>
  <si>
    <t xml:space="preserve">my boba cola 170g</t>
  </si>
  <si>
    <t xml:space="preserve">natural organic sea salt 500g</t>
  </si>
  <si>
    <t xml:space="preserve">rebel assaf 150 ml</t>
  </si>
  <si>
    <t xml:space="preserve">skittles wild berry 20g</t>
  </si>
  <si>
    <t xml:space="preserve">sun sip Can Popping Boba Tea With peach 325ml</t>
  </si>
  <si>
    <t xml:space="preserve">sweet plus musli integral 115g</t>
  </si>
  <si>
    <t xml:space="preserve">tiffany butter toffee 900g</t>
  </si>
  <si>
    <t xml:space="preserve">tiffany marie biscuits 80g</t>
  </si>
  <si>
    <t xml:space="preserve">top fruit blueberry jelly candy 800g</t>
  </si>
  <si>
    <t xml:space="preserve">Alwazah Pure Cylon Tea 1kg</t>
  </si>
  <si>
    <t xml:space="preserve">Baja salted almond 24 pc</t>
  </si>
  <si>
    <t xml:space="preserve">Wholesale – same group as its single "Baja salted almond"</t>
  </si>
  <si>
    <t xml:space="preserve">Baja salted pistachio 24 pack</t>
  </si>
  <si>
    <t xml:space="preserve">Wholesale – same group as its single "Baja salted pistachio"</t>
  </si>
  <si>
    <t xml:space="preserve">Bifa Escape Fiyonk Kraker 200g</t>
  </si>
  <si>
    <t xml:space="preserve">Clown Corn salt &amp; black pepper Rice Crackers 88.2g</t>
  </si>
  <si>
    <t xml:space="preserve">FINI Magic Carpet 90g</t>
  </si>
  <si>
    <t xml:space="preserve">Jadayel rich oil</t>
  </si>
  <si>
    <t xml:space="preserve">Kettle Cooked Chips - Salt &amp; Vinegar - 150g</t>
  </si>
  <si>
    <t xml:space="preserve">Kettle Cooked Chips - salt &amp; black pepper - 150g</t>
  </si>
  <si>
    <t xml:space="preserve">Kettle Cooked Chips - sour cream &amp; onion - 150g</t>
  </si>
  <si>
    <t xml:space="preserve">Shuhrah Elixir Rasasi</t>
  </si>
  <si>
    <t xml:space="preserve">Tamreya ghandour 24 pack</t>
  </si>
  <si>
    <t xml:space="preserve">Wholesale – same group as its single "Tamreya ghandour 1 pack"</t>
  </si>
  <si>
    <t xml:space="preserve">Trolly Fruit</t>
  </si>
  <si>
    <t xml:space="preserve">Ulker Square Chocolate with Baklava Pieces</t>
  </si>
  <si>
    <t xml:space="preserve">borgat gummy watermelon 36g</t>
  </si>
  <si>
    <t xml:space="preserve">borgat sour buzz spaghetti strawberry 100g</t>
  </si>
  <si>
    <t xml:space="preserve">carmoush chips cheese flavour</t>
  </si>
  <si>
    <t xml:space="preserve">clown spicy  rice cracker 88.2g</t>
  </si>
  <si>
    <t xml:space="preserve">crazy roll bubble gum</t>
  </si>
  <si>
    <t xml:space="preserve">dream coconut milk drink original 290ml</t>
  </si>
  <si>
    <t xml:space="preserve">dream coconut milk drink with pistachio 290ml</t>
  </si>
  <si>
    <t xml:space="preserve">dream coconut milk drink with strawberry 290ml</t>
  </si>
  <si>
    <t xml:space="preserve">dried red  apple 70g</t>
  </si>
  <si>
    <t xml:space="preserve">elyamama cake cocoa vanilla 230g</t>
  </si>
  <si>
    <t xml:space="preserve">elyamama cake double chocolate 230g</t>
  </si>
  <si>
    <t xml:space="preserve">fini jelly cola botellas 90g</t>
  </si>
  <si>
    <t xml:space="preserve">french coffee 250g</t>
  </si>
  <si>
    <t xml:space="preserve">french coffee mistka 250g</t>
  </si>
  <si>
    <t xml:space="preserve">galaxy smooth caramel 135g</t>
  </si>
  <si>
    <t xml:space="preserve">gonuts peanut energy</t>
  </si>
  <si>
    <t xml:space="preserve">goody tuna light 185g</t>
  </si>
  <si>
    <t xml:space="preserve">just kettle chips salt &amp; black pepper 125g</t>
  </si>
  <si>
    <t xml:space="preserve">keef elmosafer Saudi Coffee with Saffron, 12 pieces (5g)</t>
  </si>
  <si>
    <t xml:space="preserve">kettle cooked sea salt 150g</t>
  </si>
  <si>
    <t xml:space="preserve">luban Musk ibraq</t>
  </si>
  <si>
    <t xml:space="preserve">mega chips lemon &amp; chili 50g</t>
  </si>
  <si>
    <t xml:space="preserve">milka chocolate riso soffiato</t>
  </si>
  <si>
    <t xml:space="preserve">nescafe arabiana with saffron 1 pac 30g 1 pack of 10 pcs</t>
  </si>
  <si>
    <t xml:space="preserve">Wholesale – same group as its single "nescafe arabiana with safaran 1 pac 30g"</t>
  </si>
  <si>
    <t xml:space="preserve">protein bar one reese,s 18g protein</t>
  </si>
  <si>
    <t xml:space="preserve">rio mare tuna salad kukurydza 160g</t>
  </si>
  <si>
    <t xml:space="preserve">rio mare tuna salad kuskus 160g</t>
  </si>
  <si>
    <t xml:space="preserve">rio mare tuna salad meksykan 160g</t>
  </si>
  <si>
    <t xml:space="preserve">top fruit mango jelly candy 800g</t>
  </si>
  <si>
    <t xml:space="preserve">turkish black coffee 250g</t>
  </si>
  <si>
    <t xml:space="preserve">white chocolate dragee</t>
  </si>
  <si>
    <t xml:space="preserve">white coconut dragees</t>
  </si>
  <si>
    <t xml:space="preserve">wow chocolate waffer 20g</t>
  </si>
  <si>
    <t xml:space="preserve">Bestsoy Corn Soya Bean Drink - 320ml</t>
  </si>
  <si>
    <t xml:space="preserve">Low margin (-39%)</t>
  </si>
  <si>
    <t xml:space="preserve">clown original rice cracker 88.2g</t>
  </si>
  <si>
    <t xml:space="preserve">fini laces sour 85g</t>
  </si>
  <si>
    <t xml:space="preserve">golden potato chips salt &amp; vinger 65g</t>
  </si>
  <si>
    <t xml:space="preserve">mega chips thai pepper 50g</t>
  </si>
  <si>
    <t xml:space="preserve">mega chips tomato spicy 50g</t>
  </si>
  <si>
    <t xml:space="preserve">milka chocolate cherry creme</t>
  </si>
  <si>
    <t xml:space="preserve">sanabel alshahed Maamoul Fingers Stuffed with Premium Saudi Dates (400g)</t>
  </si>
  <si>
    <t xml:space="preserve">Puf Marshmallow white</t>
  </si>
  <si>
    <t xml:space="preserve">alwazah green tea 225g</t>
  </si>
  <si>
    <t xml:space="preserve">Alwazah swan brand 300g</t>
  </si>
  <si>
    <t xml:space="preserve">BORGAT GUMMY SNACK HOTDOG</t>
  </si>
  <si>
    <t xml:space="preserve">borgat sour buzz assorted filled sticks 170g</t>
  </si>
  <si>
    <t xml:space="preserve">borgat sour buzz assorted sticks 170g</t>
  </si>
  <si>
    <t xml:space="preserve">condensed milk luna</t>
  </si>
  <si>
    <t xml:space="preserve">Couture Dkhoon Emirates</t>
  </si>
  <si>
    <t xml:space="preserve">Crescent crackers</t>
  </si>
  <si>
    <t xml:space="preserve">daaraj perfum</t>
  </si>
  <si>
    <t xml:space="preserve">Delisun Tortilla Wraps with corn 360g</t>
  </si>
  <si>
    <t xml:space="preserve">demla sour sticks strawberry 30g</t>
  </si>
  <si>
    <t xml:space="preserve">dream coconut milk drink with nata de coco 290ml</t>
  </si>
  <si>
    <t xml:space="preserve">dried onion</t>
  </si>
  <si>
    <t xml:space="preserve">Elitesse Wafer 1 pc</t>
  </si>
  <si>
    <t xml:space="preserve">Elitesse wafer 24 pc</t>
  </si>
  <si>
    <t xml:space="preserve">Wholesale – same group as its single "Elitesse Wafer 1 pc"</t>
  </si>
  <si>
    <t xml:space="preserve">Elyamama Cake orange</t>
  </si>
  <si>
    <t xml:space="preserve">fun dip</t>
  </si>
  <si>
    <t xml:space="preserve">Hello Panda Biscuits large pack 234g</t>
  </si>
  <si>
    <t xml:space="preserve">keef elmosafer Saudi Coffee with Saffron, 10 pieces (30g)</t>
  </si>
  <si>
    <t xml:space="preserve">Kettle Cooked Chips - paprika - 150g</t>
  </si>
  <si>
    <t xml:space="preserve">Kettle Cooked Chips - truffle - 150g</t>
  </si>
  <si>
    <t xml:space="preserve">Lipton ice tea red fruits</t>
  </si>
  <si>
    <t xml:space="preserve">milka chocolate Bubbly 90g</t>
  </si>
  <si>
    <t xml:space="preserve">nescafe arabiana Saffron 20pc 3g</t>
  </si>
  <si>
    <t xml:space="preserve">Wholesale – same group as its single "nescafe arabiana with safaran 1 pac 3 gm"</t>
  </si>
  <si>
    <t xml:space="preserve">old spice bearglove 48H fresh</t>
  </si>
  <si>
    <t xml:space="preserve">Prestige Pearl perfume</t>
  </si>
  <si>
    <t xml:space="preserve">Puf Marshmallow chocolate</t>
  </si>
  <si>
    <t xml:space="preserve">punjabi almuhaidib basmati rice</t>
  </si>
  <si>
    <t xml:space="preserve">pure musk</t>
  </si>
  <si>
    <t xml:space="preserve">retag mamoul white chocolate 350g</t>
  </si>
  <si>
    <t xml:space="preserve">rozy gummy hotdog 12g</t>
  </si>
  <si>
    <t xml:space="preserve">Samyang Half Spicy Buldak Ramen</t>
  </si>
  <si>
    <t xml:space="preserve">Samyang Hot chicken flavor Ramen</t>
  </si>
  <si>
    <t xml:space="preserve">Samyang Hot chicken flavor Ramen tomato paste</t>
  </si>
  <si>
    <t xml:space="preserve">siafa ajwa dates</t>
  </si>
  <si>
    <t xml:space="preserve">SIIP chicken flavour snack</t>
  </si>
  <si>
    <t xml:space="preserve">sour zank  mixed berry flavor</t>
  </si>
  <si>
    <t xml:space="preserve">trolli Jelly Cola</t>
  </si>
  <si>
    <t xml:space="preserve">turkish Medium roast without cardamom coffee  250g</t>
  </si>
  <si>
    <t xml:space="preserve">Umai cheese Corn Snack</t>
  </si>
  <si>
    <t xml:space="preserve">Umai Corn Snack</t>
  </si>
  <si>
    <t xml:space="preserve">Umai spices Corn Snack</t>
  </si>
  <si>
    <t xml:space="preserve">zoro buff</t>
  </si>
  <si>
    <t xml:space="preserve">بوكس هدايا العيد</t>
  </si>
  <si>
    <t xml:space="preserve">small</t>
  </si>
  <si>
    <t xml:space="preserve">medium</t>
  </si>
  <si>
    <t xml:space="preserve">Large box</t>
  </si>
  <si>
    <t xml:space="preserve">توزيعات العيد للأطفال</t>
  </si>
  <si>
    <t xml:space="preserve">ولد</t>
  </si>
  <si>
    <t xml:space="preserve">بنت</t>
  </si>
  <si>
    <t xml:space="preserve">Price (EGP, 22 Oct)</t>
  </si>
  <si>
    <t xml:space="preserve">Note</t>
  </si>
  <si>
    <t xml:space="preserve">AlBaik meals</t>
  </si>
  <si>
    <t xml:space="preserve">Spicy 4 pcs broasted chicken</t>
  </si>
  <si>
    <t xml:space="preserve">Excluded by owner – price not changed</t>
  </si>
  <si>
    <t xml:space="preserve">Regular 4 pcs broasted chicken</t>
  </si>
  <si>
    <t xml:space="preserve">Spicy 10 pcs mesahhab</t>
  </si>
  <si>
    <t xml:space="preserve">Regular 10 pcs mesahhab</t>
  </si>
  <si>
    <t xml:space="preserve">Big Baik regular</t>
  </si>
  <si>
    <t xml:space="preserve">Big Baik regular + cheese</t>
  </si>
  <si>
    <t xml:space="preserve">Big Baik spicy</t>
  </si>
  <si>
    <t xml:space="preserve">Big Baik Spicy +cheese</t>
  </si>
  <si>
    <t xml:space="preserve">extra cocktail sauce</t>
  </si>
  <si>
    <t xml:space="preserve">extra garlic sauce</t>
  </si>
  <si>
    <t xml:space="preserve">extra Mesahhab sauce</t>
  </si>
  <si>
    <t xml:space="preserve">Shawarma sandwich with garlic sauce spaicy</t>
  </si>
  <si>
    <t xml:space="preserve">Shawarma sandwich with garlic sauce</t>
  </si>
  <si>
    <t xml:space="preserve">Regular Fish fillet burger sandwich</t>
  </si>
  <si>
    <t xml:space="preserve">spicy  Super baik Shrimp sandwich</t>
  </si>
  <si>
    <t xml:space="preserve">Regular Fish fillet meal 6pcs</t>
  </si>
  <si>
    <t xml:space="preserve">Regular fish fillet sandwich</t>
  </si>
  <si>
    <t xml:space="preserve">spicy fish fillet sandwich</t>
  </si>
  <si>
    <t xml:space="preserve">spicy Fish fillet meal 10pcs</t>
  </si>
  <si>
    <t xml:space="preserve">10 Piece spicy  economy Shrimp Meal</t>
  </si>
  <si>
    <t xml:space="preserve">Regular suber baik Shrimp sandwich</t>
  </si>
  <si>
    <t xml:space="preserve">Albaik Shrimp Economy Meal 10 piece</t>
  </si>
  <si>
    <t xml:space="preserve">10 Piece Regular Jumbo Shrimp Meal</t>
  </si>
  <si>
    <t xml:space="preserve">Regular super baik grilled chicken</t>
  </si>
  <si>
    <t xml:space="preserve">spicy super baik grilled chicken</t>
  </si>
  <si>
    <t xml:space="preserve">ALBAIK Maamoul 2pieces</t>
  </si>
  <si>
    <t xml:space="preserve">Lusine</t>
  </si>
  <si>
    <t xml:space="preserve">Lusine cheese</t>
  </si>
  <si>
    <t xml:space="preserve">Lusine creamy cheese</t>
  </si>
  <si>
    <t xml:space="preserve">Lusine cheese + zaatar</t>
  </si>
  <si>
    <t xml:space="preserve">Lusine Apple</t>
  </si>
  <si>
    <t xml:space="preserve">Lusine chocolate</t>
  </si>
  <si>
    <t xml:space="preserve">Lusine Pizza</t>
  </si>
  <si>
    <t xml:space="preserve">Lusine  3 cheeses</t>
  </si>
  <si>
    <t xml:space="preserve">lusine butter croissant</t>
  </si>
  <si>
    <t xml:space="preserve">Altazaj Meals</t>
  </si>
  <si>
    <t xml:space="preserve">Crispy Roll Meal with Fries</t>
  </si>
  <si>
    <t xml:space="preserve">Chicken meal eltazaj</t>
  </si>
  <si>
    <t xml:space="preserve">taka tak Chicken sandwich</t>
  </si>
  <si>
    <t xml:space="preserve">crispy burger</t>
  </si>
  <si>
    <t xml:space="preserve">kabab sandwich</t>
  </si>
  <si>
    <t xml:space="preserve">Chicken Nuggets 5pics</t>
  </si>
  <si>
    <t xml:space="preserve">Chicken Nuggets 10pics with fries</t>
  </si>
  <si>
    <t xml:space="preserve">Toasted sandwich</t>
  </si>
  <si>
    <t xml:space="preserve">chiken roll sandwich</t>
  </si>
  <si>
    <t xml:space="preserve">Chicken meal spicy eltazaj</t>
  </si>
  <si>
    <t xml:space="preserve">Almarai Mixed Fruit Juice</t>
  </si>
  <si>
    <t xml:space="preserve">Almarai Mango &amp; Grape Juice</t>
  </si>
  <si>
    <t xml:space="preserve">Almarai apple juice</t>
  </si>
  <si>
    <t xml:space="preserve">Almarai Mango with Mix Fruit</t>
  </si>
  <si>
    <t xml:space="preserve">Almarai Orange Juice</t>
  </si>
  <si>
    <t xml:space="preserve">Almarai Pomegranate juice</t>
  </si>
  <si>
    <t xml:space="preserve">Almarai Citrus Mix</t>
  </si>
  <si>
    <t xml:space="preserve">Almarai mix berry juice</t>
  </si>
  <si>
    <t xml:space="preserve">Price in Analysis</t>
  </si>
  <si>
    <t xml:space="preserve">Live Price (23 Oct)</t>
  </si>
  <si>
    <t xml:space="preserve">Planned New Price</t>
  </si>
  <si>
    <t xml:space="preserve">tasali spicy small</t>
  </si>
  <si>
    <t xml:space="preserve">Price changed in Shopify after the 22-Oct analysis – review manually</t>
  </si>
  <si>
    <t xml:space="preserve">nescafe arabiana with safaran 1 pac 3 gm</t>
  </si>
  <si>
    <t xml:space="preserve">lays spicy mediam size 60g</t>
  </si>
  <si>
    <t xml:space="preserve">time candy</t>
  </si>
  <si>
    <t xml:space="preserve">Cake bar 7 days chocolate</t>
  </si>
  <si>
    <t xml:space="preserve">Chocolate Paste</t>
  </si>
  <si>
    <t xml:space="preserve">Saudi Indomie (baladi chicken)</t>
  </si>
  <si>
    <t xml:space="preserve">Marie Biscuits</t>
  </si>
  <si>
    <t xml:space="preserve">Saudi Indomie (baladi chicken) 5 pc</t>
  </si>
  <si>
    <t xml:space="preserve">abu kass rice 5kg</t>
  </si>
  <si>
    <t xml:space="preserve">Borgat Gummy bumble bear</t>
  </si>
  <si>
    <t xml:space="preserve">Miaw Miaw BBQ</t>
  </si>
  <si>
    <t xml:space="preserve">saudi Bison 250ml</t>
  </si>
  <si>
    <t xml:space="preserve">bumb bubble gum strawberry</t>
  </si>
  <si>
    <t xml:space="preserve">Ringo hazelnut wafer</t>
  </si>
  <si>
    <t xml:space="preserve">quaker white oats 500g</t>
  </si>
  <si>
    <t xml:space="preserve">golden potato spicy 65g</t>
  </si>
  <si>
    <t xml:space="preserve">millionaire corn curls</t>
  </si>
  <si>
    <t xml:space="preserve">Product renamed in Shopify – not found</t>
  </si>
  <si>
    <t xml:space="preserve">Fine Rabea Leaf Tea 400</t>
  </si>
  <si>
    <t xml:space="preserve">toffo deemah salted caramel</t>
  </si>
  <si>
    <t xml:space="preserve">Last Price</t>
  </si>
  <si>
    <t xml:space="preserve">Status</t>
  </si>
  <si>
    <t xml:space="preserve">alameed turkish coffee without cardamom 250g</t>
  </si>
  <si>
    <t xml:space="preserve">Was DRAFT/suspended – deleted from Shopify on 24 Oct (owner request)</t>
  </si>
  <si>
    <t xml:space="preserve">Al Ameed turkish Light Coffee without cardamom 250g</t>
  </si>
  <si>
    <t xml:space="preserve">Al Ameed turkish black Coffee 250g</t>
  </si>
  <si>
    <t xml:space="preserve">Al Ameed turkish black Coffee without cardamom 250g</t>
  </si>
  <si>
    <t xml:space="preserve">alameed coffee french 250g</t>
  </si>
  <si>
    <t xml:space="preserve">alameed coffee french hazelnut 250g</t>
  </si>
  <si>
    <t xml:space="preserve">Al Ameed turkish Light Coffee 250g</t>
  </si>
  <si>
    <t xml:space="preserve">alameed turkish coffee 250g</t>
  </si>
  <si>
    <t xml:space="preserve">Al Ameed Decaf without cardamom Coffee 250g</t>
  </si>
  <si>
    <t xml:space="preserve">alameed coffee french mistka 250g</t>
  </si>
  <si>
    <t xml:space="preserve">alameed coffee french orangina 250g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</si>
</sst>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.00"/>
    <numFmt numFmtId="167" formatCode="#,##0.00;[RED]\(#,##0.00\)"/>
    <numFmt numFmtId="168" formatCode="0.0%;[RED]\(0.0%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6" customFormat="false" ht="15" hidden="false" customHeight="false" outlineLevel="0" collapsed="false">
      <c r="A6" s="2" t="s">
        <v>7</v>
      </c>
      <c r="B6" s="3" t="n">
        <f aca="false">COUNTA(Applied!A2:A1186)</f>
        <v>1185</v>
      </c>
    </row>
    <row r="7" customFormat="false" ht="15" hidden="false" customHeight="false" outlineLevel="0" collapsed="false">
      <c r="A7" s="2" t="s">
        <v>8</v>
      </c>
      <c r="B7" s="4" t="n">
        <f aca="false">AVERAGE(Applied!H2:H1186)</f>
        <v>0.203797850961264</v>
      </c>
    </row>
    <row r="8" customFormat="false" ht="15" hidden="false" customHeight="false" outlineLevel="0" collapsed="false">
      <c r="A8" s="2" t="s">
        <v>9</v>
      </c>
      <c r="B8" s="3" t="n">
        <f aca="false">COUNTA(Excluded!A2:A53)</f>
        <v>52</v>
      </c>
    </row>
    <row r="9" customFormat="false" ht="15" hidden="false" customHeight="false" outlineLevel="0" collapsed="false">
      <c r="A9" s="2" t="s">
        <v>10</v>
      </c>
      <c r="B9" s="3" t="n">
        <f aca="false">COUNTA(Skipped!A2:A21)</f>
        <v>20</v>
      </c>
    </row>
    <row r="10" customFormat="false" ht="15" hidden="false" customHeight="false" outlineLevel="0" collapsed="false">
      <c r="A10" s="2" t="s">
        <v>11</v>
      </c>
      <c r="B10" s="3" t="n">
        <f aca="false">COUNTA(Deleted!A2:A12)</f>
        <v>11</v>
      </c>
    </row>
    <row r="12" customFormat="false" ht="15" hidden="false" customHeight="false" outlineLevel="0" collapsed="false">
      <c r="A12" s="2" t="s">
        <v>12</v>
      </c>
      <c r="B12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60"/>
  </cols>
  <sheetData>
    <row r="1" customFormat="false" ht="30" hidden="false" customHeight="true" outlineLevel="0" collapsed="false">
      <c r="A1" s="5" t="s">
        <v>14</v>
      </c>
      <c r="B1" s="5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  <c r="I1" s="5" t="s">
        <v>3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s">
        <v>24</v>
      </c>
      <c r="D2" s="3" t="n">
        <v>5</v>
      </c>
      <c r="E2" s="6" t="n">
        <v>44.99</v>
      </c>
      <c r="F2" s="6" t="n">
        <v>46</v>
      </c>
      <c r="G2" s="7" t="n">
        <f aca="false">F2-E2</f>
        <v>1.01</v>
      </c>
      <c r="H2" s="8" t="n">
        <f aca="false">IF(E2=0,0,F2/E2-1)</f>
        <v>0.0224494332073795</v>
      </c>
      <c r="I2" s="3" t="s">
        <v>25</v>
      </c>
    </row>
    <row r="3" customFormat="false" ht="15" hidden="false" customHeight="false" outlineLevel="0" collapsed="false">
      <c r="A3" s="3" t="s">
        <v>26</v>
      </c>
      <c r="B3" s="3" t="s">
        <v>23</v>
      </c>
      <c r="C3" s="3" t="s">
        <v>24</v>
      </c>
      <c r="D3" s="3" t="n">
        <v>1</v>
      </c>
      <c r="E3" s="6" t="n">
        <v>12</v>
      </c>
      <c r="F3" s="6" t="n">
        <v>15</v>
      </c>
      <c r="G3" s="7" t="n">
        <f aca="false">F3-E3</f>
        <v>3</v>
      </c>
      <c r="H3" s="8" t="n">
        <f aca="false">IF(E3=0,0,F3/E3-1)</f>
        <v>0.25</v>
      </c>
      <c r="I3" s="3" t="s">
        <v>27</v>
      </c>
    </row>
    <row r="4" customFormat="false" ht="15" hidden="false" customHeight="false" outlineLevel="0" collapsed="false">
      <c r="A4" s="3" t="s">
        <v>28</v>
      </c>
      <c r="B4" s="3" t="s">
        <v>23</v>
      </c>
      <c r="C4" s="3" t="s">
        <v>24</v>
      </c>
      <c r="D4" s="3" t="n">
        <v>5</v>
      </c>
      <c r="E4" s="6" t="n">
        <v>30</v>
      </c>
      <c r="F4" s="6" t="n">
        <v>31</v>
      </c>
      <c r="G4" s="7" t="n">
        <f aca="false">F4-E4</f>
        <v>1</v>
      </c>
      <c r="H4" s="8" t="n">
        <f aca="false">IF(E4=0,0,F4/E4-1)</f>
        <v>0.0333333333333334</v>
      </c>
      <c r="I4" s="3" t="s">
        <v>25</v>
      </c>
    </row>
    <row r="5" customFormat="false" ht="15" hidden="false" customHeight="false" outlineLevel="0" collapsed="false">
      <c r="A5" s="3" t="s">
        <v>29</v>
      </c>
      <c r="B5" s="3" t="s">
        <v>23</v>
      </c>
      <c r="C5" s="3" t="s">
        <v>24</v>
      </c>
      <c r="D5" s="3" t="n">
        <v>2</v>
      </c>
      <c r="E5" s="6" t="n">
        <v>95</v>
      </c>
      <c r="F5" s="6" t="n">
        <v>113</v>
      </c>
      <c r="G5" s="7" t="n">
        <f aca="false">F5-E5</f>
        <v>18</v>
      </c>
      <c r="H5" s="8" t="n">
        <f aca="false">IF(E5=0,0,F5/E5-1)</f>
        <v>0.189473684210526</v>
      </c>
      <c r="I5" s="3" t="s">
        <v>30</v>
      </c>
    </row>
    <row r="6" customFormat="false" ht="15" hidden="false" customHeight="false" outlineLevel="0" collapsed="false">
      <c r="A6" s="3" t="s">
        <v>31</v>
      </c>
      <c r="B6" s="3" t="s">
        <v>23</v>
      </c>
      <c r="C6" s="3" t="s">
        <v>24</v>
      </c>
      <c r="D6" s="3" t="n">
        <v>4</v>
      </c>
      <c r="E6" s="6" t="n">
        <v>149.99</v>
      </c>
      <c r="F6" s="6" t="n">
        <v>173</v>
      </c>
      <c r="G6" s="7" t="n">
        <f aca="false">F6-E6</f>
        <v>23.01</v>
      </c>
      <c r="H6" s="8" t="n">
        <f aca="false">IF(E6=0,0,F6/E6-1)</f>
        <v>0.15341022734849</v>
      </c>
      <c r="I6" s="3" t="s">
        <v>32</v>
      </c>
    </row>
    <row r="7" customFormat="false" ht="15" hidden="false" customHeight="false" outlineLevel="0" collapsed="false">
      <c r="A7" s="3" t="s">
        <v>33</v>
      </c>
      <c r="B7" s="3" t="s">
        <v>34</v>
      </c>
      <c r="C7" s="3" t="s">
        <v>24</v>
      </c>
      <c r="D7" s="3" t="n">
        <v>4</v>
      </c>
      <c r="E7" s="6" t="n">
        <v>885</v>
      </c>
      <c r="F7" s="6" t="n">
        <v>1020</v>
      </c>
      <c r="G7" s="7" t="n">
        <f aca="false">F7-E7</f>
        <v>135</v>
      </c>
      <c r="H7" s="8" t="n">
        <f aca="false">IF(E7=0,0,F7/E7-1)</f>
        <v>0.152542372881356</v>
      </c>
      <c r="I7" s="3" t="s">
        <v>32</v>
      </c>
    </row>
    <row r="8" customFormat="false" ht="15" hidden="false" customHeight="false" outlineLevel="0" collapsed="false">
      <c r="A8" s="3" t="s">
        <v>33</v>
      </c>
      <c r="B8" s="3" t="s">
        <v>35</v>
      </c>
      <c r="C8" s="3" t="s">
        <v>24</v>
      </c>
      <c r="D8" s="3" t="n">
        <v>4</v>
      </c>
      <c r="E8" s="6" t="n">
        <v>950</v>
      </c>
      <c r="F8" s="6" t="n">
        <v>1095</v>
      </c>
      <c r="G8" s="7" t="n">
        <f aca="false">F8-E8</f>
        <v>145</v>
      </c>
      <c r="H8" s="8" t="n">
        <f aca="false">IF(E8=0,0,F8/E8-1)</f>
        <v>0.152631578947368</v>
      </c>
      <c r="I8" s="3" t="s">
        <v>32</v>
      </c>
    </row>
    <row r="9" customFormat="false" ht="15" hidden="false" customHeight="false" outlineLevel="0" collapsed="false">
      <c r="A9" s="3" t="s">
        <v>33</v>
      </c>
      <c r="B9" s="3" t="s">
        <v>36</v>
      </c>
      <c r="C9" s="3" t="s">
        <v>24</v>
      </c>
      <c r="D9" s="3" t="n">
        <v>4</v>
      </c>
      <c r="E9" s="6" t="n">
        <v>118.45</v>
      </c>
      <c r="F9" s="6" t="n">
        <v>137</v>
      </c>
      <c r="G9" s="7" t="n">
        <f aca="false">F9-E9</f>
        <v>18.55</v>
      </c>
      <c r="H9" s="8" t="n">
        <f aca="false">IF(E9=0,0,F9/E9-1)</f>
        <v>0.156606162937949</v>
      </c>
      <c r="I9" s="3" t="s">
        <v>32</v>
      </c>
    </row>
    <row r="10" customFormat="false" ht="15" hidden="false" customHeight="false" outlineLevel="0" collapsed="false">
      <c r="A10" s="3" t="s">
        <v>37</v>
      </c>
      <c r="B10" s="3" t="s">
        <v>23</v>
      </c>
      <c r="C10" s="3" t="s">
        <v>24</v>
      </c>
      <c r="D10" s="3" t="n">
        <v>3</v>
      </c>
      <c r="E10" s="6" t="n">
        <v>55.37</v>
      </c>
      <c r="F10" s="6" t="n">
        <v>64.5</v>
      </c>
      <c r="G10" s="7" t="n">
        <f aca="false">F10-E10</f>
        <v>9.13</v>
      </c>
      <c r="H10" s="8" t="n">
        <f aca="false">IF(E10=0,0,F10/E10-1)</f>
        <v>0.164890735055084</v>
      </c>
      <c r="I10" s="3" t="s">
        <v>38</v>
      </c>
    </row>
    <row r="11" customFormat="false" ht="15" hidden="false" customHeight="false" outlineLevel="0" collapsed="false">
      <c r="A11" s="3" t="s">
        <v>39</v>
      </c>
      <c r="B11" s="3" t="s">
        <v>23</v>
      </c>
      <c r="C11" s="3" t="s">
        <v>24</v>
      </c>
      <c r="D11" s="3" t="n">
        <v>5</v>
      </c>
      <c r="E11" s="6" t="n">
        <v>22</v>
      </c>
      <c r="F11" s="6" t="n">
        <v>22.5</v>
      </c>
      <c r="G11" s="7" t="n">
        <f aca="false">F11-E11</f>
        <v>0.5</v>
      </c>
      <c r="H11" s="8" t="n">
        <f aca="false">IF(E11=0,0,F11/E11-1)</f>
        <v>0.0227272727272727</v>
      </c>
      <c r="I11" s="3" t="s">
        <v>25</v>
      </c>
    </row>
    <row r="12" customFormat="false" ht="15" hidden="false" customHeight="false" outlineLevel="0" collapsed="false">
      <c r="A12" s="3" t="s">
        <v>40</v>
      </c>
      <c r="B12" s="3" t="s">
        <v>23</v>
      </c>
      <c r="C12" s="3" t="s">
        <v>24</v>
      </c>
      <c r="D12" s="3" t="n">
        <v>4</v>
      </c>
      <c r="E12" s="6" t="n">
        <v>99</v>
      </c>
      <c r="F12" s="6" t="n">
        <v>114</v>
      </c>
      <c r="G12" s="7" t="n">
        <f aca="false">F12-E12</f>
        <v>15</v>
      </c>
      <c r="H12" s="8" t="n">
        <f aca="false">IF(E12=0,0,F12/E12-1)</f>
        <v>0.151515151515152</v>
      </c>
      <c r="I12" s="3" t="s">
        <v>32</v>
      </c>
    </row>
    <row r="13" customFormat="false" ht="15" hidden="false" customHeight="false" outlineLevel="0" collapsed="false">
      <c r="A13" s="3" t="s">
        <v>41</v>
      </c>
      <c r="B13" s="3" t="s">
        <v>23</v>
      </c>
      <c r="C13" s="3" t="s">
        <v>24</v>
      </c>
      <c r="D13" s="3" t="n">
        <v>5</v>
      </c>
      <c r="E13" s="6" t="n">
        <v>45</v>
      </c>
      <c r="F13" s="6" t="n">
        <v>46</v>
      </c>
      <c r="G13" s="7" t="n">
        <f aca="false">F13-E13</f>
        <v>1</v>
      </c>
      <c r="H13" s="8" t="n">
        <f aca="false">IF(E13=0,0,F13/E13-1)</f>
        <v>0.0222222222222221</v>
      </c>
      <c r="I13" s="3" t="s">
        <v>25</v>
      </c>
    </row>
    <row r="14" customFormat="false" ht="15" hidden="false" customHeight="false" outlineLevel="0" collapsed="false">
      <c r="A14" s="3" t="s">
        <v>42</v>
      </c>
      <c r="B14" s="3" t="s">
        <v>23</v>
      </c>
      <c r="C14" s="3" t="s">
        <v>24</v>
      </c>
      <c r="D14" s="3" t="n">
        <v>1</v>
      </c>
      <c r="E14" s="6" t="n">
        <v>9</v>
      </c>
      <c r="F14" s="6" t="n">
        <v>11</v>
      </c>
      <c r="G14" s="7" t="n">
        <f aca="false">F14-E14</f>
        <v>2</v>
      </c>
      <c r="H14" s="8" t="n">
        <f aca="false">IF(E14=0,0,F14/E14-1)</f>
        <v>0.222222222222222</v>
      </c>
      <c r="I14" s="3" t="s">
        <v>27</v>
      </c>
    </row>
    <row r="15" customFormat="false" ht="15" hidden="false" customHeight="false" outlineLevel="0" collapsed="false">
      <c r="A15" s="3" t="s">
        <v>43</v>
      </c>
      <c r="B15" s="3" t="s">
        <v>23</v>
      </c>
      <c r="C15" s="3" t="s">
        <v>24</v>
      </c>
      <c r="D15" s="3" t="n">
        <v>2</v>
      </c>
      <c r="E15" s="6" t="n">
        <v>315.01</v>
      </c>
      <c r="F15" s="6" t="n">
        <v>372</v>
      </c>
      <c r="G15" s="7" t="n">
        <f aca="false">F15-E15</f>
        <v>56.99</v>
      </c>
      <c r="H15" s="8" t="n">
        <f aca="false">IF(E15=0,0,F15/E15-1)</f>
        <v>0.180914891590743</v>
      </c>
      <c r="I15" s="3" t="s">
        <v>44</v>
      </c>
    </row>
    <row r="16" customFormat="false" ht="15" hidden="false" customHeight="false" outlineLevel="0" collapsed="false">
      <c r="A16" s="3" t="s">
        <v>45</v>
      </c>
      <c r="B16" s="3" t="s">
        <v>23</v>
      </c>
      <c r="C16" s="3" t="s">
        <v>24</v>
      </c>
      <c r="D16" s="3" t="n">
        <v>4</v>
      </c>
      <c r="E16" s="6" t="n">
        <v>80</v>
      </c>
      <c r="F16" s="6" t="n">
        <v>92</v>
      </c>
      <c r="G16" s="7" t="n">
        <f aca="false">F16-E16</f>
        <v>12</v>
      </c>
      <c r="H16" s="8" t="n">
        <f aca="false">IF(E16=0,0,F16/E16-1)</f>
        <v>0.15</v>
      </c>
      <c r="I16" s="3" t="s">
        <v>32</v>
      </c>
    </row>
    <row r="17" customFormat="false" ht="15" hidden="false" customHeight="false" outlineLevel="0" collapsed="false">
      <c r="A17" s="3" t="s">
        <v>46</v>
      </c>
      <c r="B17" s="3" t="s">
        <v>23</v>
      </c>
      <c r="C17" s="3" t="s">
        <v>24</v>
      </c>
      <c r="D17" s="3" t="n">
        <v>5</v>
      </c>
      <c r="E17" s="6" t="n">
        <v>39.99</v>
      </c>
      <c r="F17" s="6" t="n">
        <v>41</v>
      </c>
      <c r="G17" s="7" t="n">
        <f aca="false">F17-E17</f>
        <v>1.01</v>
      </c>
      <c r="H17" s="8" t="n">
        <f aca="false">IF(E17=0,0,F17/E17-1)</f>
        <v>0.0252563140785196</v>
      </c>
      <c r="I17" s="3" t="s">
        <v>25</v>
      </c>
    </row>
    <row r="18" customFormat="false" ht="15" hidden="false" customHeight="false" outlineLevel="0" collapsed="false">
      <c r="A18" s="3" t="s">
        <v>47</v>
      </c>
      <c r="B18" s="3" t="s">
        <v>23</v>
      </c>
      <c r="C18" s="3" t="s">
        <v>24</v>
      </c>
      <c r="D18" s="3" t="n">
        <v>5</v>
      </c>
      <c r="E18" s="6" t="n">
        <v>39.99</v>
      </c>
      <c r="F18" s="6" t="n">
        <v>41</v>
      </c>
      <c r="G18" s="7" t="n">
        <f aca="false">F18-E18</f>
        <v>1.01</v>
      </c>
      <c r="H18" s="8" t="n">
        <f aca="false">IF(E18=0,0,F18/E18-1)</f>
        <v>0.0252563140785196</v>
      </c>
      <c r="I18" s="3" t="s">
        <v>25</v>
      </c>
    </row>
    <row r="19" customFormat="false" ht="15" hidden="false" customHeight="false" outlineLevel="0" collapsed="false">
      <c r="A19" s="3" t="s">
        <v>48</v>
      </c>
      <c r="B19" s="3" t="s">
        <v>23</v>
      </c>
      <c r="C19" s="3" t="s">
        <v>24</v>
      </c>
      <c r="D19" s="3" t="n">
        <v>1</v>
      </c>
      <c r="E19" s="6" t="n">
        <v>6</v>
      </c>
      <c r="F19" s="6" t="n">
        <v>7.5</v>
      </c>
      <c r="G19" s="7" t="n">
        <f aca="false">F19-E19</f>
        <v>1.5</v>
      </c>
      <c r="H19" s="8" t="n">
        <f aca="false">IF(E19=0,0,F19/E19-1)</f>
        <v>0.25</v>
      </c>
      <c r="I19" s="3" t="s">
        <v>27</v>
      </c>
    </row>
    <row r="20" customFormat="false" ht="15" hidden="false" customHeight="false" outlineLevel="0" collapsed="false">
      <c r="A20" s="3" t="s">
        <v>49</v>
      </c>
      <c r="B20" s="3" t="s">
        <v>23</v>
      </c>
      <c r="C20" s="3" t="s">
        <v>24</v>
      </c>
      <c r="D20" s="3" t="n">
        <v>1</v>
      </c>
      <c r="E20" s="6" t="n">
        <v>22</v>
      </c>
      <c r="F20" s="6" t="n">
        <v>27</v>
      </c>
      <c r="G20" s="7" t="n">
        <f aca="false">F20-E20</f>
        <v>5</v>
      </c>
      <c r="H20" s="8" t="n">
        <f aca="false">IF(E20=0,0,F20/E20-1)</f>
        <v>0.227272727272727</v>
      </c>
      <c r="I20" s="3" t="s">
        <v>27</v>
      </c>
    </row>
    <row r="21" customFormat="false" ht="15" hidden="false" customHeight="false" outlineLevel="0" collapsed="false">
      <c r="A21" s="3" t="s">
        <v>50</v>
      </c>
      <c r="B21" s="3" t="s">
        <v>23</v>
      </c>
      <c r="C21" s="3" t="s">
        <v>24</v>
      </c>
      <c r="D21" s="3" t="n">
        <v>2</v>
      </c>
      <c r="E21" s="6" t="n">
        <v>44.99</v>
      </c>
      <c r="F21" s="6" t="n">
        <v>53.5</v>
      </c>
      <c r="G21" s="7" t="n">
        <f aca="false">F21-E21</f>
        <v>8.51</v>
      </c>
      <c r="H21" s="8" t="n">
        <f aca="false">IF(E21=0,0,F21/E21-1)</f>
        <v>0.189153145143365</v>
      </c>
      <c r="I21" s="3" t="s">
        <v>51</v>
      </c>
    </row>
    <row r="22" customFormat="false" ht="15" hidden="false" customHeight="false" outlineLevel="0" collapsed="false">
      <c r="A22" s="3" t="s">
        <v>52</v>
      </c>
      <c r="B22" s="3" t="s">
        <v>23</v>
      </c>
      <c r="C22" s="3" t="s">
        <v>24</v>
      </c>
      <c r="D22" s="3" t="n">
        <v>2</v>
      </c>
      <c r="E22" s="6" t="n">
        <v>69.99</v>
      </c>
      <c r="F22" s="6" t="n">
        <v>83</v>
      </c>
      <c r="G22" s="7" t="n">
        <f aca="false">F22-E22</f>
        <v>13.01</v>
      </c>
      <c r="H22" s="8" t="n">
        <f aca="false">IF(E22=0,0,F22/E22-1)</f>
        <v>0.185883697671096</v>
      </c>
      <c r="I22" s="3" t="s">
        <v>30</v>
      </c>
    </row>
    <row r="23" customFormat="false" ht="15" hidden="false" customHeight="false" outlineLevel="0" collapsed="false">
      <c r="A23" s="3" t="s">
        <v>53</v>
      </c>
      <c r="B23" s="3" t="s">
        <v>23</v>
      </c>
      <c r="C23" s="3" t="s">
        <v>24</v>
      </c>
      <c r="D23" s="3" t="n">
        <v>4</v>
      </c>
      <c r="E23" s="6" t="n">
        <v>129.8</v>
      </c>
      <c r="F23" s="6" t="n">
        <v>150</v>
      </c>
      <c r="G23" s="7" t="n">
        <f aca="false">F23-E23</f>
        <v>20.2</v>
      </c>
      <c r="H23" s="8" t="n">
        <f aca="false">IF(E23=0,0,F23/E23-1)</f>
        <v>0.155624036979969</v>
      </c>
      <c r="I23" s="3" t="s">
        <v>32</v>
      </c>
    </row>
    <row r="24" customFormat="false" ht="15" hidden="false" customHeight="false" outlineLevel="0" collapsed="false">
      <c r="A24" s="3" t="s">
        <v>54</v>
      </c>
      <c r="B24" s="3" t="s">
        <v>23</v>
      </c>
      <c r="C24" s="3" t="s">
        <v>24</v>
      </c>
      <c r="D24" s="3" t="n">
        <v>3</v>
      </c>
      <c r="E24" s="6" t="n">
        <v>29.99</v>
      </c>
      <c r="F24" s="6" t="n">
        <v>35</v>
      </c>
      <c r="G24" s="7" t="n">
        <f aca="false">F24-E24</f>
        <v>5.01</v>
      </c>
      <c r="H24" s="8" t="n">
        <f aca="false">IF(E24=0,0,F24/E24-1)</f>
        <v>0.16705568522841</v>
      </c>
      <c r="I24" s="3" t="s">
        <v>38</v>
      </c>
    </row>
    <row r="25" customFormat="false" ht="15" hidden="false" customHeight="false" outlineLevel="0" collapsed="false">
      <c r="A25" s="3" t="s">
        <v>55</v>
      </c>
      <c r="B25" s="3" t="s">
        <v>23</v>
      </c>
      <c r="C25" s="3" t="s">
        <v>24</v>
      </c>
      <c r="D25" s="3" t="n">
        <v>5</v>
      </c>
      <c r="E25" s="6" t="n">
        <v>29.99</v>
      </c>
      <c r="F25" s="6" t="n">
        <v>31</v>
      </c>
      <c r="G25" s="7" t="n">
        <f aca="false">F25-E25</f>
        <v>1.01</v>
      </c>
      <c r="H25" s="8" t="n">
        <f aca="false">IF(E25=0,0,F25/E25-1)</f>
        <v>0.033677892630877</v>
      </c>
      <c r="I25" s="3" t="s">
        <v>25</v>
      </c>
    </row>
    <row r="26" customFormat="false" ht="15" hidden="false" customHeight="false" outlineLevel="0" collapsed="false">
      <c r="A26" s="3" t="s">
        <v>56</v>
      </c>
      <c r="B26" s="3" t="s">
        <v>23</v>
      </c>
      <c r="C26" s="3" t="s">
        <v>24</v>
      </c>
      <c r="D26" s="3" t="n">
        <v>5</v>
      </c>
      <c r="E26" s="6" t="n">
        <v>24.99</v>
      </c>
      <c r="F26" s="6" t="n">
        <v>25.5</v>
      </c>
      <c r="G26" s="7" t="n">
        <f aca="false">F26-E26</f>
        <v>0.510000000000002</v>
      </c>
      <c r="H26" s="8" t="n">
        <f aca="false">IF(E26=0,0,F26/E26-1)</f>
        <v>0.0204081632653061</v>
      </c>
      <c r="I26" s="3" t="s">
        <v>25</v>
      </c>
    </row>
    <row r="27" customFormat="false" ht="15" hidden="false" customHeight="false" outlineLevel="0" collapsed="false">
      <c r="A27" s="3" t="s">
        <v>57</v>
      </c>
      <c r="B27" s="3" t="s">
        <v>23</v>
      </c>
      <c r="C27" s="3" t="s">
        <v>24</v>
      </c>
      <c r="D27" s="3" t="n">
        <v>5</v>
      </c>
      <c r="E27" s="6" t="n">
        <v>42.9</v>
      </c>
      <c r="F27" s="6" t="n">
        <v>44</v>
      </c>
      <c r="G27" s="7" t="n">
        <f aca="false">F27-E27</f>
        <v>1.1</v>
      </c>
      <c r="H27" s="8" t="n">
        <f aca="false">IF(E27=0,0,F27/E27-1)</f>
        <v>0.0256410256410258</v>
      </c>
      <c r="I27" s="3" t="s">
        <v>25</v>
      </c>
    </row>
    <row r="28" customFormat="false" ht="15" hidden="false" customHeight="false" outlineLevel="0" collapsed="false">
      <c r="A28" s="3" t="s">
        <v>58</v>
      </c>
      <c r="B28" s="3" t="s">
        <v>23</v>
      </c>
      <c r="C28" s="3" t="s">
        <v>24</v>
      </c>
      <c r="D28" s="3" t="n">
        <v>3</v>
      </c>
      <c r="E28" s="6" t="n">
        <v>99</v>
      </c>
      <c r="F28" s="6" t="n">
        <v>115</v>
      </c>
      <c r="G28" s="7" t="n">
        <f aca="false">F28-E28</f>
        <v>16</v>
      </c>
      <c r="H28" s="8" t="n">
        <f aca="false">IF(E28=0,0,F28/E28-1)</f>
        <v>0.161616161616162</v>
      </c>
      <c r="I28" s="3" t="s">
        <v>38</v>
      </c>
    </row>
    <row r="29" customFormat="false" ht="15" hidden="false" customHeight="false" outlineLevel="0" collapsed="false">
      <c r="A29" s="3" t="s">
        <v>59</v>
      </c>
      <c r="B29" s="3" t="s">
        <v>23</v>
      </c>
      <c r="C29" s="3" t="s">
        <v>24</v>
      </c>
      <c r="D29" s="3" t="n">
        <v>4</v>
      </c>
      <c r="E29" s="6" t="n">
        <v>137.99</v>
      </c>
      <c r="F29" s="6" t="n">
        <v>159</v>
      </c>
      <c r="G29" s="7" t="n">
        <f aca="false">F29-E29</f>
        <v>21.01</v>
      </c>
      <c r="H29" s="8" t="n">
        <f aca="false">IF(E29=0,0,F29/E29-1)</f>
        <v>0.152257409957243</v>
      </c>
      <c r="I29" s="3" t="s">
        <v>32</v>
      </c>
    </row>
    <row r="30" customFormat="false" ht="15" hidden="false" customHeight="false" outlineLevel="0" collapsed="false">
      <c r="A30" s="3" t="s">
        <v>60</v>
      </c>
      <c r="B30" s="3" t="s">
        <v>23</v>
      </c>
      <c r="C30" s="3" t="s">
        <v>24</v>
      </c>
      <c r="D30" s="3" t="n">
        <v>5</v>
      </c>
      <c r="E30" s="6" t="n">
        <v>44.99</v>
      </c>
      <c r="F30" s="6" t="n">
        <v>46</v>
      </c>
      <c r="G30" s="7" t="n">
        <f aca="false">F30-E30</f>
        <v>1.01</v>
      </c>
      <c r="H30" s="8" t="n">
        <f aca="false">IF(E30=0,0,F30/E30-1)</f>
        <v>0.0224494332073795</v>
      </c>
      <c r="I30" s="3" t="s">
        <v>25</v>
      </c>
    </row>
    <row r="31" customFormat="false" ht="15" hidden="false" customHeight="false" outlineLevel="0" collapsed="false">
      <c r="A31" s="3" t="s">
        <v>61</v>
      </c>
      <c r="B31" s="3" t="s">
        <v>23</v>
      </c>
      <c r="C31" s="3" t="s">
        <v>24</v>
      </c>
      <c r="D31" s="3" t="n">
        <v>4</v>
      </c>
      <c r="E31" s="6" t="n">
        <v>405.9</v>
      </c>
      <c r="F31" s="6" t="n">
        <v>467</v>
      </c>
      <c r="G31" s="7" t="n">
        <f aca="false">F31-E31</f>
        <v>61.1</v>
      </c>
      <c r="H31" s="8" t="n">
        <f aca="false">IF(E31=0,0,F31/E31-1)</f>
        <v>0.150529687115053</v>
      </c>
      <c r="I31" s="3" t="s">
        <v>32</v>
      </c>
    </row>
    <row r="32" customFormat="false" ht="15" hidden="false" customHeight="false" outlineLevel="0" collapsed="false">
      <c r="A32" s="3" t="s">
        <v>62</v>
      </c>
      <c r="B32" s="3" t="s">
        <v>23</v>
      </c>
      <c r="C32" s="3" t="s">
        <v>24</v>
      </c>
      <c r="D32" s="3" t="n">
        <v>4</v>
      </c>
      <c r="E32" s="6" t="n">
        <v>299.99</v>
      </c>
      <c r="F32" s="6" t="n">
        <v>345</v>
      </c>
      <c r="G32" s="7" t="n">
        <f aca="false">F32-E32</f>
        <v>45.01</v>
      </c>
      <c r="H32" s="8" t="n">
        <f aca="false">IF(E32=0,0,F32/E32-1)</f>
        <v>0.150038334611154</v>
      </c>
      <c r="I32" s="3" t="s">
        <v>32</v>
      </c>
    </row>
    <row r="33" customFormat="false" ht="15" hidden="false" customHeight="false" outlineLevel="0" collapsed="false">
      <c r="A33" s="3" t="s">
        <v>63</v>
      </c>
      <c r="B33" s="3" t="s">
        <v>23</v>
      </c>
      <c r="C33" s="3" t="s">
        <v>24</v>
      </c>
      <c r="D33" s="3" t="n">
        <v>5</v>
      </c>
      <c r="E33" s="6" t="n">
        <v>38.42</v>
      </c>
      <c r="F33" s="6" t="n">
        <v>39.5</v>
      </c>
      <c r="G33" s="7" t="n">
        <f aca="false">F33-E33</f>
        <v>1.08</v>
      </c>
      <c r="H33" s="8" t="n">
        <f aca="false">IF(E33=0,0,F33/E33-1)</f>
        <v>0.0281103591879228</v>
      </c>
      <c r="I33" s="3" t="s">
        <v>25</v>
      </c>
    </row>
    <row r="34" customFormat="false" ht="15" hidden="false" customHeight="false" outlineLevel="0" collapsed="false">
      <c r="A34" s="3" t="s">
        <v>64</v>
      </c>
      <c r="B34" s="3" t="s">
        <v>23</v>
      </c>
      <c r="C34" s="3" t="s">
        <v>24</v>
      </c>
      <c r="D34" s="3" t="n">
        <v>1</v>
      </c>
      <c r="E34" s="6" t="n">
        <v>7.7</v>
      </c>
      <c r="F34" s="6" t="n">
        <v>9.5</v>
      </c>
      <c r="G34" s="7" t="n">
        <f aca="false">F34-E34</f>
        <v>1.8</v>
      </c>
      <c r="H34" s="8" t="n">
        <f aca="false">IF(E34=0,0,F34/E34-1)</f>
        <v>0.233766233766234</v>
      </c>
      <c r="I34" s="3" t="s">
        <v>27</v>
      </c>
    </row>
    <row r="35" customFormat="false" ht="15" hidden="false" customHeight="false" outlineLevel="0" collapsed="false">
      <c r="A35" s="3" t="s">
        <v>65</v>
      </c>
      <c r="B35" s="3" t="s">
        <v>23</v>
      </c>
      <c r="C35" s="3" t="s">
        <v>24</v>
      </c>
      <c r="D35" s="3" t="n">
        <v>1</v>
      </c>
      <c r="E35" s="6" t="n">
        <v>11</v>
      </c>
      <c r="F35" s="6" t="n">
        <v>13.5</v>
      </c>
      <c r="G35" s="7" t="n">
        <f aca="false">F35-E35</f>
        <v>2.5</v>
      </c>
      <c r="H35" s="8" t="n">
        <f aca="false">IF(E35=0,0,F35/E35-1)</f>
        <v>0.227272727272727</v>
      </c>
      <c r="I35" s="3" t="s">
        <v>27</v>
      </c>
    </row>
    <row r="36" customFormat="false" ht="15" hidden="false" customHeight="false" outlineLevel="0" collapsed="false">
      <c r="A36" s="3" t="s">
        <v>66</v>
      </c>
      <c r="B36" s="3" t="s">
        <v>23</v>
      </c>
      <c r="C36" s="3" t="s">
        <v>24</v>
      </c>
      <c r="D36" s="3" t="n">
        <v>3</v>
      </c>
      <c r="E36" s="6" t="n">
        <v>111</v>
      </c>
      <c r="F36" s="6" t="n">
        <v>129</v>
      </c>
      <c r="G36" s="7" t="n">
        <f aca="false">F36-E36</f>
        <v>18</v>
      </c>
      <c r="H36" s="8" t="n">
        <f aca="false">IF(E36=0,0,F36/E36-1)</f>
        <v>0.162162162162162</v>
      </c>
      <c r="I36" s="3" t="s">
        <v>38</v>
      </c>
    </row>
    <row r="37" customFormat="false" ht="15" hidden="false" customHeight="false" outlineLevel="0" collapsed="false">
      <c r="A37" s="3" t="s">
        <v>67</v>
      </c>
      <c r="B37" s="3" t="s">
        <v>23</v>
      </c>
      <c r="C37" s="3" t="s">
        <v>24</v>
      </c>
      <c r="D37" s="3" t="n">
        <v>5</v>
      </c>
      <c r="E37" s="6" t="n">
        <v>35.03</v>
      </c>
      <c r="F37" s="6" t="n">
        <v>36</v>
      </c>
      <c r="G37" s="7" t="n">
        <f aca="false">F37-E37</f>
        <v>0.969999999999999</v>
      </c>
      <c r="H37" s="8" t="n">
        <f aca="false">IF(E37=0,0,F37/E37-1)</f>
        <v>0.0276905509563232</v>
      </c>
      <c r="I37" s="3" t="s">
        <v>25</v>
      </c>
    </row>
    <row r="38" customFormat="false" ht="15" hidden="false" customHeight="false" outlineLevel="0" collapsed="false">
      <c r="A38" s="3" t="s">
        <v>68</v>
      </c>
      <c r="B38" s="3" t="s">
        <v>23</v>
      </c>
      <c r="C38" s="3" t="s">
        <v>24</v>
      </c>
      <c r="D38" s="3" t="n">
        <v>4</v>
      </c>
      <c r="E38" s="6" t="n">
        <v>105.02</v>
      </c>
      <c r="F38" s="6" t="n">
        <v>121</v>
      </c>
      <c r="G38" s="7" t="n">
        <f aca="false">F38-E38</f>
        <v>15.98</v>
      </c>
      <c r="H38" s="8" t="n">
        <f aca="false">IF(E38=0,0,F38/E38-1)</f>
        <v>0.152161493048943</v>
      </c>
      <c r="I38" s="3" t="s">
        <v>32</v>
      </c>
    </row>
    <row r="39" customFormat="false" ht="15" hidden="false" customHeight="false" outlineLevel="0" collapsed="false">
      <c r="A39" s="3" t="s">
        <v>69</v>
      </c>
      <c r="B39" s="3" t="s">
        <v>23</v>
      </c>
      <c r="C39" s="3" t="s">
        <v>24</v>
      </c>
      <c r="D39" s="3" t="n">
        <v>5</v>
      </c>
      <c r="E39" s="6" t="n">
        <v>14.99</v>
      </c>
      <c r="F39" s="6" t="n">
        <v>15.5</v>
      </c>
      <c r="G39" s="7" t="n">
        <f aca="false">F39-E39</f>
        <v>0.51</v>
      </c>
      <c r="H39" s="8" t="n">
        <f aca="false">IF(E39=0,0,F39/E39-1)</f>
        <v>0.0340226817878586</v>
      </c>
      <c r="I39" s="3" t="s">
        <v>25</v>
      </c>
    </row>
    <row r="40" customFormat="false" ht="15" hidden="false" customHeight="false" outlineLevel="0" collapsed="false">
      <c r="A40" s="3" t="s">
        <v>70</v>
      </c>
      <c r="B40" s="3" t="s">
        <v>23</v>
      </c>
      <c r="C40" s="3" t="s">
        <v>24</v>
      </c>
      <c r="D40" s="3" t="n">
        <v>5</v>
      </c>
      <c r="E40" s="6" t="n">
        <v>49.99</v>
      </c>
      <c r="F40" s="6" t="n">
        <v>51</v>
      </c>
      <c r="G40" s="7" t="n">
        <f aca="false">F40-E40</f>
        <v>1.01</v>
      </c>
      <c r="H40" s="8" t="n">
        <f aca="false">IF(E40=0,0,F40/E40-1)</f>
        <v>0.0202040408081616</v>
      </c>
      <c r="I40" s="3" t="s">
        <v>25</v>
      </c>
    </row>
    <row r="41" customFormat="false" ht="15" hidden="false" customHeight="false" outlineLevel="0" collapsed="false">
      <c r="A41" s="3" t="s">
        <v>71</v>
      </c>
      <c r="B41" s="3" t="s">
        <v>23</v>
      </c>
      <c r="C41" s="3" t="s">
        <v>24</v>
      </c>
      <c r="D41" s="3" t="n">
        <v>3</v>
      </c>
      <c r="E41" s="6" t="n">
        <v>34.99</v>
      </c>
      <c r="F41" s="6" t="n">
        <v>41</v>
      </c>
      <c r="G41" s="7" t="n">
        <f aca="false">F41-E41</f>
        <v>6.01</v>
      </c>
      <c r="H41" s="8" t="n">
        <f aca="false">IF(E41=0,0,F41/E41-1)</f>
        <v>0.171763360960274</v>
      </c>
      <c r="I41" s="3" t="s">
        <v>38</v>
      </c>
    </row>
    <row r="42" customFormat="false" ht="15" hidden="false" customHeight="false" outlineLevel="0" collapsed="false">
      <c r="A42" s="3" t="s">
        <v>72</v>
      </c>
      <c r="B42" s="3" t="s">
        <v>23</v>
      </c>
      <c r="C42" s="3" t="s">
        <v>24</v>
      </c>
      <c r="D42" s="3" t="n">
        <v>5</v>
      </c>
      <c r="E42" s="6" t="n">
        <v>21</v>
      </c>
      <c r="F42" s="6" t="n">
        <v>21.5</v>
      </c>
      <c r="G42" s="7" t="n">
        <f aca="false">F42-E42</f>
        <v>0.5</v>
      </c>
      <c r="H42" s="8" t="n">
        <f aca="false">IF(E42=0,0,F42/E42-1)</f>
        <v>0.0238095238095237</v>
      </c>
      <c r="I42" s="3" t="s">
        <v>25</v>
      </c>
    </row>
    <row r="43" customFormat="false" ht="15" hidden="false" customHeight="false" outlineLevel="0" collapsed="false">
      <c r="A43" s="3" t="s">
        <v>73</v>
      </c>
      <c r="B43" s="3" t="s">
        <v>23</v>
      </c>
      <c r="C43" s="3" t="s">
        <v>24</v>
      </c>
      <c r="D43" s="3" t="n">
        <v>2</v>
      </c>
      <c r="E43" s="6" t="n">
        <v>129.99</v>
      </c>
      <c r="F43" s="6" t="n">
        <v>154</v>
      </c>
      <c r="G43" s="7" t="n">
        <f aca="false">F43-E43</f>
        <v>24.01</v>
      </c>
      <c r="H43" s="8" t="n">
        <f aca="false">IF(E43=0,0,F43/E43-1)</f>
        <v>0.184706515885837</v>
      </c>
      <c r="I43" s="3" t="s">
        <v>74</v>
      </c>
    </row>
    <row r="44" customFormat="false" ht="15" hidden="false" customHeight="false" outlineLevel="0" collapsed="false">
      <c r="A44" s="3" t="s">
        <v>75</v>
      </c>
      <c r="B44" s="3" t="s">
        <v>23</v>
      </c>
      <c r="C44" s="3" t="s">
        <v>24</v>
      </c>
      <c r="D44" s="3" t="n">
        <v>3</v>
      </c>
      <c r="E44" s="6" t="n">
        <v>44.99</v>
      </c>
      <c r="F44" s="6" t="n">
        <v>52.5</v>
      </c>
      <c r="G44" s="7" t="n">
        <f aca="false">F44-E44</f>
        <v>7.51</v>
      </c>
      <c r="H44" s="8" t="n">
        <f aca="false">IF(E44=0,0,F44/E44-1)</f>
        <v>0.1669259835519</v>
      </c>
      <c r="I44" s="3" t="s">
        <v>38</v>
      </c>
    </row>
    <row r="45" customFormat="false" ht="15" hidden="false" customHeight="false" outlineLevel="0" collapsed="false">
      <c r="A45" s="3" t="s">
        <v>76</v>
      </c>
      <c r="B45" s="3" t="s">
        <v>23</v>
      </c>
      <c r="C45" s="3" t="s">
        <v>24</v>
      </c>
      <c r="D45" s="3" t="n">
        <v>3</v>
      </c>
      <c r="E45" s="6" t="n">
        <v>70</v>
      </c>
      <c r="F45" s="6" t="n">
        <v>81.5</v>
      </c>
      <c r="G45" s="7" t="n">
        <f aca="false">F45-E45</f>
        <v>11.5</v>
      </c>
      <c r="H45" s="8" t="n">
        <f aca="false">IF(E45=0,0,F45/E45-1)</f>
        <v>0.164285714285714</v>
      </c>
      <c r="I45" s="3" t="s">
        <v>38</v>
      </c>
    </row>
    <row r="46" customFormat="false" ht="15" hidden="false" customHeight="false" outlineLevel="0" collapsed="false">
      <c r="A46" s="3" t="s">
        <v>77</v>
      </c>
      <c r="B46" s="3" t="s">
        <v>23</v>
      </c>
      <c r="C46" s="3" t="s">
        <v>24</v>
      </c>
      <c r="D46" s="3" t="n">
        <v>5</v>
      </c>
      <c r="E46" s="6" t="n">
        <v>29.99</v>
      </c>
      <c r="F46" s="6" t="n">
        <v>31</v>
      </c>
      <c r="G46" s="7" t="n">
        <f aca="false">F46-E46</f>
        <v>1.01</v>
      </c>
      <c r="H46" s="8" t="n">
        <f aca="false">IF(E46=0,0,F46/E46-1)</f>
        <v>0.033677892630877</v>
      </c>
      <c r="I46" s="3" t="s">
        <v>25</v>
      </c>
    </row>
    <row r="47" customFormat="false" ht="15" hidden="false" customHeight="false" outlineLevel="0" collapsed="false">
      <c r="A47" s="3" t="s">
        <v>78</v>
      </c>
      <c r="B47" s="3" t="s">
        <v>23</v>
      </c>
      <c r="C47" s="3" t="s">
        <v>24</v>
      </c>
      <c r="D47" s="3" t="n">
        <v>3</v>
      </c>
      <c r="E47" s="6" t="n">
        <v>56.49</v>
      </c>
      <c r="F47" s="6" t="n">
        <v>66</v>
      </c>
      <c r="G47" s="7" t="n">
        <f aca="false">F47-E47</f>
        <v>9.51</v>
      </c>
      <c r="H47" s="8" t="n">
        <f aca="false">IF(E47=0,0,F47/E47-1)</f>
        <v>0.168348380244291</v>
      </c>
      <c r="I47" s="3" t="s">
        <v>38</v>
      </c>
    </row>
    <row r="48" customFormat="false" ht="15" hidden="false" customHeight="false" outlineLevel="0" collapsed="false">
      <c r="A48" s="3" t="s">
        <v>79</v>
      </c>
      <c r="B48" s="3" t="s">
        <v>23</v>
      </c>
      <c r="C48" s="3" t="s">
        <v>24</v>
      </c>
      <c r="D48" s="3" t="n">
        <v>4</v>
      </c>
      <c r="E48" s="6" t="n">
        <v>83</v>
      </c>
      <c r="F48" s="6" t="n">
        <v>95.5</v>
      </c>
      <c r="G48" s="7" t="n">
        <f aca="false">F48-E48</f>
        <v>12.5</v>
      </c>
      <c r="H48" s="8" t="n">
        <f aca="false">IF(E48=0,0,F48/E48-1)</f>
        <v>0.150602409638554</v>
      </c>
      <c r="I48" s="3" t="s">
        <v>32</v>
      </c>
    </row>
    <row r="49" customFormat="false" ht="15" hidden="false" customHeight="false" outlineLevel="0" collapsed="false">
      <c r="A49" s="3" t="s">
        <v>80</v>
      </c>
      <c r="B49" s="3" t="s">
        <v>23</v>
      </c>
      <c r="C49" s="3" t="s">
        <v>24</v>
      </c>
      <c r="D49" s="3" t="n">
        <v>1</v>
      </c>
      <c r="E49" s="6" t="n">
        <v>24.99</v>
      </c>
      <c r="F49" s="6" t="n">
        <v>30.5</v>
      </c>
      <c r="G49" s="7" t="n">
        <f aca="false">F49-E49</f>
        <v>5.51</v>
      </c>
      <c r="H49" s="8" t="n">
        <f aca="false">IF(E49=0,0,F49/E49-1)</f>
        <v>0.220488195278111</v>
      </c>
      <c r="I49" s="3" t="s">
        <v>27</v>
      </c>
    </row>
    <row r="50" customFormat="false" ht="15" hidden="false" customHeight="false" outlineLevel="0" collapsed="false">
      <c r="A50" s="3" t="s">
        <v>81</v>
      </c>
      <c r="B50" s="3" t="s">
        <v>23</v>
      </c>
      <c r="C50" s="3" t="s">
        <v>24</v>
      </c>
      <c r="D50" s="3" t="n">
        <v>3</v>
      </c>
      <c r="E50" s="6" t="n">
        <v>49.99</v>
      </c>
      <c r="F50" s="6" t="n">
        <v>58</v>
      </c>
      <c r="G50" s="7" t="n">
        <f aca="false">F50-E50</f>
        <v>8.01</v>
      </c>
      <c r="H50" s="8" t="n">
        <f aca="false">IF(E50=0,0,F50/E50-1)</f>
        <v>0.160232046409282</v>
      </c>
      <c r="I50" s="3" t="s">
        <v>38</v>
      </c>
    </row>
    <row r="51" customFormat="false" ht="15" hidden="false" customHeight="false" outlineLevel="0" collapsed="false">
      <c r="A51" s="3" t="s">
        <v>82</v>
      </c>
      <c r="B51" s="3" t="s">
        <v>23</v>
      </c>
      <c r="C51" s="3" t="s">
        <v>24</v>
      </c>
      <c r="D51" s="3" t="n">
        <v>3</v>
      </c>
      <c r="E51" s="6" t="n">
        <v>55</v>
      </c>
      <c r="F51" s="6" t="n">
        <v>64</v>
      </c>
      <c r="G51" s="7" t="n">
        <f aca="false">F51-E51</f>
        <v>9</v>
      </c>
      <c r="H51" s="8" t="n">
        <f aca="false">IF(E51=0,0,F51/E51-1)</f>
        <v>0.163636363636364</v>
      </c>
      <c r="I51" s="3" t="s">
        <v>38</v>
      </c>
    </row>
    <row r="52" customFormat="false" ht="15" hidden="false" customHeight="false" outlineLevel="0" collapsed="false">
      <c r="A52" s="3" t="s">
        <v>83</v>
      </c>
      <c r="B52" s="3" t="s">
        <v>23</v>
      </c>
      <c r="C52" s="3" t="s">
        <v>24</v>
      </c>
      <c r="D52" s="3" t="n">
        <v>3</v>
      </c>
      <c r="E52" s="6" t="n">
        <v>54.99</v>
      </c>
      <c r="F52" s="6" t="n">
        <v>64</v>
      </c>
      <c r="G52" s="7" t="n">
        <f aca="false">F52-E52</f>
        <v>9.01</v>
      </c>
      <c r="H52" s="8" t="n">
        <f aca="false">IF(E52=0,0,F52/E52-1)</f>
        <v>0.163847972358611</v>
      </c>
      <c r="I52" s="3" t="s">
        <v>38</v>
      </c>
    </row>
    <row r="53" customFormat="false" ht="15" hidden="false" customHeight="false" outlineLevel="0" collapsed="false">
      <c r="A53" s="3" t="s">
        <v>84</v>
      </c>
      <c r="B53" s="3" t="s">
        <v>23</v>
      </c>
      <c r="C53" s="3" t="s">
        <v>24</v>
      </c>
      <c r="D53" s="3" t="n">
        <v>5</v>
      </c>
      <c r="E53" s="6" t="n">
        <v>31.61</v>
      </c>
      <c r="F53" s="6" t="n">
        <v>32.5</v>
      </c>
      <c r="G53" s="7" t="n">
        <f aca="false">F53-E53</f>
        <v>0.890000000000001</v>
      </c>
      <c r="H53" s="8" t="n">
        <f aca="false">IF(E53=0,0,F53/E53-1)</f>
        <v>0.0281556469471687</v>
      </c>
      <c r="I53" s="3" t="s">
        <v>25</v>
      </c>
    </row>
    <row r="54" customFormat="false" ht="15" hidden="false" customHeight="false" outlineLevel="0" collapsed="false">
      <c r="A54" s="3" t="s">
        <v>85</v>
      </c>
      <c r="B54" s="3" t="s">
        <v>23</v>
      </c>
      <c r="C54" s="3" t="s">
        <v>24</v>
      </c>
      <c r="D54" s="3" t="n">
        <v>3</v>
      </c>
      <c r="E54" s="6" t="n">
        <v>24.99</v>
      </c>
      <c r="F54" s="6" t="n">
        <v>29</v>
      </c>
      <c r="G54" s="7" t="n">
        <f aca="false">F54-E54</f>
        <v>4.01</v>
      </c>
      <c r="H54" s="8" t="n">
        <f aca="false">IF(E54=0,0,F54/E54-1)</f>
        <v>0.16046418567427</v>
      </c>
      <c r="I54" s="3" t="s">
        <v>38</v>
      </c>
    </row>
    <row r="55" customFormat="false" ht="15" hidden="false" customHeight="false" outlineLevel="0" collapsed="false">
      <c r="A55" s="3" t="s">
        <v>86</v>
      </c>
      <c r="B55" s="3" t="s">
        <v>23</v>
      </c>
      <c r="C55" s="3" t="s">
        <v>24</v>
      </c>
      <c r="D55" s="3" t="n">
        <v>1</v>
      </c>
      <c r="E55" s="6" t="n">
        <v>24</v>
      </c>
      <c r="F55" s="6" t="n">
        <v>29.5</v>
      </c>
      <c r="G55" s="7" t="n">
        <f aca="false">F55-E55</f>
        <v>5.5</v>
      </c>
      <c r="H55" s="8" t="n">
        <f aca="false">IF(E55=0,0,F55/E55-1)</f>
        <v>0.229166666666667</v>
      </c>
      <c r="I55" s="3" t="s">
        <v>27</v>
      </c>
    </row>
    <row r="56" customFormat="false" ht="15" hidden="false" customHeight="false" outlineLevel="0" collapsed="false">
      <c r="A56" s="3" t="s">
        <v>87</v>
      </c>
      <c r="B56" s="3" t="s">
        <v>23</v>
      </c>
      <c r="C56" s="3" t="s">
        <v>24</v>
      </c>
      <c r="D56" s="3" t="n">
        <v>5</v>
      </c>
      <c r="E56" s="6" t="n">
        <v>35</v>
      </c>
      <c r="F56" s="6" t="n">
        <v>36</v>
      </c>
      <c r="G56" s="7" t="n">
        <f aca="false">F56-E56</f>
        <v>1</v>
      </c>
      <c r="H56" s="8" t="n">
        <f aca="false">IF(E56=0,0,F56/E56-1)</f>
        <v>0.0285714285714285</v>
      </c>
      <c r="I56" s="3" t="s">
        <v>25</v>
      </c>
    </row>
    <row r="57" customFormat="false" ht="15" hidden="false" customHeight="false" outlineLevel="0" collapsed="false">
      <c r="A57" s="3" t="s">
        <v>88</v>
      </c>
      <c r="B57" s="3" t="s">
        <v>23</v>
      </c>
      <c r="C57" s="3" t="s">
        <v>24</v>
      </c>
      <c r="D57" s="3" t="n">
        <v>1</v>
      </c>
      <c r="E57" s="6" t="n">
        <v>21</v>
      </c>
      <c r="F57" s="6" t="n">
        <v>26</v>
      </c>
      <c r="G57" s="7" t="n">
        <f aca="false">F57-E57</f>
        <v>5</v>
      </c>
      <c r="H57" s="8" t="n">
        <f aca="false">IF(E57=0,0,F57/E57-1)</f>
        <v>0.238095238095238</v>
      </c>
      <c r="I57" s="3" t="s">
        <v>89</v>
      </c>
    </row>
    <row r="58" customFormat="false" ht="15" hidden="false" customHeight="false" outlineLevel="0" collapsed="false">
      <c r="A58" s="3" t="s">
        <v>90</v>
      </c>
      <c r="B58" s="3" t="s">
        <v>23</v>
      </c>
      <c r="C58" s="3" t="s">
        <v>24</v>
      </c>
      <c r="D58" s="3" t="n">
        <v>1</v>
      </c>
      <c r="E58" s="6" t="n">
        <v>13</v>
      </c>
      <c r="F58" s="6" t="n">
        <v>16</v>
      </c>
      <c r="G58" s="7" t="n">
        <f aca="false">F58-E58</f>
        <v>3</v>
      </c>
      <c r="H58" s="8" t="n">
        <f aca="false">IF(E58=0,0,F58/E58-1)</f>
        <v>0.230769230769231</v>
      </c>
      <c r="I58" s="3" t="s">
        <v>27</v>
      </c>
    </row>
    <row r="59" customFormat="false" ht="15" hidden="false" customHeight="false" outlineLevel="0" collapsed="false">
      <c r="A59" s="3" t="s">
        <v>91</v>
      </c>
      <c r="B59" s="3" t="s">
        <v>23</v>
      </c>
      <c r="C59" s="3" t="s">
        <v>24</v>
      </c>
      <c r="D59" s="3" t="n">
        <v>4</v>
      </c>
      <c r="E59" s="6" t="n">
        <v>64.9</v>
      </c>
      <c r="F59" s="6" t="n">
        <v>75</v>
      </c>
      <c r="G59" s="7" t="n">
        <f aca="false">F59-E59</f>
        <v>10.1</v>
      </c>
      <c r="H59" s="8" t="n">
        <f aca="false">IF(E59=0,0,F59/E59-1)</f>
        <v>0.155624036979969</v>
      </c>
      <c r="I59" s="3" t="s">
        <v>32</v>
      </c>
    </row>
    <row r="60" customFormat="false" ht="15" hidden="false" customHeight="false" outlineLevel="0" collapsed="false">
      <c r="A60" s="3" t="s">
        <v>92</v>
      </c>
      <c r="B60" s="3" t="s">
        <v>23</v>
      </c>
      <c r="C60" s="3" t="s">
        <v>24</v>
      </c>
      <c r="D60" s="3" t="n">
        <v>3</v>
      </c>
      <c r="E60" s="6" t="n">
        <v>54.99</v>
      </c>
      <c r="F60" s="6" t="n">
        <v>64</v>
      </c>
      <c r="G60" s="7" t="n">
        <f aca="false">F60-E60</f>
        <v>9.01</v>
      </c>
      <c r="H60" s="8" t="n">
        <f aca="false">IF(E60=0,0,F60/E60-1)</f>
        <v>0.163847972358611</v>
      </c>
      <c r="I60" s="3" t="s">
        <v>38</v>
      </c>
    </row>
    <row r="61" customFormat="false" ht="15" hidden="false" customHeight="false" outlineLevel="0" collapsed="false">
      <c r="A61" s="3" t="s">
        <v>93</v>
      </c>
      <c r="B61" s="3" t="s">
        <v>23</v>
      </c>
      <c r="C61" s="3" t="s">
        <v>24</v>
      </c>
      <c r="D61" s="3" t="n">
        <v>3</v>
      </c>
      <c r="E61" s="6" t="n">
        <v>24.99</v>
      </c>
      <c r="F61" s="6" t="n">
        <v>29</v>
      </c>
      <c r="G61" s="7" t="n">
        <f aca="false">F61-E61</f>
        <v>4.01</v>
      </c>
      <c r="H61" s="8" t="n">
        <f aca="false">IF(E61=0,0,F61/E61-1)</f>
        <v>0.16046418567427</v>
      </c>
      <c r="I61" s="3" t="s">
        <v>38</v>
      </c>
    </row>
    <row r="62" customFormat="false" ht="15" hidden="false" customHeight="false" outlineLevel="0" collapsed="false">
      <c r="A62" s="3" t="s">
        <v>94</v>
      </c>
      <c r="B62" s="3" t="s">
        <v>23</v>
      </c>
      <c r="C62" s="3" t="s">
        <v>24</v>
      </c>
      <c r="D62" s="3" t="n">
        <v>3</v>
      </c>
      <c r="E62" s="6" t="n">
        <v>24.99</v>
      </c>
      <c r="F62" s="6" t="n">
        <v>29</v>
      </c>
      <c r="G62" s="7" t="n">
        <f aca="false">F62-E62</f>
        <v>4.01</v>
      </c>
      <c r="H62" s="8" t="n">
        <f aca="false">IF(E62=0,0,F62/E62-1)</f>
        <v>0.16046418567427</v>
      </c>
      <c r="I62" s="3" t="s">
        <v>38</v>
      </c>
    </row>
    <row r="63" customFormat="false" ht="15" hidden="false" customHeight="false" outlineLevel="0" collapsed="false">
      <c r="A63" s="3" t="s">
        <v>95</v>
      </c>
      <c r="B63" s="3" t="s">
        <v>23</v>
      </c>
      <c r="C63" s="3" t="s">
        <v>24</v>
      </c>
      <c r="D63" s="3" t="n">
        <v>3</v>
      </c>
      <c r="E63" s="6" t="n">
        <v>87.01</v>
      </c>
      <c r="F63" s="6" t="n">
        <v>101</v>
      </c>
      <c r="G63" s="7" t="n">
        <f aca="false">F63-E63</f>
        <v>13.99</v>
      </c>
      <c r="H63" s="8" t="n">
        <f aca="false">IF(E63=0,0,F63/E63-1)</f>
        <v>0.160786116538329</v>
      </c>
      <c r="I63" s="3" t="s">
        <v>38</v>
      </c>
    </row>
    <row r="64" customFormat="false" ht="15" hidden="false" customHeight="false" outlineLevel="0" collapsed="false">
      <c r="A64" s="3" t="s">
        <v>96</v>
      </c>
      <c r="B64" s="3" t="s">
        <v>23</v>
      </c>
      <c r="C64" s="3" t="s">
        <v>24</v>
      </c>
      <c r="D64" s="3" t="n">
        <v>1</v>
      </c>
      <c r="E64" s="6" t="n">
        <v>31.79</v>
      </c>
      <c r="F64" s="6" t="n">
        <v>39</v>
      </c>
      <c r="G64" s="7" t="n">
        <f aca="false">F64-E64</f>
        <v>7.21</v>
      </c>
      <c r="H64" s="8" t="n">
        <f aca="false">IF(E64=0,0,F64/E64-1)</f>
        <v>0.22680088078012</v>
      </c>
      <c r="I64" s="3" t="s">
        <v>27</v>
      </c>
    </row>
    <row r="65" customFormat="false" ht="15" hidden="false" customHeight="false" outlineLevel="0" collapsed="false">
      <c r="A65" s="3" t="s">
        <v>97</v>
      </c>
      <c r="B65" s="3" t="s">
        <v>23</v>
      </c>
      <c r="C65" s="3" t="s">
        <v>24</v>
      </c>
      <c r="D65" s="3" t="n">
        <v>4</v>
      </c>
      <c r="E65" s="6" t="n">
        <v>200</v>
      </c>
      <c r="F65" s="6" t="n">
        <v>230</v>
      </c>
      <c r="G65" s="7" t="n">
        <f aca="false">F65-E65</f>
        <v>30</v>
      </c>
      <c r="H65" s="8" t="n">
        <f aca="false">IF(E65=0,0,F65/E65-1)</f>
        <v>0.15</v>
      </c>
      <c r="I65" s="3" t="s">
        <v>32</v>
      </c>
    </row>
    <row r="66" customFormat="false" ht="15" hidden="false" customHeight="false" outlineLevel="0" collapsed="false">
      <c r="A66" s="3" t="s">
        <v>98</v>
      </c>
      <c r="B66" s="3" t="s">
        <v>23</v>
      </c>
      <c r="C66" s="3" t="s">
        <v>24</v>
      </c>
      <c r="D66" s="3" t="n">
        <v>3</v>
      </c>
      <c r="E66" s="6" t="n">
        <v>80</v>
      </c>
      <c r="F66" s="6" t="n">
        <v>93</v>
      </c>
      <c r="G66" s="7" t="n">
        <f aca="false">F66-E66</f>
        <v>13</v>
      </c>
      <c r="H66" s="8" t="n">
        <f aca="false">IF(E66=0,0,F66/E66-1)</f>
        <v>0.1625</v>
      </c>
      <c r="I66" s="3" t="s">
        <v>38</v>
      </c>
    </row>
    <row r="67" customFormat="false" ht="15" hidden="false" customHeight="false" outlineLevel="0" collapsed="false">
      <c r="A67" s="3" t="s">
        <v>99</v>
      </c>
      <c r="B67" s="3" t="s">
        <v>23</v>
      </c>
      <c r="C67" s="3" t="s">
        <v>24</v>
      </c>
      <c r="D67" s="3" t="n">
        <v>4</v>
      </c>
      <c r="E67" s="6" t="n">
        <v>299.99</v>
      </c>
      <c r="F67" s="6" t="n">
        <v>345</v>
      </c>
      <c r="G67" s="7" t="n">
        <f aca="false">F67-E67</f>
        <v>45.01</v>
      </c>
      <c r="H67" s="8" t="n">
        <f aca="false">IF(E67=0,0,F67/E67-1)</f>
        <v>0.150038334611154</v>
      </c>
      <c r="I67" s="3" t="s">
        <v>32</v>
      </c>
    </row>
    <row r="68" customFormat="false" ht="15" hidden="false" customHeight="false" outlineLevel="0" collapsed="false">
      <c r="A68" s="3" t="s">
        <v>100</v>
      </c>
      <c r="B68" s="3" t="s">
        <v>23</v>
      </c>
      <c r="C68" s="3" t="s">
        <v>24</v>
      </c>
      <c r="D68" s="3" t="n">
        <v>2</v>
      </c>
      <c r="E68" s="6" t="n">
        <v>49.99</v>
      </c>
      <c r="F68" s="6" t="n">
        <v>59</v>
      </c>
      <c r="G68" s="7" t="n">
        <f aca="false">F68-E68</f>
        <v>9.01</v>
      </c>
      <c r="H68" s="8" t="n">
        <f aca="false">IF(E68=0,0,F68/E68-1)</f>
        <v>0.180236047209442</v>
      </c>
      <c r="I68" s="3" t="s">
        <v>101</v>
      </c>
    </row>
    <row r="69" customFormat="false" ht="15" hidden="false" customHeight="false" outlineLevel="0" collapsed="false">
      <c r="A69" s="3" t="s">
        <v>102</v>
      </c>
      <c r="B69" s="3" t="s">
        <v>23</v>
      </c>
      <c r="C69" s="3" t="s">
        <v>24</v>
      </c>
      <c r="D69" s="3" t="n">
        <v>3</v>
      </c>
      <c r="E69" s="6" t="n">
        <v>80</v>
      </c>
      <c r="F69" s="6" t="n">
        <v>93</v>
      </c>
      <c r="G69" s="7" t="n">
        <f aca="false">F69-E69</f>
        <v>13</v>
      </c>
      <c r="H69" s="8" t="n">
        <f aca="false">IF(E69=0,0,F69/E69-1)</f>
        <v>0.1625</v>
      </c>
      <c r="I69" s="3" t="s">
        <v>38</v>
      </c>
    </row>
    <row r="70" customFormat="false" ht="15" hidden="false" customHeight="false" outlineLevel="0" collapsed="false">
      <c r="A70" s="3" t="s">
        <v>103</v>
      </c>
      <c r="B70" s="3" t="s">
        <v>23</v>
      </c>
      <c r="C70" s="3" t="s">
        <v>24</v>
      </c>
      <c r="D70" s="3" t="n">
        <v>5</v>
      </c>
      <c r="E70" s="6" t="n">
        <v>20</v>
      </c>
      <c r="F70" s="6" t="n">
        <v>20.5</v>
      </c>
      <c r="G70" s="7" t="n">
        <f aca="false">F70-E70</f>
        <v>0.5</v>
      </c>
      <c r="H70" s="8" t="n">
        <f aca="false">IF(E70=0,0,F70/E70-1)</f>
        <v>0.0249999999999999</v>
      </c>
      <c r="I70" s="3" t="s">
        <v>25</v>
      </c>
    </row>
    <row r="71" customFormat="false" ht="15" hidden="false" customHeight="false" outlineLevel="0" collapsed="false">
      <c r="A71" s="3" t="s">
        <v>104</v>
      </c>
      <c r="B71" s="3" t="s">
        <v>23</v>
      </c>
      <c r="C71" s="3" t="s">
        <v>24</v>
      </c>
      <c r="D71" s="3" t="n">
        <v>1</v>
      </c>
      <c r="E71" s="6" t="n">
        <v>14.99</v>
      </c>
      <c r="F71" s="6" t="n">
        <v>18.5</v>
      </c>
      <c r="G71" s="7" t="n">
        <f aca="false">F71-E71</f>
        <v>3.51</v>
      </c>
      <c r="H71" s="8" t="n">
        <f aca="false">IF(E71=0,0,F71/E71-1)</f>
        <v>0.23415610406938</v>
      </c>
      <c r="I71" s="3" t="s">
        <v>27</v>
      </c>
    </row>
    <row r="72" customFormat="false" ht="15" hidden="false" customHeight="false" outlineLevel="0" collapsed="false">
      <c r="A72" s="3" t="s">
        <v>105</v>
      </c>
      <c r="B72" s="3" t="s">
        <v>23</v>
      </c>
      <c r="C72" s="3" t="s">
        <v>24</v>
      </c>
      <c r="D72" s="3" t="n">
        <v>1</v>
      </c>
      <c r="E72" s="6" t="n">
        <v>8</v>
      </c>
      <c r="F72" s="6" t="n">
        <v>10</v>
      </c>
      <c r="G72" s="7" t="n">
        <f aca="false">F72-E72</f>
        <v>2</v>
      </c>
      <c r="H72" s="8" t="n">
        <f aca="false">IF(E72=0,0,F72/E72-1)</f>
        <v>0.25</v>
      </c>
      <c r="I72" s="3" t="s">
        <v>27</v>
      </c>
    </row>
    <row r="73" customFormat="false" ht="15" hidden="false" customHeight="false" outlineLevel="0" collapsed="false">
      <c r="A73" s="3" t="s">
        <v>106</v>
      </c>
      <c r="B73" s="3" t="s">
        <v>23</v>
      </c>
      <c r="C73" s="3" t="s">
        <v>24</v>
      </c>
      <c r="D73" s="3" t="n">
        <v>1</v>
      </c>
      <c r="E73" s="6" t="n">
        <v>44.99</v>
      </c>
      <c r="F73" s="6" t="n">
        <v>55</v>
      </c>
      <c r="G73" s="7" t="n">
        <f aca="false">F73-E73</f>
        <v>10.01</v>
      </c>
      <c r="H73" s="8" t="n">
        <f aca="false">IF(E73=0,0,F73/E73-1)</f>
        <v>0.222493887530562</v>
      </c>
      <c r="I73" s="3" t="s">
        <v>27</v>
      </c>
    </row>
    <row r="74" customFormat="false" ht="15" hidden="false" customHeight="false" outlineLevel="0" collapsed="false">
      <c r="A74" s="3" t="s">
        <v>107</v>
      </c>
      <c r="B74" s="3" t="s">
        <v>23</v>
      </c>
      <c r="C74" s="3" t="s">
        <v>24</v>
      </c>
      <c r="D74" s="3" t="n">
        <v>4</v>
      </c>
      <c r="E74" s="6" t="n">
        <v>85</v>
      </c>
      <c r="F74" s="6" t="n">
        <v>98</v>
      </c>
      <c r="G74" s="7" t="n">
        <f aca="false">F74-E74</f>
        <v>13</v>
      </c>
      <c r="H74" s="8" t="n">
        <f aca="false">IF(E74=0,0,F74/E74-1)</f>
        <v>0.152941176470588</v>
      </c>
      <c r="I74" s="3" t="s">
        <v>32</v>
      </c>
    </row>
    <row r="75" customFormat="false" ht="15" hidden="false" customHeight="false" outlineLevel="0" collapsed="false">
      <c r="A75" s="3" t="s">
        <v>108</v>
      </c>
      <c r="B75" s="3" t="s">
        <v>23</v>
      </c>
      <c r="C75" s="3" t="s">
        <v>24</v>
      </c>
      <c r="D75" s="3" t="n">
        <v>1</v>
      </c>
      <c r="E75" s="6" t="n">
        <v>10</v>
      </c>
      <c r="F75" s="6" t="n">
        <v>12.5</v>
      </c>
      <c r="G75" s="7" t="n">
        <f aca="false">F75-E75</f>
        <v>2.5</v>
      </c>
      <c r="H75" s="8" t="n">
        <f aca="false">IF(E75=0,0,F75/E75-1)</f>
        <v>0.25</v>
      </c>
      <c r="I75" s="3" t="s">
        <v>27</v>
      </c>
    </row>
    <row r="76" customFormat="false" ht="15" hidden="false" customHeight="false" outlineLevel="0" collapsed="false">
      <c r="A76" s="3" t="s">
        <v>109</v>
      </c>
      <c r="B76" s="3" t="s">
        <v>23</v>
      </c>
      <c r="C76" s="3" t="s">
        <v>24</v>
      </c>
      <c r="D76" s="3" t="n">
        <v>3</v>
      </c>
      <c r="E76" s="6" t="n">
        <v>119.99</v>
      </c>
      <c r="F76" s="6" t="n">
        <v>140</v>
      </c>
      <c r="G76" s="7" t="n">
        <f aca="false">F76-E76</f>
        <v>20.01</v>
      </c>
      <c r="H76" s="8" t="n">
        <f aca="false">IF(E76=0,0,F76/E76-1)</f>
        <v>0.166763896991416</v>
      </c>
      <c r="I76" s="3" t="s">
        <v>38</v>
      </c>
    </row>
    <row r="77" customFormat="false" ht="15" hidden="false" customHeight="false" outlineLevel="0" collapsed="false">
      <c r="A77" s="3" t="s">
        <v>110</v>
      </c>
      <c r="B77" s="3" t="s">
        <v>23</v>
      </c>
      <c r="C77" s="3" t="s">
        <v>24</v>
      </c>
      <c r="D77" s="3" t="n">
        <v>1</v>
      </c>
      <c r="E77" s="6" t="n">
        <v>23</v>
      </c>
      <c r="F77" s="6" t="n">
        <v>28.5</v>
      </c>
      <c r="G77" s="7" t="n">
        <f aca="false">F77-E77</f>
        <v>5.5</v>
      </c>
      <c r="H77" s="8" t="n">
        <f aca="false">IF(E77=0,0,F77/E77-1)</f>
        <v>0.239130434782609</v>
      </c>
      <c r="I77" s="3" t="s">
        <v>27</v>
      </c>
    </row>
    <row r="78" customFormat="false" ht="15" hidden="false" customHeight="false" outlineLevel="0" collapsed="false">
      <c r="A78" s="3" t="s">
        <v>111</v>
      </c>
      <c r="B78" s="3" t="s">
        <v>23</v>
      </c>
      <c r="C78" s="3" t="s">
        <v>24</v>
      </c>
      <c r="D78" s="3" t="s">
        <v>112</v>
      </c>
      <c r="E78" s="6" t="n">
        <v>32</v>
      </c>
      <c r="F78" s="6" t="n">
        <v>29</v>
      </c>
      <c r="G78" s="7" t="n">
        <f aca="false">F78-E78</f>
        <v>-3</v>
      </c>
      <c r="H78" s="8" t="n">
        <f aca="false">IF(E78=0,0,F78/E78-1)</f>
        <v>-0.09375</v>
      </c>
      <c r="I78" s="3" t="s">
        <v>113</v>
      </c>
    </row>
    <row r="79" customFormat="false" ht="15" hidden="false" customHeight="false" outlineLevel="0" collapsed="false">
      <c r="A79" s="3" t="s">
        <v>114</v>
      </c>
      <c r="B79" s="3" t="s">
        <v>23</v>
      </c>
      <c r="C79" s="3" t="s">
        <v>24</v>
      </c>
      <c r="D79" s="3" t="n">
        <v>1</v>
      </c>
      <c r="E79" s="6" t="n">
        <v>14.16</v>
      </c>
      <c r="F79" s="6" t="n">
        <v>17.5</v>
      </c>
      <c r="G79" s="7" t="n">
        <f aca="false">F79-E79</f>
        <v>3.34</v>
      </c>
      <c r="H79" s="8" t="n">
        <f aca="false">IF(E79=0,0,F79/E79-1)</f>
        <v>0.235875706214689</v>
      </c>
      <c r="I79" s="3" t="s">
        <v>27</v>
      </c>
    </row>
    <row r="80" customFormat="false" ht="15" hidden="false" customHeight="false" outlineLevel="0" collapsed="false">
      <c r="A80" s="3" t="s">
        <v>115</v>
      </c>
      <c r="B80" s="3" t="s">
        <v>23</v>
      </c>
      <c r="C80" s="3" t="s">
        <v>24</v>
      </c>
      <c r="D80" s="3" t="n">
        <v>1</v>
      </c>
      <c r="E80" s="6" t="n">
        <v>74.99</v>
      </c>
      <c r="F80" s="6" t="n">
        <v>91.5</v>
      </c>
      <c r="G80" s="7" t="n">
        <f aca="false">F80-E80</f>
        <v>16.51</v>
      </c>
      <c r="H80" s="8" t="n">
        <f aca="false">IF(E80=0,0,F80/E80-1)</f>
        <v>0.220162688358448</v>
      </c>
      <c r="I80" s="3" t="s">
        <v>27</v>
      </c>
    </row>
    <row r="81" customFormat="false" ht="15" hidden="false" customHeight="false" outlineLevel="0" collapsed="false">
      <c r="A81" s="3" t="s">
        <v>116</v>
      </c>
      <c r="B81" s="3" t="s">
        <v>23</v>
      </c>
      <c r="C81" s="3" t="s">
        <v>24</v>
      </c>
      <c r="D81" s="3" t="n">
        <v>3</v>
      </c>
      <c r="E81" s="6" t="n">
        <v>82.39</v>
      </c>
      <c r="F81" s="6" t="n">
        <v>96</v>
      </c>
      <c r="G81" s="7" t="n">
        <f aca="false">F81-E81</f>
        <v>13.61</v>
      </c>
      <c r="H81" s="8" t="n">
        <f aca="false">IF(E81=0,0,F81/E81-1)</f>
        <v>0.165189950236679</v>
      </c>
      <c r="I81" s="3" t="s">
        <v>38</v>
      </c>
    </row>
    <row r="82" customFormat="false" ht="15" hidden="false" customHeight="false" outlineLevel="0" collapsed="false">
      <c r="A82" s="3" t="s">
        <v>117</v>
      </c>
      <c r="B82" s="3" t="s">
        <v>23</v>
      </c>
      <c r="C82" s="3" t="s">
        <v>24</v>
      </c>
      <c r="D82" s="3" t="n">
        <v>3</v>
      </c>
      <c r="E82" s="6" t="n">
        <v>64.99</v>
      </c>
      <c r="F82" s="6" t="n">
        <v>75.5</v>
      </c>
      <c r="G82" s="7" t="n">
        <f aca="false">F82-E82</f>
        <v>10.51</v>
      </c>
      <c r="H82" s="8" t="n">
        <f aca="false">IF(E82=0,0,F82/E82-1)</f>
        <v>0.161717187259578</v>
      </c>
      <c r="I82" s="3" t="s">
        <v>38</v>
      </c>
    </row>
    <row r="83" customFormat="false" ht="15" hidden="false" customHeight="false" outlineLevel="0" collapsed="false">
      <c r="A83" s="3" t="s">
        <v>118</v>
      </c>
      <c r="B83" s="3" t="s">
        <v>23</v>
      </c>
      <c r="C83" s="3" t="s">
        <v>24</v>
      </c>
      <c r="D83" s="3" t="n">
        <v>4</v>
      </c>
      <c r="E83" s="6" t="n">
        <v>318.6</v>
      </c>
      <c r="F83" s="6" t="n">
        <v>367</v>
      </c>
      <c r="G83" s="7" t="n">
        <f aca="false">F83-E83</f>
        <v>48.4</v>
      </c>
      <c r="H83" s="8" t="n">
        <f aca="false">IF(E83=0,0,F83/E83-1)</f>
        <v>0.151914626490898</v>
      </c>
      <c r="I83" s="3" t="s">
        <v>32</v>
      </c>
    </row>
    <row r="84" customFormat="false" ht="15" hidden="false" customHeight="false" outlineLevel="0" collapsed="false">
      <c r="A84" s="3" t="s">
        <v>119</v>
      </c>
      <c r="B84" s="3" t="s">
        <v>23</v>
      </c>
      <c r="C84" s="3" t="s">
        <v>24</v>
      </c>
      <c r="D84" s="3" t="n">
        <v>3</v>
      </c>
      <c r="E84" s="6" t="n">
        <v>63.72</v>
      </c>
      <c r="F84" s="6" t="n">
        <v>74</v>
      </c>
      <c r="G84" s="7" t="n">
        <f aca="false">F84-E84</f>
        <v>10.28</v>
      </c>
      <c r="H84" s="8" t="n">
        <f aca="false">IF(E84=0,0,F84/E84-1)</f>
        <v>0.161330822347772</v>
      </c>
      <c r="I84" s="3" t="s">
        <v>38</v>
      </c>
    </row>
    <row r="85" customFormat="false" ht="15" hidden="false" customHeight="false" outlineLevel="0" collapsed="false">
      <c r="A85" s="3" t="s">
        <v>120</v>
      </c>
      <c r="B85" s="3" t="s">
        <v>23</v>
      </c>
      <c r="C85" s="3" t="s">
        <v>24</v>
      </c>
      <c r="D85" s="3" t="n">
        <v>4</v>
      </c>
      <c r="E85" s="6" t="n">
        <v>63</v>
      </c>
      <c r="F85" s="6" t="n">
        <v>72.5</v>
      </c>
      <c r="G85" s="7" t="n">
        <f aca="false">F85-E85</f>
        <v>9.5</v>
      </c>
      <c r="H85" s="8" t="n">
        <f aca="false">IF(E85=0,0,F85/E85-1)</f>
        <v>0.150793650793651</v>
      </c>
      <c r="I85" s="3" t="s">
        <v>32</v>
      </c>
    </row>
    <row r="86" customFormat="false" ht="15" hidden="false" customHeight="false" outlineLevel="0" collapsed="false">
      <c r="A86" s="3" t="s">
        <v>121</v>
      </c>
      <c r="B86" s="3" t="s">
        <v>23</v>
      </c>
      <c r="C86" s="3" t="s">
        <v>24</v>
      </c>
      <c r="D86" s="3" t="n">
        <v>3</v>
      </c>
      <c r="E86" s="6" t="n">
        <v>79.73</v>
      </c>
      <c r="F86" s="6" t="n">
        <v>92.5</v>
      </c>
      <c r="G86" s="7" t="n">
        <f aca="false">F86-E86</f>
        <v>12.77</v>
      </c>
      <c r="H86" s="8" t="n">
        <f aca="false">IF(E86=0,0,F86/E86-1)</f>
        <v>0.160165558760818</v>
      </c>
      <c r="I86" s="3" t="s">
        <v>38</v>
      </c>
    </row>
    <row r="87" customFormat="false" ht="15" hidden="false" customHeight="false" outlineLevel="0" collapsed="false">
      <c r="A87" s="3" t="s">
        <v>122</v>
      </c>
      <c r="B87" s="3" t="s">
        <v>23</v>
      </c>
      <c r="C87" s="3" t="s">
        <v>24</v>
      </c>
      <c r="D87" s="3" t="n">
        <v>1</v>
      </c>
      <c r="E87" s="6" t="n">
        <v>32.77</v>
      </c>
      <c r="F87" s="6" t="n">
        <v>40</v>
      </c>
      <c r="G87" s="7" t="n">
        <f aca="false">F87-E87</f>
        <v>7.23</v>
      </c>
      <c r="H87" s="8" t="n">
        <f aca="false">IF(E87=0,0,F87/E87-1)</f>
        <v>0.220628623741227</v>
      </c>
      <c r="I87" s="3" t="s">
        <v>27</v>
      </c>
    </row>
    <row r="88" customFormat="false" ht="15" hidden="false" customHeight="false" outlineLevel="0" collapsed="false">
      <c r="A88" s="3" t="s">
        <v>123</v>
      </c>
      <c r="B88" s="3" t="s">
        <v>23</v>
      </c>
      <c r="C88" s="3" t="s">
        <v>24</v>
      </c>
      <c r="D88" s="3" t="n">
        <v>3</v>
      </c>
      <c r="E88" s="6" t="n">
        <v>49.99</v>
      </c>
      <c r="F88" s="6" t="n">
        <v>58</v>
      </c>
      <c r="G88" s="7" t="n">
        <f aca="false">F88-E88</f>
        <v>8.01</v>
      </c>
      <c r="H88" s="8" t="n">
        <f aca="false">IF(E88=0,0,F88/E88-1)</f>
        <v>0.160232046409282</v>
      </c>
      <c r="I88" s="3" t="s">
        <v>38</v>
      </c>
    </row>
    <row r="89" customFormat="false" ht="15" hidden="false" customHeight="false" outlineLevel="0" collapsed="false">
      <c r="A89" s="3" t="s">
        <v>124</v>
      </c>
      <c r="B89" s="3" t="s">
        <v>23</v>
      </c>
      <c r="C89" s="3" t="s">
        <v>24</v>
      </c>
      <c r="D89" s="3" t="n">
        <v>3</v>
      </c>
      <c r="E89" s="6" t="n">
        <v>80</v>
      </c>
      <c r="F89" s="6" t="n">
        <v>93</v>
      </c>
      <c r="G89" s="7" t="n">
        <f aca="false">F89-E89</f>
        <v>13</v>
      </c>
      <c r="H89" s="8" t="n">
        <f aca="false">IF(E89=0,0,F89/E89-1)</f>
        <v>0.1625</v>
      </c>
      <c r="I89" s="3" t="s">
        <v>38</v>
      </c>
    </row>
    <row r="90" customFormat="false" ht="15" hidden="false" customHeight="false" outlineLevel="0" collapsed="false">
      <c r="A90" s="3" t="s">
        <v>125</v>
      </c>
      <c r="B90" s="3" t="s">
        <v>23</v>
      </c>
      <c r="C90" s="3" t="s">
        <v>24</v>
      </c>
      <c r="D90" s="3" t="n">
        <v>3</v>
      </c>
      <c r="E90" s="6" t="n">
        <v>84.99</v>
      </c>
      <c r="F90" s="6" t="n">
        <v>99</v>
      </c>
      <c r="G90" s="7" t="n">
        <f aca="false">F90-E90</f>
        <v>14.01</v>
      </c>
      <c r="H90" s="8" t="n">
        <f aca="false">IF(E90=0,0,F90/E90-1)</f>
        <v>0.164842922696788</v>
      </c>
      <c r="I90" s="3" t="s">
        <v>38</v>
      </c>
    </row>
    <row r="91" customFormat="false" ht="15" hidden="false" customHeight="false" outlineLevel="0" collapsed="false">
      <c r="A91" s="3" t="s">
        <v>126</v>
      </c>
      <c r="B91" s="3" t="s">
        <v>23</v>
      </c>
      <c r="C91" s="3" t="s">
        <v>24</v>
      </c>
      <c r="D91" s="3" t="n">
        <v>1</v>
      </c>
      <c r="E91" s="6" t="n">
        <v>17.48</v>
      </c>
      <c r="F91" s="6" t="n">
        <v>21.5</v>
      </c>
      <c r="G91" s="7" t="n">
        <f aca="false">F91-E91</f>
        <v>4.02</v>
      </c>
      <c r="H91" s="8" t="n">
        <f aca="false">IF(E91=0,0,F91/E91-1)</f>
        <v>0.229977116704805</v>
      </c>
      <c r="I91" s="3" t="s">
        <v>27</v>
      </c>
    </row>
    <row r="92" customFormat="false" ht="15" hidden="false" customHeight="false" outlineLevel="0" collapsed="false">
      <c r="A92" s="3" t="s">
        <v>127</v>
      </c>
      <c r="B92" s="3" t="s">
        <v>23</v>
      </c>
      <c r="C92" s="3" t="s">
        <v>24</v>
      </c>
      <c r="D92" s="3" t="n">
        <v>1</v>
      </c>
      <c r="E92" s="6" t="n">
        <v>34.99</v>
      </c>
      <c r="F92" s="6" t="n">
        <v>43</v>
      </c>
      <c r="G92" s="7" t="n">
        <f aca="false">F92-E92</f>
        <v>8.01</v>
      </c>
      <c r="H92" s="8" t="n">
        <f aca="false">IF(E92=0,0,F92/E92-1)</f>
        <v>0.2289225492998</v>
      </c>
      <c r="I92" s="3" t="s">
        <v>27</v>
      </c>
    </row>
    <row r="93" customFormat="false" ht="15" hidden="false" customHeight="false" outlineLevel="0" collapsed="false">
      <c r="A93" s="3" t="s">
        <v>128</v>
      </c>
      <c r="B93" s="3" t="s">
        <v>23</v>
      </c>
      <c r="C93" s="3" t="s">
        <v>24</v>
      </c>
      <c r="D93" s="3" t="n">
        <v>2</v>
      </c>
      <c r="E93" s="6" t="n">
        <v>29.99</v>
      </c>
      <c r="F93" s="6" t="n">
        <v>35.5</v>
      </c>
      <c r="G93" s="7" t="n">
        <f aca="false">F93-E93</f>
        <v>5.51</v>
      </c>
      <c r="H93" s="8" t="n">
        <f aca="false">IF(E93=0,0,F93/E93-1)</f>
        <v>0.183727909303101</v>
      </c>
      <c r="I93" s="3" t="s">
        <v>129</v>
      </c>
    </row>
    <row r="94" customFormat="false" ht="15" hidden="false" customHeight="false" outlineLevel="0" collapsed="false">
      <c r="A94" s="3" t="s">
        <v>130</v>
      </c>
      <c r="B94" s="3" t="s">
        <v>23</v>
      </c>
      <c r="C94" s="3" t="s">
        <v>24</v>
      </c>
      <c r="D94" s="3" t="n">
        <v>3</v>
      </c>
      <c r="E94" s="6" t="n">
        <v>39</v>
      </c>
      <c r="F94" s="6" t="n">
        <v>45.5</v>
      </c>
      <c r="G94" s="7" t="n">
        <f aca="false">F94-E94</f>
        <v>6.5</v>
      </c>
      <c r="H94" s="8" t="n">
        <f aca="false">IF(E94=0,0,F94/E94-1)</f>
        <v>0.166666666666667</v>
      </c>
      <c r="I94" s="3" t="s">
        <v>38</v>
      </c>
    </row>
    <row r="95" customFormat="false" ht="15" hidden="false" customHeight="false" outlineLevel="0" collapsed="false">
      <c r="A95" s="3" t="s">
        <v>131</v>
      </c>
      <c r="B95" s="3" t="s">
        <v>23</v>
      </c>
      <c r="C95" s="3" t="s">
        <v>24</v>
      </c>
      <c r="D95" s="3" t="n">
        <v>3</v>
      </c>
      <c r="E95" s="6" t="n">
        <v>67</v>
      </c>
      <c r="F95" s="6" t="n">
        <v>78</v>
      </c>
      <c r="G95" s="7" t="n">
        <f aca="false">F95-E95</f>
        <v>11</v>
      </c>
      <c r="H95" s="8" t="n">
        <f aca="false">IF(E95=0,0,F95/E95-1)</f>
        <v>0.164179104477612</v>
      </c>
      <c r="I95" s="3" t="s">
        <v>38</v>
      </c>
    </row>
    <row r="96" customFormat="false" ht="15" hidden="false" customHeight="false" outlineLevel="0" collapsed="false">
      <c r="A96" s="3" t="s">
        <v>132</v>
      </c>
      <c r="B96" s="3" t="s">
        <v>23</v>
      </c>
      <c r="C96" s="3" t="s">
        <v>24</v>
      </c>
      <c r="D96" s="3" t="n">
        <v>1</v>
      </c>
      <c r="E96" s="6" t="n">
        <v>14.99</v>
      </c>
      <c r="F96" s="6" t="n">
        <v>18.5</v>
      </c>
      <c r="G96" s="7" t="n">
        <f aca="false">F96-E96</f>
        <v>3.51</v>
      </c>
      <c r="H96" s="8" t="n">
        <f aca="false">IF(E96=0,0,F96/E96-1)</f>
        <v>0.23415610406938</v>
      </c>
      <c r="I96" s="3" t="s">
        <v>27</v>
      </c>
    </row>
    <row r="97" customFormat="false" ht="15" hidden="false" customHeight="false" outlineLevel="0" collapsed="false">
      <c r="A97" s="3" t="s">
        <v>133</v>
      </c>
      <c r="B97" s="3" t="s">
        <v>23</v>
      </c>
      <c r="C97" s="3" t="s">
        <v>24</v>
      </c>
      <c r="D97" s="3" t="n">
        <v>1</v>
      </c>
      <c r="E97" s="6" t="n">
        <v>12.13</v>
      </c>
      <c r="F97" s="6" t="n">
        <v>15</v>
      </c>
      <c r="G97" s="7" t="n">
        <f aca="false">F97-E97</f>
        <v>2.87</v>
      </c>
      <c r="H97" s="8" t="n">
        <f aca="false">IF(E97=0,0,F97/E97-1)</f>
        <v>0.236603462489695</v>
      </c>
      <c r="I97" s="3" t="s">
        <v>134</v>
      </c>
    </row>
    <row r="98" customFormat="false" ht="15" hidden="false" customHeight="false" outlineLevel="0" collapsed="false">
      <c r="A98" s="3" t="s">
        <v>135</v>
      </c>
      <c r="B98" s="3" t="s">
        <v>23</v>
      </c>
      <c r="C98" s="3" t="s">
        <v>24</v>
      </c>
      <c r="D98" s="3" t="n">
        <v>3</v>
      </c>
      <c r="E98" s="6" t="n">
        <v>99.99</v>
      </c>
      <c r="F98" s="6" t="n">
        <v>116</v>
      </c>
      <c r="G98" s="7" t="n">
        <f aca="false">F98-E98</f>
        <v>16.01</v>
      </c>
      <c r="H98" s="8" t="n">
        <f aca="false">IF(E98=0,0,F98/E98-1)</f>
        <v>0.16011601160116</v>
      </c>
      <c r="I98" s="3" t="s">
        <v>38</v>
      </c>
    </row>
    <row r="99" customFormat="false" ht="15" hidden="false" customHeight="false" outlineLevel="0" collapsed="false">
      <c r="A99" s="3" t="s">
        <v>136</v>
      </c>
      <c r="B99" s="3" t="s">
        <v>23</v>
      </c>
      <c r="C99" s="3" t="s">
        <v>24</v>
      </c>
      <c r="D99" s="3" t="n">
        <v>3</v>
      </c>
      <c r="E99" s="6" t="n">
        <v>199.99</v>
      </c>
      <c r="F99" s="6" t="n">
        <v>232</v>
      </c>
      <c r="G99" s="7" t="n">
        <f aca="false">F99-E99</f>
        <v>32.01</v>
      </c>
      <c r="H99" s="8" t="n">
        <f aca="false">IF(E99=0,0,F99/E99-1)</f>
        <v>0.160058002900145</v>
      </c>
      <c r="I99" s="3" t="s">
        <v>38</v>
      </c>
    </row>
    <row r="100" customFormat="false" ht="15" hidden="false" customHeight="false" outlineLevel="0" collapsed="false">
      <c r="A100" s="3" t="s">
        <v>137</v>
      </c>
      <c r="B100" s="3" t="s">
        <v>23</v>
      </c>
      <c r="C100" s="3" t="s">
        <v>24</v>
      </c>
      <c r="D100" s="3" t="n">
        <v>1</v>
      </c>
      <c r="E100" s="6" t="n">
        <v>23</v>
      </c>
      <c r="F100" s="6" t="n">
        <v>28.5</v>
      </c>
      <c r="G100" s="7" t="n">
        <f aca="false">F100-E100</f>
        <v>5.5</v>
      </c>
      <c r="H100" s="8" t="n">
        <f aca="false">IF(E100=0,0,F100/E100-1)</f>
        <v>0.239130434782609</v>
      </c>
      <c r="I100" s="3" t="s">
        <v>27</v>
      </c>
    </row>
    <row r="101" customFormat="false" ht="15" hidden="false" customHeight="false" outlineLevel="0" collapsed="false">
      <c r="A101" s="3" t="s">
        <v>138</v>
      </c>
      <c r="B101" s="3" t="s">
        <v>23</v>
      </c>
      <c r="C101" s="3" t="s">
        <v>24</v>
      </c>
      <c r="D101" s="3" t="n">
        <v>3</v>
      </c>
      <c r="E101" s="6" t="n">
        <v>69</v>
      </c>
      <c r="F101" s="6" t="n">
        <v>80.5</v>
      </c>
      <c r="G101" s="7" t="n">
        <f aca="false">F101-E101</f>
        <v>11.5</v>
      </c>
      <c r="H101" s="8" t="n">
        <f aca="false">IF(E101=0,0,F101/E101-1)</f>
        <v>0.166666666666667</v>
      </c>
      <c r="I101" s="3" t="s">
        <v>38</v>
      </c>
    </row>
    <row r="102" customFormat="false" ht="15" hidden="false" customHeight="false" outlineLevel="0" collapsed="false">
      <c r="A102" s="3" t="s">
        <v>139</v>
      </c>
      <c r="B102" s="3" t="s">
        <v>23</v>
      </c>
      <c r="C102" s="3" t="s">
        <v>24</v>
      </c>
      <c r="D102" s="3" t="n">
        <v>1</v>
      </c>
      <c r="E102" s="6" t="n">
        <v>64.41</v>
      </c>
      <c r="F102" s="6" t="n">
        <v>79</v>
      </c>
      <c r="G102" s="7" t="n">
        <f aca="false">F102-E102</f>
        <v>14.59</v>
      </c>
      <c r="H102" s="8" t="n">
        <f aca="false">IF(E102=0,0,F102/E102-1)</f>
        <v>0.226517621487347</v>
      </c>
      <c r="I102" s="3" t="s">
        <v>27</v>
      </c>
    </row>
    <row r="103" customFormat="false" ht="15" hidden="false" customHeight="false" outlineLevel="0" collapsed="false">
      <c r="A103" s="3" t="s">
        <v>140</v>
      </c>
      <c r="B103" s="3" t="s">
        <v>23</v>
      </c>
      <c r="C103" s="3" t="s">
        <v>24</v>
      </c>
      <c r="D103" s="3" t="n">
        <v>1</v>
      </c>
      <c r="E103" s="6" t="n">
        <v>41.34</v>
      </c>
      <c r="F103" s="6" t="n">
        <v>50.5</v>
      </c>
      <c r="G103" s="7" t="n">
        <f aca="false">F103-E103</f>
        <v>9.16</v>
      </c>
      <c r="H103" s="8" t="n">
        <f aca="false">IF(E103=0,0,F103/E103-1)</f>
        <v>0.221577164973391</v>
      </c>
      <c r="I103" s="3" t="s">
        <v>27</v>
      </c>
    </row>
    <row r="104" customFormat="false" ht="15" hidden="false" customHeight="false" outlineLevel="0" collapsed="false">
      <c r="A104" s="3" t="s">
        <v>141</v>
      </c>
      <c r="B104" s="3" t="s">
        <v>23</v>
      </c>
      <c r="C104" s="3" t="s">
        <v>24</v>
      </c>
      <c r="D104" s="3" t="n">
        <v>1</v>
      </c>
      <c r="E104" s="6" t="n">
        <v>22.99</v>
      </c>
      <c r="F104" s="6" t="n">
        <v>28.5</v>
      </c>
      <c r="G104" s="7" t="n">
        <f aca="false">F104-E104</f>
        <v>5.51</v>
      </c>
      <c r="H104" s="8" t="n">
        <f aca="false">IF(E104=0,0,F104/E104-1)</f>
        <v>0.239669421487603</v>
      </c>
      <c r="I104" s="3" t="s">
        <v>27</v>
      </c>
    </row>
    <row r="105" customFormat="false" ht="15" hidden="false" customHeight="false" outlineLevel="0" collapsed="false">
      <c r="A105" s="3" t="s">
        <v>142</v>
      </c>
      <c r="B105" s="3" t="s">
        <v>23</v>
      </c>
      <c r="C105" s="3" t="s">
        <v>24</v>
      </c>
      <c r="D105" s="3" t="n">
        <v>3</v>
      </c>
      <c r="E105" s="6" t="n">
        <v>124.99</v>
      </c>
      <c r="F105" s="6" t="n">
        <v>145</v>
      </c>
      <c r="G105" s="7" t="n">
        <f aca="false">F105-E105</f>
        <v>20.01</v>
      </c>
      <c r="H105" s="8" t="n">
        <f aca="false">IF(E105=0,0,F105/E105-1)</f>
        <v>0.160092807424594</v>
      </c>
      <c r="I105" s="3" t="s">
        <v>38</v>
      </c>
    </row>
    <row r="106" customFormat="false" ht="15" hidden="false" customHeight="false" outlineLevel="0" collapsed="false">
      <c r="A106" s="3" t="s">
        <v>143</v>
      </c>
      <c r="B106" s="3" t="s">
        <v>23</v>
      </c>
      <c r="C106" s="3" t="s">
        <v>24</v>
      </c>
      <c r="D106" s="3" t="n">
        <v>1</v>
      </c>
      <c r="E106" s="6" t="n">
        <v>34.98</v>
      </c>
      <c r="F106" s="6" t="n">
        <v>43</v>
      </c>
      <c r="G106" s="7" t="n">
        <f aca="false">F106-E106</f>
        <v>8.02</v>
      </c>
      <c r="H106" s="8" t="n">
        <f aca="false">IF(E106=0,0,F106/E106-1)</f>
        <v>0.229273870783305</v>
      </c>
      <c r="I106" s="3" t="s">
        <v>27</v>
      </c>
    </row>
    <row r="107" customFormat="false" ht="15" hidden="false" customHeight="false" outlineLevel="0" collapsed="false">
      <c r="A107" s="3" t="s">
        <v>144</v>
      </c>
      <c r="B107" s="3" t="s">
        <v>23</v>
      </c>
      <c r="C107" s="3" t="s">
        <v>24</v>
      </c>
      <c r="D107" s="3" t="n">
        <v>1</v>
      </c>
      <c r="E107" s="6" t="n">
        <v>34.99</v>
      </c>
      <c r="F107" s="6" t="n">
        <v>43</v>
      </c>
      <c r="G107" s="7" t="n">
        <f aca="false">F107-E107</f>
        <v>8.01</v>
      </c>
      <c r="H107" s="8" t="n">
        <f aca="false">IF(E107=0,0,F107/E107-1)</f>
        <v>0.2289225492998</v>
      </c>
      <c r="I107" s="3" t="s">
        <v>27</v>
      </c>
    </row>
    <row r="108" customFormat="false" ht="15" hidden="false" customHeight="false" outlineLevel="0" collapsed="false">
      <c r="A108" s="3" t="s">
        <v>145</v>
      </c>
      <c r="B108" s="3" t="s">
        <v>23</v>
      </c>
      <c r="C108" s="3" t="s">
        <v>24</v>
      </c>
      <c r="D108" s="3" t="n">
        <v>1</v>
      </c>
      <c r="E108" s="6" t="n">
        <v>23.75</v>
      </c>
      <c r="F108" s="6" t="n">
        <v>29</v>
      </c>
      <c r="G108" s="7" t="n">
        <f aca="false">F108-E108</f>
        <v>5.25</v>
      </c>
      <c r="H108" s="8" t="n">
        <f aca="false">IF(E108=0,0,F108/E108-1)</f>
        <v>0.221052631578947</v>
      </c>
      <c r="I108" s="3" t="s">
        <v>27</v>
      </c>
    </row>
    <row r="109" customFormat="false" ht="15" hidden="false" customHeight="false" outlineLevel="0" collapsed="false">
      <c r="A109" s="3" t="s">
        <v>146</v>
      </c>
      <c r="B109" s="3" t="s">
        <v>23</v>
      </c>
      <c r="C109" s="3" t="s">
        <v>24</v>
      </c>
      <c r="D109" s="3" t="n">
        <v>1</v>
      </c>
      <c r="E109" s="6" t="n">
        <v>39.99</v>
      </c>
      <c r="F109" s="6" t="n">
        <v>49</v>
      </c>
      <c r="G109" s="7" t="n">
        <f aca="false">F109-E109</f>
        <v>9.01</v>
      </c>
      <c r="H109" s="8" t="n">
        <f aca="false">IF(E109=0,0,F109/E109-1)</f>
        <v>0.225306326581645</v>
      </c>
      <c r="I109" s="3" t="s">
        <v>27</v>
      </c>
    </row>
    <row r="110" customFormat="false" ht="15" hidden="false" customHeight="false" outlineLevel="0" collapsed="false">
      <c r="A110" s="3" t="s">
        <v>147</v>
      </c>
      <c r="B110" s="3" t="s">
        <v>23</v>
      </c>
      <c r="C110" s="3" t="s">
        <v>24</v>
      </c>
      <c r="D110" s="3" t="n">
        <v>3</v>
      </c>
      <c r="E110" s="6" t="n">
        <v>200</v>
      </c>
      <c r="F110" s="6" t="n">
        <v>232</v>
      </c>
      <c r="G110" s="7" t="n">
        <f aca="false">F110-E110</f>
        <v>32</v>
      </c>
      <c r="H110" s="8" t="n">
        <f aca="false">IF(E110=0,0,F110/E110-1)</f>
        <v>0.16</v>
      </c>
      <c r="I110" s="3" t="s">
        <v>38</v>
      </c>
    </row>
    <row r="111" customFormat="false" ht="15" hidden="false" customHeight="false" outlineLevel="0" collapsed="false">
      <c r="A111" s="3" t="s">
        <v>148</v>
      </c>
      <c r="B111" s="3" t="s">
        <v>23</v>
      </c>
      <c r="C111" s="3" t="s">
        <v>24</v>
      </c>
      <c r="D111" s="3" t="n">
        <v>1</v>
      </c>
      <c r="E111" s="6" t="n">
        <v>22</v>
      </c>
      <c r="F111" s="6" t="n">
        <v>27</v>
      </c>
      <c r="G111" s="7" t="n">
        <f aca="false">F111-E111</f>
        <v>5</v>
      </c>
      <c r="H111" s="8" t="n">
        <f aca="false">IF(E111=0,0,F111/E111-1)</f>
        <v>0.227272727272727</v>
      </c>
      <c r="I111" s="3" t="s">
        <v>27</v>
      </c>
    </row>
    <row r="112" customFormat="false" ht="15" hidden="false" customHeight="false" outlineLevel="0" collapsed="false">
      <c r="A112" s="3" t="s">
        <v>149</v>
      </c>
      <c r="B112" s="3" t="s">
        <v>23</v>
      </c>
      <c r="C112" s="3" t="s">
        <v>24</v>
      </c>
      <c r="D112" s="3" t="n">
        <v>1</v>
      </c>
      <c r="E112" s="6" t="n">
        <v>49.99</v>
      </c>
      <c r="F112" s="6" t="n">
        <v>61</v>
      </c>
      <c r="G112" s="7" t="n">
        <f aca="false">F112-E112</f>
        <v>11.01</v>
      </c>
      <c r="H112" s="8" t="n">
        <f aca="false">IF(E112=0,0,F112/E112-1)</f>
        <v>0.220244048809762</v>
      </c>
      <c r="I112" s="3" t="s">
        <v>27</v>
      </c>
    </row>
    <row r="113" customFormat="false" ht="15" hidden="false" customHeight="false" outlineLevel="0" collapsed="false">
      <c r="A113" s="3" t="s">
        <v>150</v>
      </c>
      <c r="B113" s="3" t="s">
        <v>23</v>
      </c>
      <c r="C113" s="3" t="s">
        <v>24</v>
      </c>
      <c r="D113" s="3" t="n">
        <v>1</v>
      </c>
      <c r="E113" s="6" t="n">
        <v>10</v>
      </c>
      <c r="F113" s="6" t="n">
        <v>12.5</v>
      </c>
      <c r="G113" s="7" t="n">
        <f aca="false">F113-E113</f>
        <v>2.5</v>
      </c>
      <c r="H113" s="8" t="n">
        <f aca="false">IF(E113=0,0,F113/E113-1)</f>
        <v>0.25</v>
      </c>
      <c r="I113" s="3" t="s">
        <v>27</v>
      </c>
    </row>
    <row r="114" customFormat="false" ht="15" hidden="false" customHeight="false" outlineLevel="0" collapsed="false">
      <c r="A114" s="3" t="s">
        <v>151</v>
      </c>
      <c r="B114" s="3" t="s">
        <v>23</v>
      </c>
      <c r="C114" s="3" t="s">
        <v>24</v>
      </c>
      <c r="D114" s="3" t="n">
        <v>1</v>
      </c>
      <c r="E114" s="6" t="n">
        <v>14.99</v>
      </c>
      <c r="F114" s="6" t="n">
        <v>18.5</v>
      </c>
      <c r="G114" s="7" t="n">
        <f aca="false">F114-E114</f>
        <v>3.51</v>
      </c>
      <c r="H114" s="8" t="n">
        <f aca="false">IF(E114=0,0,F114/E114-1)</f>
        <v>0.23415610406938</v>
      </c>
      <c r="I114" s="3" t="s">
        <v>27</v>
      </c>
    </row>
    <row r="115" customFormat="false" ht="15" hidden="false" customHeight="false" outlineLevel="0" collapsed="false">
      <c r="A115" s="3" t="s">
        <v>152</v>
      </c>
      <c r="B115" s="3" t="s">
        <v>23</v>
      </c>
      <c r="C115" s="3" t="s">
        <v>24</v>
      </c>
      <c r="D115" s="3" t="n">
        <v>1</v>
      </c>
      <c r="E115" s="6" t="n">
        <v>24.99</v>
      </c>
      <c r="F115" s="6" t="n">
        <v>30.5</v>
      </c>
      <c r="G115" s="7" t="n">
        <f aca="false">F115-E115</f>
        <v>5.51</v>
      </c>
      <c r="H115" s="8" t="n">
        <f aca="false">IF(E115=0,0,F115/E115-1)</f>
        <v>0.220488195278111</v>
      </c>
      <c r="I115" s="3" t="s">
        <v>27</v>
      </c>
    </row>
    <row r="116" customFormat="false" ht="15" hidden="false" customHeight="false" outlineLevel="0" collapsed="false">
      <c r="A116" s="3" t="s">
        <v>153</v>
      </c>
      <c r="B116" s="3" t="s">
        <v>23</v>
      </c>
      <c r="C116" s="3" t="s">
        <v>24</v>
      </c>
      <c r="D116" s="3" t="s">
        <v>112</v>
      </c>
      <c r="E116" s="6" t="n">
        <v>135</v>
      </c>
      <c r="F116" s="6" t="n">
        <v>129</v>
      </c>
      <c r="G116" s="7" t="n">
        <f aca="false">F116-E116</f>
        <v>-6</v>
      </c>
      <c r="H116" s="8" t="n">
        <f aca="false">IF(E116=0,0,F116/E116-1)</f>
        <v>-0.0444444444444444</v>
      </c>
      <c r="I116" s="3" t="s">
        <v>113</v>
      </c>
    </row>
    <row r="117" customFormat="false" ht="15" hidden="false" customHeight="false" outlineLevel="0" collapsed="false">
      <c r="A117" s="3" t="s">
        <v>154</v>
      </c>
      <c r="B117" s="3" t="s">
        <v>23</v>
      </c>
      <c r="C117" s="3" t="s">
        <v>24</v>
      </c>
      <c r="D117" s="3" t="s">
        <v>112</v>
      </c>
      <c r="E117" s="6" t="n">
        <v>139.99</v>
      </c>
      <c r="F117" s="6" t="n">
        <v>99</v>
      </c>
      <c r="G117" s="7" t="n">
        <f aca="false">F117-E117</f>
        <v>-40.99</v>
      </c>
      <c r="H117" s="8" t="n">
        <f aca="false">IF(E117=0,0,F117/E117-1)</f>
        <v>-0.292806629044932</v>
      </c>
      <c r="I117" s="3" t="s">
        <v>113</v>
      </c>
    </row>
    <row r="118" customFormat="false" ht="15" hidden="false" customHeight="false" outlineLevel="0" collapsed="false">
      <c r="A118" s="3" t="s">
        <v>155</v>
      </c>
      <c r="B118" s="3" t="s">
        <v>23</v>
      </c>
      <c r="C118" s="3" t="s">
        <v>24</v>
      </c>
      <c r="D118" s="3" t="n">
        <v>3</v>
      </c>
      <c r="E118" s="6" t="n">
        <v>149.99</v>
      </c>
      <c r="F118" s="6" t="n">
        <v>174</v>
      </c>
      <c r="G118" s="7" t="n">
        <f aca="false">F118-E118</f>
        <v>24.01</v>
      </c>
      <c r="H118" s="8" t="n">
        <f aca="false">IF(E118=0,0,F118/E118-1)</f>
        <v>0.160077338489232</v>
      </c>
      <c r="I118" s="3" t="s">
        <v>38</v>
      </c>
    </row>
    <row r="119" customFormat="false" ht="15" hidden="false" customHeight="false" outlineLevel="0" collapsed="false">
      <c r="A119" s="3" t="s">
        <v>156</v>
      </c>
      <c r="B119" s="3" t="s">
        <v>23</v>
      </c>
      <c r="C119" s="3" t="s">
        <v>24</v>
      </c>
      <c r="D119" s="3" t="n">
        <v>1</v>
      </c>
      <c r="E119" s="6" t="n">
        <v>16.09</v>
      </c>
      <c r="F119" s="6" t="n">
        <v>20</v>
      </c>
      <c r="G119" s="7" t="n">
        <f aca="false">F119-E119</f>
        <v>3.91</v>
      </c>
      <c r="H119" s="8" t="n">
        <f aca="false">IF(E119=0,0,F119/E119-1)</f>
        <v>0.243008079552517</v>
      </c>
      <c r="I119" s="3" t="s">
        <v>27</v>
      </c>
    </row>
    <row r="120" customFormat="false" ht="15" hidden="false" customHeight="false" outlineLevel="0" collapsed="false">
      <c r="A120" s="3" t="s">
        <v>157</v>
      </c>
      <c r="B120" s="3" t="s">
        <v>23</v>
      </c>
      <c r="C120" s="3" t="s">
        <v>24</v>
      </c>
      <c r="D120" s="3" t="n">
        <v>1</v>
      </c>
      <c r="E120" s="6" t="n">
        <v>24.99</v>
      </c>
      <c r="F120" s="6" t="n">
        <v>30.5</v>
      </c>
      <c r="G120" s="7" t="n">
        <f aca="false">F120-E120</f>
        <v>5.51</v>
      </c>
      <c r="H120" s="8" t="n">
        <f aca="false">IF(E120=0,0,F120/E120-1)</f>
        <v>0.220488195278111</v>
      </c>
      <c r="I120" s="3" t="s">
        <v>27</v>
      </c>
    </row>
    <row r="121" customFormat="false" ht="15" hidden="false" customHeight="false" outlineLevel="0" collapsed="false">
      <c r="A121" s="3" t="s">
        <v>158</v>
      </c>
      <c r="B121" s="3" t="s">
        <v>23</v>
      </c>
      <c r="C121" s="3" t="s">
        <v>24</v>
      </c>
      <c r="D121" s="3" t="n">
        <v>3</v>
      </c>
      <c r="E121" s="6" t="n">
        <v>140</v>
      </c>
      <c r="F121" s="6" t="n">
        <v>163</v>
      </c>
      <c r="G121" s="7" t="n">
        <f aca="false">F121-E121</f>
        <v>23</v>
      </c>
      <c r="H121" s="8" t="n">
        <f aca="false">IF(E121=0,0,F121/E121-1)</f>
        <v>0.164285714285714</v>
      </c>
      <c r="I121" s="3" t="s">
        <v>38</v>
      </c>
    </row>
    <row r="122" customFormat="false" ht="15" hidden="false" customHeight="false" outlineLevel="0" collapsed="false">
      <c r="A122" s="3" t="s">
        <v>159</v>
      </c>
      <c r="B122" s="3" t="s">
        <v>23</v>
      </c>
      <c r="C122" s="3" t="s">
        <v>24</v>
      </c>
      <c r="D122" s="3" t="n">
        <v>3</v>
      </c>
      <c r="E122" s="6" t="n">
        <v>189.99</v>
      </c>
      <c r="F122" s="6" t="n">
        <v>221</v>
      </c>
      <c r="G122" s="7" t="n">
        <f aca="false">F122-E122</f>
        <v>31.01</v>
      </c>
      <c r="H122" s="8" t="n">
        <f aca="false">IF(E122=0,0,F122/E122-1)</f>
        <v>0.163219116795621</v>
      </c>
      <c r="I122" s="3" t="s">
        <v>38</v>
      </c>
    </row>
    <row r="123" customFormat="false" ht="15" hidden="false" customHeight="false" outlineLevel="0" collapsed="false">
      <c r="A123" s="3" t="s">
        <v>160</v>
      </c>
      <c r="B123" s="3" t="s">
        <v>23</v>
      </c>
      <c r="C123" s="3" t="s">
        <v>24</v>
      </c>
      <c r="D123" s="3" t="n">
        <v>1</v>
      </c>
      <c r="E123" s="6" t="n">
        <v>35</v>
      </c>
      <c r="F123" s="6" t="n">
        <v>43</v>
      </c>
      <c r="G123" s="7" t="n">
        <f aca="false">F123-E123</f>
        <v>8</v>
      </c>
      <c r="H123" s="8" t="n">
        <f aca="false">IF(E123=0,0,F123/E123-1)</f>
        <v>0.228571428571429</v>
      </c>
      <c r="I123" s="3" t="s">
        <v>27</v>
      </c>
    </row>
    <row r="124" customFormat="false" ht="15" hidden="false" customHeight="false" outlineLevel="0" collapsed="false">
      <c r="A124" s="3" t="s">
        <v>161</v>
      </c>
      <c r="B124" s="3" t="s">
        <v>23</v>
      </c>
      <c r="C124" s="3" t="s">
        <v>24</v>
      </c>
      <c r="D124" s="3" t="n">
        <v>1</v>
      </c>
      <c r="E124" s="6" t="n">
        <v>23.62</v>
      </c>
      <c r="F124" s="6" t="n">
        <v>29</v>
      </c>
      <c r="G124" s="7" t="n">
        <f aca="false">F124-E124</f>
        <v>5.38</v>
      </c>
      <c r="H124" s="8" t="n">
        <f aca="false">IF(E124=0,0,F124/E124-1)</f>
        <v>0.227773073666384</v>
      </c>
      <c r="I124" s="3" t="s">
        <v>27</v>
      </c>
    </row>
    <row r="125" customFormat="false" ht="15" hidden="false" customHeight="false" outlineLevel="0" collapsed="false">
      <c r="A125" s="3" t="s">
        <v>162</v>
      </c>
      <c r="B125" s="3" t="s">
        <v>23</v>
      </c>
      <c r="C125" s="3" t="s">
        <v>24</v>
      </c>
      <c r="D125" s="3" t="n">
        <v>3</v>
      </c>
      <c r="E125" s="6" t="n">
        <v>190</v>
      </c>
      <c r="F125" s="6" t="n">
        <v>221</v>
      </c>
      <c r="G125" s="7" t="n">
        <f aca="false">F125-E125</f>
        <v>31</v>
      </c>
      <c r="H125" s="8" t="n">
        <f aca="false">IF(E125=0,0,F125/E125-1)</f>
        <v>0.163157894736842</v>
      </c>
      <c r="I125" s="3" t="s">
        <v>38</v>
      </c>
    </row>
    <row r="126" customFormat="false" ht="15" hidden="false" customHeight="false" outlineLevel="0" collapsed="false">
      <c r="A126" s="3" t="s">
        <v>163</v>
      </c>
      <c r="B126" s="3" t="s">
        <v>23</v>
      </c>
      <c r="C126" s="3" t="s">
        <v>24</v>
      </c>
      <c r="D126" s="3" t="n">
        <v>3</v>
      </c>
      <c r="E126" s="6" t="n">
        <v>190</v>
      </c>
      <c r="F126" s="6" t="n">
        <v>221</v>
      </c>
      <c r="G126" s="7" t="n">
        <f aca="false">F126-E126</f>
        <v>31</v>
      </c>
      <c r="H126" s="8" t="n">
        <f aca="false">IF(E126=0,0,F126/E126-1)</f>
        <v>0.163157894736842</v>
      </c>
      <c r="I126" s="3" t="s">
        <v>38</v>
      </c>
    </row>
    <row r="127" customFormat="false" ht="15" hidden="false" customHeight="false" outlineLevel="0" collapsed="false">
      <c r="A127" s="3" t="s">
        <v>164</v>
      </c>
      <c r="B127" s="3" t="s">
        <v>23</v>
      </c>
      <c r="C127" s="3" t="s">
        <v>24</v>
      </c>
      <c r="D127" s="3" t="n">
        <v>2</v>
      </c>
      <c r="E127" s="6" t="n">
        <v>94.99</v>
      </c>
      <c r="F127" s="6" t="n">
        <v>113</v>
      </c>
      <c r="G127" s="7" t="n">
        <f aca="false">F127-E127</f>
        <v>18.01</v>
      </c>
      <c r="H127" s="8" t="n">
        <f aca="false">IF(E127=0,0,F127/E127-1)</f>
        <v>0.18959890514791</v>
      </c>
      <c r="I127" s="3" t="s">
        <v>165</v>
      </c>
    </row>
    <row r="128" customFormat="false" ht="15" hidden="false" customHeight="false" outlineLevel="0" collapsed="false">
      <c r="A128" s="3" t="s">
        <v>166</v>
      </c>
      <c r="B128" s="3" t="s">
        <v>23</v>
      </c>
      <c r="C128" s="3" t="s">
        <v>24</v>
      </c>
      <c r="D128" s="3" t="n">
        <v>4</v>
      </c>
      <c r="E128" s="6" t="n">
        <v>109.99</v>
      </c>
      <c r="F128" s="6" t="n">
        <v>127</v>
      </c>
      <c r="G128" s="7" t="n">
        <f aca="false">F128-E128</f>
        <v>17.01</v>
      </c>
      <c r="H128" s="8" t="n">
        <f aca="false">IF(E128=0,0,F128/E128-1)</f>
        <v>0.154650422765706</v>
      </c>
      <c r="I128" s="3" t="s">
        <v>32</v>
      </c>
    </row>
    <row r="129" customFormat="false" ht="15" hidden="false" customHeight="false" outlineLevel="0" collapsed="false">
      <c r="A129" s="3" t="s">
        <v>167</v>
      </c>
      <c r="B129" s="3" t="s">
        <v>23</v>
      </c>
      <c r="C129" s="3" t="s">
        <v>24</v>
      </c>
      <c r="D129" s="3" t="n">
        <v>1</v>
      </c>
      <c r="E129" s="6" t="n">
        <v>30.74</v>
      </c>
      <c r="F129" s="6" t="n">
        <v>37.5</v>
      </c>
      <c r="G129" s="7" t="n">
        <f aca="false">F129-E129</f>
        <v>6.76</v>
      </c>
      <c r="H129" s="8" t="n">
        <f aca="false">IF(E129=0,0,F129/E129-1)</f>
        <v>0.219908913467795</v>
      </c>
      <c r="I129" s="3" t="s">
        <v>27</v>
      </c>
    </row>
    <row r="130" customFormat="false" ht="15" hidden="false" customHeight="false" outlineLevel="0" collapsed="false">
      <c r="A130" s="3" t="s">
        <v>168</v>
      </c>
      <c r="B130" s="3" t="s">
        <v>23</v>
      </c>
      <c r="C130" s="3" t="s">
        <v>24</v>
      </c>
      <c r="D130" s="3" t="n">
        <v>1</v>
      </c>
      <c r="E130" s="6" t="n">
        <v>29.15</v>
      </c>
      <c r="F130" s="6" t="n">
        <v>36</v>
      </c>
      <c r="G130" s="7" t="n">
        <f aca="false">F130-E130</f>
        <v>6.85</v>
      </c>
      <c r="H130" s="8" t="n">
        <f aca="false">IF(E130=0,0,F130/E130-1)</f>
        <v>0.234991423670669</v>
      </c>
      <c r="I130" s="3" t="s">
        <v>27</v>
      </c>
    </row>
    <row r="131" customFormat="false" ht="15" hidden="false" customHeight="false" outlineLevel="0" collapsed="false">
      <c r="A131" s="3" t="s">
        <v>169</v>
      </c>
      <c r="B131" s="3" t="s">
        <v>23</v>
      </c>
      <c r="C131" s="3" t="s">
        <v>24</v>
      </c>
      <c r="D131" s="3" t="n">
        <v>2</v>
      </c>
      <c r="E131" s="6" t="n">
        <v>169</v>
      </c>
      <c r="F131" s="6" t="n">
        <v>200</v>
      </c>
      <c r="G131" s="7" t="n">
        <f aca="false">F131-E131</f>
        <v>31</v>
      </c>
      <c r="H131" s="8" t="n">
        <f aca="false">IF(E131=0,0,F131/E131-1)</f>
        <v>0.183431952662722</v>
      </c>
      <c r="I131" s="3" t="s">
        <v>170</v>
      </c>
    </row>
    <row r="132" customFormat="false" ht="15" hidden="false" customHeight="false" outlineLevel="0" collapsed="false">
      <c r="A132" s="3" t="s">
        <v>171</v>
      </c>
      <c r="B132" s="3" t="s">
        <v>23</v>
      </c>
      <c r="C132" s="3" t="s">
        <v>24</v>
      </c>
      <c r="D132" s="3" t="n">
        <v>1</v>
      </c>
      <c r="E132" s="6" t="n">
        <v>34.99</v>
      </c>
      <c r="F132" s="6" t="n">
        <v>43</v>
      </c>
      <c r="G132" s="7" t="n">
        <f aca="false">F132-E132</f>
        <v>8.01</v>
      </c>
      <c r="H132" s="8" t="n">
        <f aca="false">IF(E132=0,0,F132/E132-1)</f>
        <v>0.2289225492998</v>
      </c>
      <c r="I132" s="3" t="s">
        <v>27</v>
      </c>
    </row>
    <row r="133" customFormat="false" ht="15" hidden="false" customHeight="false" outlineLevel="0" collapsed="false">
      <c r="A133" s="3" t="s">
        <v>172</v>
      </c>
      <c r="B133" s="3" t="s">
        <v>23</v>
      </c>
      <c r="C133" s="3" t="s">
        <v>24</v>
      </c>
      <c r="D133" s="3" t="n">
        <v>1</v>
      </c>
      <c r="E133" s="6" t="n">
        <v>24.99</v>
      </c>
      <c r="F133" s="6" t="n">
        <v>30.5</v>
      </c>
      <c r="G133" s="7" t="n">
        <f aca="false">F133-E133</f>
        <v>5.51</v>
      </c>
      <c r="H133" s="8" t="n">
        <f aca="false">IF(E133=0,0,F133/E133-1)</f>
        <v>0.220488195278111</v>
      </c>
      <c r="I133" s="3" t="s">
        <v>27</v>
      </c>
    </row>
    <row r="134" customFormat="false" ht="15" hidden="false" customHeight="false" outlineLevel="0" collapsed="false">
      <c r="A134" s="3" t="s">
        <v>173</v>
      </c>
      <c r="B134" s="3" t="s">
        <v>23</v>
      </c>
      <c r="C134" s="3" t="s">
        <v>24</v>
      </c>
      <c r="D134" s="3" t="n">
        <v>3</v>
      </c>
      <c r="E134" s="6" t="n">
        <v>69</v>
      </c>
      <c r="F134" s="6" t="n">
        <v>80.5</v>
      </c>
      <c r="G134" s="7" t="n">
        <f aca="false">F134-E134</f>
        <v>11.5</v>
      </c>
      <c r="H134" s="8" t="n">
        <f aca="false">IF(E134=0,0,F134/E134-1)</f>
        <v>0.166666666666667</v>
      </c>
      <c r="I134" s="3" t="s">
        <v>38</v>
      </c>
    </row>
    <row r="135" customFormat="false" ht="15" hidden="false" customHeight="false" outlineLevel="0" collapsed="false">
      <c r="A135" s="3" t="s">
        <v>174</v>
      </c>
      <c r="B135" s="3" t="s">
        <v>23</v>
      </c>
      <c r="C135" s="3" t="s">
        <v>24</v>
      </c>
      <c r="D135" s="3" t="n">
        <v>1</v>
      </c>
      <c r="E135" s="6" t="n">
        <v>13.78</v>
      </c>
      <c r="F135" s="6" t="n">
        <v>17</v>
      </c>
      <c r="G135" s="7" t="n">
        <f aca="false">F135-E135</f>
        <v>3.22</v>
      </c>
      <c r="H135" s="8" t="n">
        <f aca="false">IF(E135=0,0,F135/E135-1)</f>
        <v>0.23367198838897</v>
      </c>
      <c r="I135" s="3" t="s">
        <v>27</v>
      </c>
    </row>
    <row r="136" customFormat="false" ht="15" hidden="false" customHeight="false" outlineLevel="0" collapsed="false">
      <c r="A136" s="3" t="s">
        <v>175</v>
      </c>
      <c r="B136" s="3" t="s">
        <v>23</v>
      </c>
      <c r="C136" s="3" t="s">
        <v>24</v>
      </c>
      <c r="D136" s="3" t="n">
        <v>1</v>
      </c>
      <c r="E136" s="6" t="n">
        <v>120</v>
      </c>
      <c r="F136" s="6" t="n">
        <v>147</v>
      </c>
      <c r="G136" s="7" t="n">
        <f aca="false">F136-E136</f>
        <v>27</v>
      </c>
      <c r="H136" s="8" t="n">
        <f aca="false">IF(E136=0,0,F136/E136-1)</f>
        <v>0.225</v>
      </c>
      <c r="I136" s="3" t="s">
        <v>176</v>
      </c>
    </row>
    <row r="137" customFormat="false" ht="15" hidden="false" customHeight="false" outlineLevel="0" collapsed="false">
      <c r="A137" s="3" t="s">
        <v>177</v>
      </c>
      <c r="B137" s="3" t="s">
        <v>23</v>
      </c>
      <c r="C137" s="3" t="s">
        <v>24</v>
      </c>
      <c r="D137" s="3" t="n">
        <v>4</v>
      </c>
      <c r="E137" s="6" t="n">
        <v>674.71</v>
      </c>
      <c r="F137" s="6" t="n">
        <v>776</v>
      </c>
      <c r="G137" s="7" t="n">
        <f aca="false">F137-E137</f>
        <v>101.29</v>
      </c>
      <c r="H137" s="8" t="n">
        <f aca="false">IF(E137=0,0,F137/E137-1)</f>
        <v>0.150123756873323</v>
      </c>
      <c r="I137" s="3" t="s">
        <v>32</v>
      </c>
    </row>
    <row r="138" customFormat="false" ht="15" hidden="false" customHeight="false" outlineLevel="0" collapsed="false">
      <c r="A138" s="3" t="s">
        <v>178</v>
      </c>
      <c r="B138" s="3" t="s">
        <v>23</v>
      </c>
      <c r="C138" s="3" t="s">
        <v>179</v>
      </c>
      <c r="D138" s="3" t="n">
        <v>4</v>
      </c>
      <c r="E138" s="6" t="n">
        <v>300</v>
      </c>
      <c r="F138" s="6" t="n">
        <v>345</v>
      </c>
      <c r="G138" s="7" t="n">
        <f aca="false">F138-E138</f>
        <v>45</v>
      </c>
      <c r="H138" s="8" t="n">
        <f aca="false">IF(E138=0,0,F138/E138-1)</f>
        <v>0.15</v>
      </c>
      <c r="I138" s="3" t="s">
        <v>180</v>
      </c>
    </row>
    <row r="139" customFormat="false" ht="15" hidden="false" customHeight="false" outlineLevel="0" collapsed="false">
      <c r="A139" s="3" t="s">
        <v>181</v>
      </c>
      <c r="B139" s="3" t="s">
        <v>23</v>
      </c>
      <c r="C139" s="3" t="s">
        <v>24</v>
      </c>
      <c r="D139" s="3" t="n">
        <v>1</v>
      </c>
      <c r="E139" s="6" t="n">
        <v>31.93</v>
      </c>
      <c r="F139" s="6" t="n">
        <v>39</v>
      </c>
      <c r="G139" s="7" t="n">
        <f aca="false">F139-E139</f>
        <v>7.07</v>
      </c>
      <c r="H139" s="8" t="n">
        <f aca="false">IF(E139=0,0,F139/E139-1)</f>
        <v>0.221421860319449</v>
      </c>
      <c r="I139" s="3" t="s">
        <v>27</v>
      </c>
    </row>
    <row r="140" customFormat="false" ht="15" hidden="false" customHeight="false" outlineLevel="0" collapsed="false">
      <c r="A140" s="3" t="s">
        <v>182</v>
      </c>
      <c r="B140" s="3" t="s">
        <v>23</v>
      </c>
      <c r="C140" s="3" t="s">
        <v>24</v>
      </c>
      <c r="D140" s="3" t="n">
        <v>1</v>
      </c>
      <c r="E140" s="6" t="n">
        <v>43.66</v>
      </c>
      <c r="F140" s="6" t="n">
        <v>53.5</v>
      </c>
      <c r="G140" s="7" t="n">
        <f aca="false">F140-E140</f>
        <v>9.84</v>
      </c>
      <c r="H140" s="8" t="n">
        <f aca="false">IF(E140=0,0,F140/E140-1)</f>
        <v>0.225377920293175</v>
      </c>
      <c r="I140" s="3" t="s">
        <v>27</v>
      </c>
    </row>
    <row r="141" customFormat="false" ht="15" hidden="false" customHeight="false" outlineLevel="0" collapsed="false">
      <c r="A141" s="3" t="s">
        <v>183</v>
      </c>
      <c r="B141" s="3" t="s">
        <v>23</v>
      </c>
      <c r="C141" s="3" t="s">
        <v>24</v>
      </c>
      <c r="D141" s="3" t="n">
        <v>1</v>
      </c>
      <c r="E141" s="6" t="n">
        <v>59.99</v>
      </c>
      <c r="F141" s="6" t="n">
        <v>73.5</v>
      </c>
      <c r="G141" s="7" t="n">
        <f aca="false">F141-E141</f>
        <v>13.51</v>
      </c>
      <c r="H141" s="8" t="n">
        <f aca="false">IF(E141=0,0,F141/E141-1)</f>
        <v>0.225204200700117</v>
      </c>
      <c r="I141" s="3" t="s">
        <v>27</v>
      </c>
    </row>
    <row r="142" customFormat="false" ht="15" hidden="false" customHeight="false" outlineLevel="0" collapsed="false">
      <c r="A142" s="3" t="s">
        <v>184</v>
      </c>
      <c r="B142" s="3" t="s">
        <v>23</v>
      </c>
      <c r="C142" s="3" t="s">
        <v>24</v>
      </c>
      <c r="D142" s="3" t="n">
        <v>2</v>
      </c>
      <c r="E142" s="6" t="n">
        <v>228.85</v>
      </c>
      <c r="F142" s="6" t="n">
        <v>271</v>
      </c>
      <c r="G142" s="7" t="n">
        <f aca="false">F142-E142</f>
        <v>42.15</v>
      </c>
      <c r="H142" s="8" t="n">
        <f aca="false">IF(E142=0,0,F142/E142-1)</f>
        <v>0.184181778457505</v>
      </c>
      <c r="I142" s="3" t="s">
        <v>185</v>
      </c>
    </row>
    <row r="143" customFormat="false" ht="15" hidden="false" customHeight="false" outlineLevel="0" collapsed="false">
      <c r="A143" s="3" t="s">
        <v>186</v>
      </c>
      <c r="B143" s="3" t="s">
        <v>23</v>
      </c>
      <c r="C143" s="3" t="s">
        <v>24</v>
      </c>
      <c r="D143" s="3" t="n">
        <v>1</v>
      </c>
      <c r="E143" s="6" t="n">
        <v>14</v>
      </c>
      <c r="F143" s="6" t="n">
        <v>17.5</v>
      </c>
      <c r="G143" s="7" t="n">
        <f aca="false">F143-E143</f>
        <v>3.5</v>
      </c>
      <c r="H143" s="8" t="n">
        <f aca="false">IF(E143=0,0,F143/E143-1)</f>
        <v>0.25</v>
      </c>
      <c r="I143" s="3" t="s">
        <v>27</v>
      </c>
    </row>
    <row r="144" customFormat="false" ht="15" hidden="false" customHeight="false" outlineLevel="0" collapsed="false">
      <c r="A144" s="3" t="s">
        <v>187</v>
      </c>
      <c r="B144" s="3" t="s">
        <v>23</v>
      </c>
      <c r="C144" s="3" t="s">
        <v>24</v>
      </c>
      <c r="D144" s="3" t="n">
        <v>4</v>
      </c>
      <c r="E144" s="6" t="n">
        <v>549.99</v>
      </c>
      <c r="F144" s="6" t="n">
        <v>633</v>
      </c>
      <c r="G144" s="7" t="n">
        <f aca="false">F144-E144</f>
        <v>83.01</v>
      </c>
      <c r="H144" s="8" t="n">
        <f aca="false">IF(E144=0,0,F144/E144-1)</f>
        <v>0.150930016909398</v>
      </c>
      <c r="I144" s="3" t="s">
        <v>32</v>
      </c>
    </row>
    <row r="145" customFormat="false" ht="15" hidden="false" customHeight="false" outlineLevel="0" collapsed="false">
      <c r="A145" s="3" t="s">
        <v>188</v>
      </c>
      <c r="B145" s="3" t="s">
        <v>23</v>
      </c>
      <c r="C145" s="3" t="s">
        <v>24</v>
      </c>
      <c r="D145" s="3" t="n">
        <v>4</v>
      </c>
      <c r="E145" s="6" t="n">
        <v>395.52</v>
      </c>
      <c r="F145" s="6" t="n">
        <v>455</v>
      </c>
      <c r="G145" s="7" t="n">
        <f aca="false">F145-E145</f>
        <v>59.48</v>
      </c>
      <c r="H145" s="8" t="n">
        <f aca="false">IF(E145=0,0,F145/E145-1)</f>
        <v>0.15038430420712</v>
      </c>
      <c r="I145" s="3" t="s">
        <v>32</v>
      </c>
    </row>
    <row r="146" customFormat="false" ht="15" hidden="false" customHeight="false" outlineLevel="0" collapsed="false">
      <c r="A146" s="3" t="s">
        <v>189</v>
      </c>
      <c r="B146" s="3" t="s">
        <v>23</v>
      </c>
      <c r="C146" s="3" t="s">
        <v>24</v>
      </c>
      <c r="D146" s="3" t="n">
        <v>4</v>
      </c>
      <c r="E146" s="6" t="n">
        <v>299.99</v>
      </c>
      <c r="F146" s="6" t="n">
        <v>345</v>
      </c>
      <c r="G146" s="7" t="n">
        <f aca="false">F146-E146</f>
        <v>45.01</v>
      </c>
      <c r="H146" s="8" t="n">
        <f aca="false">IF(E146=0,0,F146/E146-1)</f>
        <v>0.150038334611154</v>
      </c>
      <c r="I146" s="3" t="s">
        <v>32</v>
      </c>
    </row>
    <row r="147" customFormat="false" ht="15" hidden="false" customHeight="false" outlineLevel="0" collapsed="false">
      <c r="A147" s="3" t="s">
        <v>190</v>
      </c>
      <c r="B147" s="3" t="s">
        <v>23</v>
      </c>
      <c r="C147" s="3" t="s">
        <v>24</v>
      </c>
      <c r="D147" s="3" t="n">
        <v>3</v>
      </c>
      <c r="E147" s="6" t="n">
        <v>195.49</v>
      </c>
      <c r="F147" s="6" t="n">
        <v>227</v>
      </c>
      <c r="G147" s="7" t="n">
        <f aca="false">F147-E147</f>
        <v>31.51</v>
      </c>
      <c r="H147" s="8" t="n">
        <f aca="false">IF(E147=0,0,F147/E147-1)</f>
        <v>0.161184715330707</v>
      </c>
      <c r="I147" s="3" t="s">
        <v>38</v>
      </c>
    </row>
    <row r="148" customFormat="false" ht="15" hidden="false" customHeight="false" outlineLevel="0" collapsed="false">
      <c r="A148" s="3" t="s">
        <v>191</v>
      </c>
      <c r="B148" s="3" t="s">
        <v>23</v>
      </c>
      <c r="C148" s="3" t="s">
        <v>24</v>
      </c>
      <c r="D148" s="3" t="n">
        <v>1</v>
      </c>
      <c r="E148" s="6" t="n">
        <v>17</v>
      </c>
      <c r="F148" s="6" t="n">
        <v>21</v>
      </c>
      <c r="G148" s="7" t="n">
        <f aca="false">F148-E148</f>
        <v>4</v>
      </c>
      <c r="H148" s="8" t="n">
        <f aca="false">IF(E148=0,0,F148/E148-1)</f>
        <v>0.235294117647059</v>
      </c>
      <c r="I148" s="3" t="s">
        <v>27</v>
      </c>
    </row>
    <row r="149" customFormat="false" ht="15" hidden="false" customHeight="false" outlineLevel="0" collapsed="false">
      <c r="A149" s="3" t="s">
        <v>192</v>
      </c>
      <c r="B149" s="3" t="s">
        <v>23</v>
      </c>
      <c r="C149" s="3" t="s">
        <v>24</v>
      </c>
      <c r="D149" s="3" t="n">
        <v>3</v>
      </c>
      <c r="E149" s="6" t="n">
        <v>89.99</v>
      </c>
      <c r="F149" s="6" t="n">
        <v>105</v>
      </c>
      <c r="G149" s="7" t="n">
        <f aca="false">F149-E149</f>
        <v>15.01</v>
      </c>
      <c r="H149" s="8" t="n">
        <f aca="false">IF(E149=0,0,F149/E149-1)</f>
        <v>0.166796310701189</v>
      </c>
      <c r="I149" s="3" t="s">
        <v>38</v>
      </c>
    </row>
    <row r="150" customFormat="false" ht="15" hidden="false" customHeight="false" outlineLevel="0" collapsed="false">
      <c r="A150" s="3" t="s">
        <v>193</v>
      </c>
      <c r="B150" s="3" t="s">
        <v>23</v>
      </c>
      <c r="C150" s="3" t="s">
        <v>24</v>
      </c>
      <c r="D150" s="3" t="n">
        <v>3</v>
      </c>
      <c r="E150" s="6" t="n">
        <v>61.04</v>
      </c>
      <c r="F150" s="6" t="n">
        <v>71</v>
      </c>
      <c r="G150" s="7" t="n">
        <f aca="false">F150-E150</f>
        <v>9.96</v>
      </c>
      <c r="H150" s="8" t="n">
        <f aca="false">IF(E150=0,0,F150/E150-1)</f>
        <v>0.163171690694627</v>
      </c>
      <c r="I150" s="3" t="s">
        <v>38</v>
      </c>
    </row>
    <row r="151" customFormat="false" ht="15" hidden="false" customHeight="false" outlineLevel="0" collapsed="false">
      <c r="A151" s="3" t="s">
        <v>194</v>
      </c>
      <c r="B151" s="3" t="s">
        <v>23</v>
      </c>
      <c r="C151" s="3" t="s">
        <v>24</v>
      </c>
      <c r="D151" s="3" t="n">
        <v>3</v>
      </c>
      <c r="E151" s="6" t="n">
        <v>59.99</v>
      </c>
      <c r="F151" s="6" t="n">
        <v>70</v>
      </c>
      <c r="G151" s="7" t="n">
        <f aca="false">F151-E151</f>
        <v>10.01</v>
      </c>
      <c r="H151" s="8" t="n">
        <f aca="false">IF(E151=0,0,F151/E151-1)</f>
        <v>0.166861143523921</v>
      </c>
      <c r="I151" s="3" t="s">
        <v>38</v>
      </c>
    </row>
    <row r="152" customFormat="false" ht="15" hidden="false" customHeight="false" outlineLevel="0" collapsed="false">
      <c r="A152" s="3" t="s">
        <v>195</v>
      </c>
      <c r="B152" s="3" t="s">
        <v>23</v>
      </c>
      <c r="C152" s="3" t="s">
        <v>24</v>
      </c>
      <c r="D152" s="3" t="n">
        <v>1</v>
      </c>
      <c r="E152" s="6" t="n">
        <v>99</v>
      </c>
      <c r="F152" s="6" t="n">
        <v>121</v>
      </c>
      <c r="G152" s="7" t="n">
        <f aca="false">F152-E152</f>
        <v>22</v>
      </c>
      <c r="H152" s="8" t="n">
        <f aca="false">IF(E152=0,0,F152/E152-1)</f>
        <v>0.222222222222222</v>
      </c>
      <c r="I152" s="3" t="s">
        <v>196</v>
      </c>
    </row>
    <row r="153" customFormat="false" ht="15" hidden="false" customHeight="false" outlineLevel="0" collapsed="false">
      <c r="A153" s="3" t="s">
        <v>197</v>
      </c>
      <c r="B153" s="3" t="s">
        <v>23</v>
      </c>
      <c r="C153" s="3" t="s">
        <v>24</v>
      </c>
      <c r="D153" s="3" t="n">
        <v>1</v>
      </c>
      <c r="E153" s="6" t="n">
        <v>24.38</v>
      </c>
      <c r="F153" s="6" t="n">
        <v>30</v>
      </c>
      <c r="G153" s="7" t="n">
        <f aca="false">F153-E153</f>
        <v>5.62</v>
      </c>
      <c r="H153" s="8" t="n">
        <f aca="false">IF(E153=0,0,F153/E153-1)</f>
        <v>0.230516817063167</v>
      </c>
      <c r="I153" s="3" t="s">
        <v>27</v>
      </c>
    </row>
    <row r="154" customFormat="false" ht="15" hidden="false" customHeight="false" outlineLevel="0" collapsed="false">
      <c r="A154" s="3" t="s">
        <v>198</v>
      </c>
      <c r="B154" s="3" t="s">
        <v>23</v>
      </c>
      <c r="C154" s="3" t="s">
        <v>24</v>
      </c>
      <c r="D154" s="3" t="n">
        <v>3</v>
      </c>
      <c r="E154" s="6" t="n">
        <v>210.94</v>
      </c>
      <c r="F154" s="6" t="n">
        <v>245</v>
      </c>
      <c r="G154" s="7" t="n">
        <f aca="false">F154-E154</f>
        <v>34.06</v>
      </c>
      <c r="H154" s="8" t="n">
        <f aca="false">IF(E154=0,0,F154/E154-1)</f>
        <v>0.161467715938181</v>
      </c>
      <c r="I154" s="3" t="s">
        <v>38</v>
      </c>
    </row>
    <row r="155" customFormat="false" ht="15" hidden="false" customHeight="false" outlineLevel="0" collapsed="false">
      <c r="A155" s="3" t="s">
        <v>199</v>
      </c>
      <c r="B155" s="3" t="s">
        <v>23</v>
      </c>
      <c r="C155" s="3" t="s">
        <v>24</v>
      </c>
      <c r="D155" s="3" t="n">
        <v>1</v>
      </c>
      <c r="E155" s="6" t="n">
        <v>19.99</v>
      </c>
      <c r="F155" s="6" t="n">
        <v>24.5</v>
      </c>
      <c r="G155" s="7" t="n">
        <f aca="false">F155-E155</f>
        <v>4.51</v>
      </c>
      <c r="H155" s="8" t="n">
        <f aca="false">IF(E155=0,0,F155/E155-1)</f>
        <v>0.225612806403202</v>
      </c>
      <c r="I155" s="3" t="s">
        <v>27</v>
      </c>
    </row>
    <row r="156" customFormat="false" ht="15" hidden="false" customHeight="false" outlineLevel="0" collapsed="false">
      <c r="A156" s="3" t="s">
        <v>200</v>
      </c>
      <c r="B156" s="3" t="s">
        <v>23</v>
      </c>
      <c r="C156" s="3" t="s">
        <v>179</v>
      </c>
      <c r="D156" s="3" t="n">
        <v>5</v>
      </c>
      <c r="E156" s="6" t="n">
        <v>170</v>
      </c>
      <c r="F156" s="6" t="n">
        <v>174</v>
      </c>
      <c r="G156" s="7" t="n">
        <f aca="false">F156-E156</f>
        <v>4</v>
      </c>
      <c r="H156" s="8" t="n">
        <f aca="false">IF(E156=0,0,F156/E156-1)</f>
        <v>0.0235294117647058</v>
      </c>
      <c r="I156" s="3" t="s">
        <v>201</v>
      </c>
    </row>
    <row r="157" customFormat="false" ht="15" hidden="false" customHeight="false" outlineLevel="0" collapsed="false">
      <c r="A157" s="3" t="s">
        <v>202</v>
      </c>
      <c r="B157" s="3" t="s">
        <v>23</v>
      </c>
      <c r="C157" s="3" t="s">
        <v>24</v>
      </c>
      <c r="D157" s="3" t="n">
        <v>1</v>
      </c>
      <c r="E157" s="6" t="n">
        <v>26.68</v>
      </c>
      <c r="F157" s="6" t="n">
        <v>33</v>
      </c>
      <c r="G157" s="7" t="n">
        <f aca="false">F157-E157</f>
        <v>6.32</v>
      </c>
      <c r="H157" s="8" t="n">
        <f aca="false">IF(E157=0,0,F157/E157-1)</f>
        <v>0.23688155922039</v>
      </c>
      <c r="I157" s="3" t="s">
        <v>27</v>
      </c>
    </row>
    <row r="158" customFormat="false" ht="15" hidden="false" customHeight="false" outlineLevel="0" collapsed="false">
      <c r="A158" s="3" t="s">
        <v>203</v>
      </c>
      <c r="B158" s="3" t="s">
        <v>23</v>
      </c>
      <c r="C158" s="3" t="s">
        <v>24</v>
      </c>
      <c r="D158" s="3" t="n">
        <v>3</v>
      </c>
      <c r="E158" s="6" t="n">
        <v>119.99</v>
      </c>
      <c r="F158" s="6" t="n">
        <v>140</v>
      </c>
      <c r="G158" s="7" t="n">
        <f aca="false">F158-E158</f>
        <v>20.01</v>
      </c>
      <c r="H158" s="8" t="n">
        <f aca="false">IF(E158=0,0,F158/E158-1)</f>
        <v>0.166763896991416</v>
      </c>
      <c r="I158" s="3" t="s">
        <v>38</v>
      </c>
    </row>
    <row r="159" customFormat="false" ht="15" hidden="false" customHeight="false" outlineLevel="0" collapsed="false">
      <c r="A159" s="3" t="s">
        <v>204</v>
      </c>
      <c r="B159" s="3" t="s">
        <v>23</v>
      </c>
      <c r="C159" s="3" t="s">
        <v>24</v>
      </c>
      <c r="D159" s="3" t="n">
        <v>1</v>
      </c>
      <c r="E159" s="6" t="n">
        <v>19.99</v>
      </c>
      <c r="F159" s="6" t="n">
        <v>24.5</v>
      </c>
      <c r="G159" s="7" t="n">
        <f aca="false">F159-E159</f>
        <v>4.51</v>
      </c>
      <c r="H159" s="8" t="n">
        <f aca="false">IF(E159=0,0,F159/E159-1)</f>
        <v>0.225612806403202</v>
      </c>
      <c r="I159" s="3" t="s">
        <v>205</v>
      </c>
    </row>
    <row r="160" customFormat="false" ht="15" hidden="false" customHeight="false" outlineLevel="0" collapsed="false">
      <c r="A160" s="3" t="s">
        <v>206</v>
      </c>
      <c r="B160" s="3" t="s">
        <v>23</v>
      </c>
      <c r="C160" s="3" t="s">
        <v>24</v>
      </c>
      <c r="D160" s="3" t="n">
        <v>3</v>
      </c>
      <c r="E160" s="6" t="n">
        <v>199.99</v>
      </c>
      <c r="F160" s="6" t="n">
        <v>232</v>
      </c>
      <c r="G160" s="7" t="n">
        <f aca="false">F160-E160</f>
        <v>32.01</v>
      </c>
      <c r="H160" s="8" t="n">
        <f aca="false">IF(E160=0,0,F160/E160-1)</f>
        <v>0.160058002900145</v>
      </c>
      <c r="I160" s="3" t="s">
        <v>38</v>
      </c>
    </row>
    <row r="161" customFormat="false" ht="15" hidden="false" customHeight="false" outlineLevel="0" collapsed="false">
      <c r="A161" s="3" t="s">
        <v>207</v>
      </c>
      <c r="B161" s="3" t="s">
        <v>23</v>
      </c>
      <c r="C161" s="3" t="s">
        <v>24</v>
      </c>
      <c r="D161" s="3" t="n">
        <v>3</v>
      </c>
      <c r="E161" s="6" t="n">
        <v>149.99</v>
      </c>
      <c r="F161" s="6" t="n">
        <v>174</v>
      </c>
      <c r="G161" s="7" t="n">
        <f aca="false">F161-E161</f>
        <v>24.01</v>
      </c>
      <c r="H161" s="8" t="n">
        <f aca="false">IF(E161=0,0,F161/E161-1)</f>
        <v>0.160077338489232</v>
      </c>
      <c r="I161" s="3" t="s">
        <v>38</v>
      </c>
    </row>
    <row r="162" customFormat="false" ht="15" hidden="false" customHeight="false" outlineLevel="0" collapsed="false">
      <c r="A162" s="3" t="s">
        <v>208</v>
      </c>
      <c r="B162" s="3" t="s">
        <v>23</v>
      </c>
      <c r="C162" s="3" t="s">
        <v>24</v>
      </c>
      <c r="D162" s="3" t="n">
        <v>1</v>
      </c>
      <c r="E162" s="6" t="n">
        <v>110</v>
      </c>
      <c r="F162" s="6" t="n">
        <v>135</v>
      </c>
      <c r="G162" s="7" t="n">
        <f aca="false">F162-E162</f>
        <v>25</v>
      </c>
      <c r="H162" s="8" t="n">
        <f aca="false">IF(E162=0,0,F162/E162-1)</f>
        <v>0.227272727272727</v>
      </c>
      <c r="I162" s="3" t="s">
        <v>134</v>
      </c>
    </row>
    <row r="163" customFormat="false" ht="15" hidden="false" customHeight="false" outlineLevel="0" collapsed="false">
      <c r="A163" s="3" t="s">
        <v>209</v>
      </c>
      <c r="B163" s="3" t="s">
        <v>23</v>
      </c>
      <c r="C163" s="3" t="s">
        <v>24</v>
      </c>
      <c r="D163" s="3" t="n">
        <v>1</v>
      </c>
      <c r="E163" s="6" t="n">
        <v>13.89</v>
      </c>
      <c r="F163" s="6" t="n">
        <v>17</v>
      </c>
      <c r="G163" s="7" t="n">
        <f aca="false">F163-E163</f>
        <v>3.11</v>
      </c>
      <c r="H163" s="8" t="n">
        <f aca="false">IF(E163=0,0,F163/E163-1)</f>
        <v>0.223902087832973</v>
      </c>
      <c r="I163" s="3" t="s">
        <v>210</v>
      </c>
    </row>
    <row r="164" customFormat="false" ht="15" hidden="false" customHeight="false" outlineLevel="0" collapsed="false">
      <c r="A164" s="3" t="s">
        <v>211</v>
      </c>
      <c r="B164" s="3" t="s">
        <v>23</v>
      </c>
      <c r="C164" s="3" t="s">
        <v>24</v>
      </c>
      <c r="D164" s="3" t="n">
        <v>3</v>
      </c>
      <c r="E164" s="6" t="n">
        <v>275.88</v>
      </c>
      <c r="F164" s="6" t="n">
        <v>321</v>
      </c>
      <c r="G164" s="7" t="n">
        <f aca="false">F164-E164</f>
        <v>45.12</v>
      </c>
      <c r="H164" s="8" t="n">
        <f aca="false">IF(E164=0,0,F164/E164-1)</f>
        <v>0.163549369290996</v>
      </c>
      <c r="I164" s="3" t="s">
        <v>38</v>
      </c>
    </row>
    <row r="165" customFormat="false" ht="15" hidden="false" customHeight="false" outlineLevel="0" collapsed="false">
      <c r="A165" s="3" t="s">
        <v>212</v>
      </c>
      <c r="B165" s="3" t="s">
        <v>23</v>
      </c>
      <c r="C165" s="3" t="s">
        <v>24</v>
      </c>
      <c r="D165" s="3" t="n">
        <v>1</v>
      </c>
      <c r="E165" s="6" t="n">
        <v>22</v>
      </c>
      <c r="F165" s="6" t="n">
        <v>27</v>
      </c>
      <c r="G165" s="7" t="n">
        <f aca="false">F165-E165</f>
        <v>5</v>
      </c>
      <c r="H165" s="8" t="n">
        <f aca="false">IF(E165=0,0,F165/E165-1)</f>
        <v>0.227272727272727</v>
      </c>
      <c r="I165" s="3" t="s">
        <v>27</v>
      </c>
    </row>
    <row r="166" customFormat="false" ht="15" hidden="false" customHeight="false" outlineLevel="0" collapsed="false">
      <c r="A166" s="3" t="s">
        <v>213</v>
      </c>
      <c r="B166" s="3" t="s">
        <v>23</v>
      </c>
      <c r="C166" s="3" t="s">
        <v>24</v>
      </c>
      <c r="D166" s="3" t="n">
        <v>1</v>
      </c>
      <c r="E166" s="6" t="n">
        <v>29.99</v>
      </c>
      <c r="F166" s="6" t="n">
        <v>37</v>
      </c>
      <c r="G166" s="7" t="n">
        <f aca="false">F166-E166</f>
        <v>7.01</v>
      </c>
      <c r="H166" s="8" t="n">
        <f aca="false">IF(E166=0,0,F166/E166-1)</f>
        <v>0.233744581527176</v>
      </c>
      <c r="I166" s="3" t="s">
        <v>27</v>
      </c>
    </row>
    <row r="167" customFormat="false" ht="15" hidden="false" customHeight="false" outlineLevel="0" collapsed="false">
      <c r="A167" s="3" t="s">
        <v>214</v>
      </c>
      <c r="B167" s="3" t="s">
        <v>23</v>
      </c>
      <c r="C167" s="3" t="s">
        <v>24</v>
      </c>
      <c r="D167" s="3" t="s">
        <v>112</v>
      </c>
      <c r="E167" s="6" t="n">
        <v>32</v>
      </c>
      <c r="F167" s="6" t="n">
        <v>35</v>
      </c>
      <c r="G167" s="7" t="n">
        <f aca="false">F167-E167</f>
        <v>3</v>
      </c>
      <c r="H167" s="8" t="n">
        <f aca="false">IF(E167=0,0,F167/E167-1)</f>
        <v>0.09375</v>
      </c>
      <c r="I167" s="3" t="s">
        <v>215</v>
      </c>
    </row>
    <row r="168" customFormat="false" ht="15" hidden="false" customHeight="false" outlineLevel="0" collapsed="false">
      <c r="A168" s="3" t="s">
        <v>216</v>
      </c>
      <c r="B168" s="3" t="s">
        <v>23</v>
      </c>
      <c r="C168" s="3" t="s">
        <v>24</v>
      </c>
      <c r="D168" s="3" t="n">
        <v>1</v>
      </c>
      <c r="E168" s="6" t="n">
        <v>14.99</v>
      </c>
      <c r="F168" s="6" t="n">
        <v>18.5</v>
      </c>
      <c r="G168" s="7" t="n">
        <f aca="false">F168-E168</f>
        <v>3.51</v>
      </c>
      <c r="H168" s="8" t="n">
        <f aca="false">IF(E168=0,0,F168/E168-1)</f>
        <v>0.23415610406938</v>
      </c>
      <c r="I168" s="3" t="s">
        <v>27</v>
      </c>
    </row>
    <row r="169" customFormat="false" ht="15" hidden="false" customHeight="false" outlineLevel="0" collapsed="false">
      <c r="A169" s="3" t="s">
        <v>217</v>
      </c>
      <c r="B169" s="3" t="s">
        <v>23</v>
      </c>
      <c r="C169" s="3" t="s">
        <v>24</v>
      </c>
      <c r="D169" s="3" t="n">
        <v>1</v>
      </c>
      <c r="E169" s="6" t="n">
        <v>15.38</v>
      </c>
      <c r="F169" s="6" t="n">
        <v>19</v>
      </c>
      <c r="G169" s="7" t="n">
        <f aca="false">F169-E169</f>
        <v>3.62</v>
      </c>
      <c r="H169" s="8" t="n">
        <f aca="false">IF(E169=0,0,F169/E169-1)</f>
        <v>0.235370611183355</v>
      </c>
      <c r="I169" s="3" t="s">
        <v>27</v>
      </c>
    </row>
    <row r="170" customFormat="false" ht="15" hidden="false" customHeight="false" outlineLevel="0" collapsed="false">
      <c r="A170" s="3" t="s">
        <v>218</v>
      </c>
      <c r="B170" s="3" t="s">
        <v>23</v>
      </c>
      <c r="C170" s="3" t="s">
        <v>24</v>
      </c>
      <c r="D170" s="3" t="n">
        <v>1</v>
      </c>
      <c r="E170" s="6" t="n">
        <v>34.99</v>
      </c>
      <c r="F170" s="6" t="n">
        <v>43</v>
      </c>
      <c r="G170" s="7" t="n">
        <f aca="false">F170-E170</f>
        <v>8.01</v>
      </c>
      <c r="H170" s="8" t="n">
        <f aca="false">IF(E170=0,0,F170/E170-1)</f>
        <v>0.2289225492998</v>
      </c>
      <c r="I170" s="3" t="s">
        <v>27</v>
      </c>
    </row>
    <row r="171" customFormat="false" ht="15" hidden="false" customHeight="false" outlineLevel="0" collapsed="false">
      <c r="A171" s="3" t="s">
        <v>219</v>
      </c>
      <c r="B171" s="3" t="s">
        <v>23</v>
      </c>
      <c r="C171" s="3" t="s">
        <v>24</v>
      </c>
      <c r="D171" s="3" t="n">
        <v>3</v>
      </c>
      <c r="E171" s="6" t="n">
        <v>249.99</v>
      </c>
      <c r="F171" s="6" t="n">
        <v>290</v>
      </c>
      <c r="G171" s="7" t="n">
        <f aca="false">F171-E171</f>
        <v>40.01</v>
      </c>
      <c r="H171" s="8" t="n">
        <f aca="false">IF(E171=0,0,F171/E171-1)</f>
        <v>0.160046401856074</v>
      </c>
      <c r="I171" s="3" t="s">
        <v>38</v>
      </c>
    </row>
    <row r="172" customFormat="false" ht="15" hidden="false" customHeight="false" outlineLevel="0" collapsed="false">
      <c r="A172" s="3" t="s">
        <v>220</v>
      </c>
      <c r="B172" s="3" t="s">
        <v>23</v>
      </c>
      <c r="C172" s="3" t="s">
        <v>24</v>
      </c>
      <c r="D172" s="3" t="n">
        <v>1</v>
      </c>
      <c r="E172" s="6" t="n">
        <v>24.99</v>
      </c>
      <c r="F172" s="6" t="n">
        <v>30.5</v>
      </c>
      <c r="G172" s="7" t="n">
        <f aca="false">F172-E172</f>
        <v>5.51</v>
      </c>
      <c r="H172" s="8" t="n">
        <f aca="false">IF(E172=0,0,F172/E172-1)</f>
        <v>0.220488195278111</v>
      </c>
      <c r="I172" s="3" t="s">
        <v>27</v>
      </c>
    </row>
    <row r="173" customFormat="false" ht="15" hidden="false" customHeight="false" outlineLevel="0" collapsed="false">
      <c r="A173" s="3" t="s">
        <v>221</v>
      </c>
      <c r="B173" s="3" t="s">
        <v>23</v>
      </c>
      <c r="C173" s="3" t="s">
        <v>24</v>
      </c>
      <c r="D173" s="3" t="n">
        <v>3</v>
      </c>
      <c r="E173" s="6" t="n">
        <v>129.99</v>
      </c>
      <c r="F173" s="6" t="n">
        <v>151</v>
      </c>
      <c r="G173" s="7" t="n">
        <f aca="false">F173-E173</f>
        <v>21.01</v>
      </c>
      <c r="H173" s="8" t="n">
        <f aca="false">IF(E173=0,0,F173/E173-1)</f>
        <v>0.161627817524425</v>
      </c>
      <c r="I173" s="3" t="s">
        <v>38</v>
      </c>
    </row>
    <row r="174" customFormat="false" ht="15" hidden="false" customHeight="false" outlineLevel="0" collapsed="false">
      <c r="A174" s="3" t="s">
        <v>222</v>
      </c>
      <c r="B174" s="3" t="s">
        <v>23</v>
      </c>
      <c r="C174" s="3" t="s">
        <v>24</v>
      </c>
      <c r="D174" s="3" t="n">
        <v>1</v>
      </c>
      <c r="E174" s="6" t="n">
        <v>49.99</v>
      </c>
      <c r="F174" s="6" t="n">
        <v>61</v>
      </c>
      <c r="G174" s="7" t="n">
        <f aca="false">F174-E174</f>
        <v>11.01</v>
      </c>
      <c r="H174" s="8" t="n">
        <f aca="false">IF(E174=0,0,F174/E174-1)</f>
        <v>0.220244048809762</v>
      </c>
      <c r="I174" s="3" t="s">
        <v>27</v>
      </c>
    </row>
    <row r="175" customFormat="false" ht="15" hidden="false" customHeight="false" outlineLevel="0" collapsed="false">
      <c r="A175" s="3" t="s">
        <v>223</v>
      </c>
      <c r="B175" s="3" t="s">
        <v>23</v>
      </c>
      <c r="C175" s="3" t="s">
        <v>24</v>
      </c>
      <c r="D175" s="3" t="n">
        <v>3</v>
      </c>
      <c r="E175" s="6" t="n">
        <v>346.5</v>
      </c>
      <c r="F175" s="6" t="n">
        <v>402</v>
      </c>
      <c r="G175" s="7" t="n">
        <f aca="false">F175-E175</f>
        <v>55.5</v>
      </c>
      <c r="H175" s="8" t="n">
        <f aca="false">IF(E175=0,0,F175/E175-1)</f>
        <v>0.16017316017316</v>
      </c>
      <c r="I175" s="3" t="s">
        <v>38</v>
      </c>
    </row>
    <row r="176" customFormat="false" ht="15" hidden="false" customHeight="false" outlineLevel="0" collapsed="false">
      <c r="A176" s="3" t="s">
        <v>224</v>
      </c>
      <c r="B176" s="3" t="s">
        <v>23</v>
      </c>
      <c r="C176" s="3" t="s">
        <v>24</v>
      </c>
      <c r="D176" s="3" t="n">
        <v>1</v>
      </c>
      <c r="E176" s="6" t="n">
        <v>80</v>
      </c>
      <c r="F176" s="6" t="n">
        <v>98</v>
      </c>
      <c r="G176" s="7" t="n">
        <f aca="false">F176-E176</f>
        <v>18</v>
      </c>
      <c r="H176" s="8" t="n">
        <f aca="false">IF(E176=0,0,F176/E176-1)</f>
        <v>0.225</v>
      </c>
      <c r="I176" s="3" t="s">
        <v>225</v>
      </c>
    </row>
    <row r="177" customFormat="false" ht="15" hidden="false" customHeight="false" outlineLevel="0" collapsed="false">
      <c r="A177" s="3" t="s">
        <v>226</v>
      </c>
      <c r="B177" s="3" t="s">
        <v>23</v>
      </c>
      <c r="C177" s="3" t="s">
        <v>24</v>
      </c>
      <c r="D177" s="3" t="n">
        <v>1</v>
      </c>
      <c r="E177" s="6" t="n">
        <v>17.28</v>
      </c>
      <c r="F177" s="6" t="n">
        <v>21.5</v>
      </c>
      <c r="G177" s="7" t="n">
        <f aca="false">F177-E177</f>
        <v>4.22</v>
      </c>
      <c r="H177" s="8" t="n">
        <f aca="false">IF(E177=0,0,F177/E177-1)</f>
        <v>0.244212962962963</v>
      </c>
      <c r="I177" s="3" t="s">
        <v>27</v>
      </c>
    </row>
    <row r="178" customFormat="false" ht="15" hidden="false" customHeight="false" outlineLevel="0" collapsed="false">
      <c r="A178" s="3" t="s">
        <v>227</v>
      </c>
      <c r="B178" s="3" t="s">
        <v>23</v>
      </c>
      <c r="C178" s="3" t="s">
        <v>179</v>
      </c>
      <c r="D178" s="3" t="n">
        <v>4</v>
      </c>
      <c r="E178" s="6" t="n">
        <v>380</v>
      </c>
      <c r="F178" s="6" t="n">
        <v>437</v>
      </c>
      <c r="G178" s="7" t="n">
        <f aca="false">F178-E178</f>
        <v>57</v>
      </c>
      <c r="H178" s="8" t="n">
        <f aca="false">IF(E178=0,0,F178/E178-1)</f>
        <v>0.15</v>
      </c>
      <c r="I178" s="3" t="s">
        <v>228</v>
      </c>
    </row>
    <row r="179" customFormat="false" ht="15" hidden="false" customHeight="false" outlineLevel="0" collapsed="false">
      <c r="A179" s="3" t="s">
        <v>229</v>
      </c>
      <c r="B179" s="3" t="s">
        <v>23</v>
      </c>
      <c r="C179" s="3" t="s">
        <v>24</v>
      </c>
      <c r="D179" s="3" t="n">
        <v>1</v>
      </c>
      <c r="E179" s="6" t="n">
        <v>24.99</v>
      </c>
      <c r="F179" s="6" t="n">
        <v>30.5</v>
      </c>
      <c r="G179" s="7" t="n">
        <f aca="false">F179-E179</f>
        <v>5.51</v>
      </c>
      <c r="H179" s="8" t="n">
        <f aca="false">IF(E179=0,0,F179/E179-1)</f>
        <v>0.220488195278111</v>
      </c>
      <c r="I179" s="3" t="s">
        <v>27</v>
      </c>
    </row>
    <row r="180" customFormat="false" ht="15" hidden="false" customHeight="false" outlineLevel="0" collapsed="false">
      <c r="A180" s="3" t="s">
        <v>230</v>
      </c>
      <c r="B180" s="3" t="s">
        <v>23</v>
      </c>
      <c r="C180" s="3" t="s">
        <v>24</v>
      </c>
      <c r="D180" s="3" t="n">
        <v>3</v>
      </c>
      <c r="E180" s="6" t="n">
        <v>249.99</v>
      </c>
      <c r="F180" s="6" t="n">
        <v>290</v>
      </c>
      <c r="G180" s="7" t="n">
        <f aca="false">F180-E180</f>
        <v>40.01</v>
      </c>
      <c r="H180" s="8" t="n">
        <f aca="false">IF(E180=0,0,F180/E180-1)</f>
        <v>0.160046401856074</v>
      </c>
      <c r="I180" s="3" t="s">
        <v>38</v>
      </c>
    </row>
    <row r="181" customFormat="false" ht="15" hidden="false" customHeight="false" outlineLevel="0" collapsed="false">
      <c r="A181" s="3" t="s">
        <v>231</v>
      </c>
      <c r="B181" s="3" t="s">
        <v>23</v>
      </c>
      <c r="C181" s="3" t="s">
        <v>24</v>
      </c>
      <c r="D181" s="3" t="n">
        <v>1</v>
      </c>
      <c r="E181" s="6" t="n">
        <v>28.34</v>
      </c>
      <c r="F181" s="6" t="n">
        <v>35</v>
      </c>
      <c r="G181" s="7" t="n">
        <f aca="false">F181-E181</f>
        <v>6.66</v>
      </c>
      <c r="H181" s="8" t="n">
        <f aca="false">IF(E181=0,0,F181/E181-1)</f>
        <v>0.23500352858151</v>
      </c>
      <c r="I181" s="3" t="s">
        <v>27</v>
      </c>
    </row>
    <row r="182" customFormat="false" ht="15" hidden="false" customHeight="false" outlineLevel="0" collapsed="false">
      <c r="A182" s="3" t="s">
        <v>232</v>
      </c>
      <c r="B182" s="3" t="s">
        <v>23</v>
      </c>
      <c r="C182" s="3" t="s">
        <v>24</v>
      </c>
      <c r="D182" s="3" t="n">
        <v>1</v>
      </c>
      <c r="E182" s="6" t="n">
        <v>74.99</v>
      </c>
      <c r="F182" s="6" t="n">
        <v>91.5</v>
      </c>
      <c r="G182" s="7" t="n">
        <f aca="false">F182-E182</f>
        <v>16.51</v>
      </c>
      <c r="H182" s="8" t="n">
        <f aca="false">IF(E182=0,0,F182/E182-1)</f>
        <v>0.220162688358448</v>
      </c>
      <c r="I182" s="3" t="s">
        <v>27</v>
      </c>
    </row>
    <row r="183" customFormat="false" ht="15" hidden="false" customHeight="false" outlineLevel="0" collapsed="false">
      <c r="A183" s="3" t="s">
        <v>233</v>
      </c>
      <c r="B183" s="3" t="s">
        <v>23</v>
      </c>
      <c r="C183" s="3" t="s">
        <v>24</v>
      </c>
      <c r="D183" s="3" t="n">
        <v>3</v>
      </c>
      <c r="E183" s="6" t="n">
        <v>249.99</v>
      </c>
      <c r="F183" s="6" t="n">
        <v>290</v>
      </c>
      <c r="G183" s="7" t="n">
        <f aca="false">F183-E183</f>
        <v>40.01</v>
      </c>
      <c r="H183" s="8" t="n">
        <f aca="false">IF(E183=0,0,F183/E183-1)</f>
        <v>0.160046401856074</v>
      </c>
      <c r="I183" s="3" t="s">
        <v>38</v>
      </c>
    </row>
    <row r="184" customFormat="false" ht="15" hidden="false" customHeight="false" outlineLevel="0" collapsed="false">
      <c r="A184" s="3" t="s">
        <v>234</v>
      </c>
      <c r="B184" s="3" t="s">
        <v>23</v>
      </c>
      <c r="C184" s="3" t="s">
        <v>24</v>
      </c>
      <c r="D184" s="3" t="n">
        <v>1</v>
      </c>
      <c r="E184" s="6" t="n">
        <v>199.99</v>
      </c>
      <c r="F184" s="6" t="n">
        <v>244</v>
      </c>
      <c r="G184" s="7" t="n">
        <f aca="false">F184-E184</f>
        <v>44.01</v>
      </c>
      <c r="H184" s="8" t="n">
        <f aca="false">IF(E184=0,0,F184/E184-1)</f>
        <v>0.220061003050152</v>
      </c>
      <c r="I184" s="3" t="s">
        <v>27</v>
      </c>
    </row>
    <row r="185" customFormat="false" ht="15" hidden="false" customHeight="false" outlineLevel="0" collapsed="false">
      <c r="A185" s="3" t="s">
        <v>235</v>
      </c>
      <c r="B185" s="3" t="s">
        <v>23</v>
      </c>
      <c r="C185" s="3" t="s">
        <v>24</v>
      </c>
      <c r="D185" s="3" t="n">
        <v>3</v>
      </c>
      <c r="E185" s="6" t="n">
        <v>199.99</v>
      </c>
      <c r="F185" s="6" t="n">
        <v>232</v>
      </c>
      <c r="G185" s="7" t="n">
        <f aca="false">F185-E185</f>
        <v>32.01</v>
      </c>
      <c r="H185" s="8" t="n">
        <f aca="false">IF(E185=0,0,F185/E185-1)</f>
        <v>0.160058002900145</v>
      </c>
      <c r="I185" s="3" t="s">
        <v>38</v>
      </c>
    </row>
    <row r="186" customFormat="false" ht="15" hidden="false" customHeight="false" outlineLevel="0" collapsed="false">
      <c r="A186" s="3" t="s">
        <v>236</v>
      </c>
      <c r="B186" s="3" t="s">
        <v>23</v>
      </c>
      <c r="C186" s="3" t="s">
        <v>24</v>
      </c>
      <c r="D186" s="3" t="n">
        <v>1</v>
      </c>
      <c r="E186" s="6" t="n">
        <v>32</v>
      </c>
      <c r="F186" s="6" t="n">
        <v>39.5</v>
      </c>
      <c r="G186" s="7" t="n">
        <f aca="false">F186-E186</f>
        <v>7.5</v>
      </c>
      <c r="H186" s="8" t="n">
        <f aca="false">IF(E186=0,0,F186/E186-1)</f>
        <v>0.234375</v>
      </c>
      <c r="I186" s="3" t="s">
        <v>27</v>
      </c>
    </row>
    <row r="187" customFormat="false" ht="15" hidden="false" customHeight="false" outlineLevel="0" collapsed="false">
      <c r="A187" s="3" t="s">
        <v>237</v>
      </c>
      <c r="B187" s="3" t="s">
        <v>23</v>
      </c>
      <c r="C187" s="3" t="s">
        <v>24</v>
      </c>
      <c r="D187" s="3" t="n">
        <v>1</v>
      </c>
      <c r="E187" s="6" t="n">
        <v>34.99</v>
      </c>
      <c r="F187" s="6" t="n">
        <v>43</v>
      </c>
      <c r="G187" s="7" t="n">
        <f aca="false">F187-E187</f>
        <v>8.01</v>
      </c>
      <c r="H187" s="8" t="n">
        <f aca="false">IF(E187=0,0,F187/E187-1)</f>
        <v>0.2289225492998</v>
      </c>
      <c r="I187" s="3" t="s">
        <v>27</v>
      </c>
    </row>
    <row r="188" customFormat="false" ht="15" hidden="false" customHeight="false" outlineLevel="0" collapsed="false">
      <c r="A188" s="3" t="s">
        <v>238</v>
      </c>
      <c r="B188" s="3" t="s">
        <v>23</v>
      </c>
      <c r="C188" s="3" t="s">
        <v>24</v>
      </c>
      <c r="D188" s="3" t="n">
        <v>2</v>
      </c>
      <c r="E188" s="6" t="n">
        <v>349.99</v>
      </c>
      <c r="F188" s="6" t="n">
        <v>413</v>
      </c>
      <c r="G188" s="7" t="n">
        <f aca="false">F188-E188</f>
        <v>63.01</v>
      </c>
      <c r="H188" s="8" t="n">
        <f aca="false">IF(E188=0,0,F188/E188-1)</f>
        <v>0.180033715249007</v>
      </c>
      <c r="I188" s="3" t="s">
        <v>129</v>
      </c>
    </row>
    <row r="189" customFormat="false" ht="15" hidden="false" customHeight="false" outlineLevel="0" collapsed="false">
      <c r="A189" s="3" t="s">
        <v>239</v>
      </c>
      <c r="B189" s="3" t="s">
        <v>23</v>
      </c>
      <c r="C189" s="3" t="s">
        <v>24</v>
      </c>
      <c r="D189" s="3" t="n">
        <v>1</v>
      </c>
      <c r="E189" s="6" t="n">
        <v>24.99</v>
      </c>
      <c r="F189" s="6" t="n">
        <v>30.5</v>
      </c>
      <c r="G189" s="7" t="n">
        <f aca="false">F189-E189</f>
        <v>5.51</v>
      </c>
      <c r="H189" s="8" t="n">
        <f aca="false">IF(E189=0,0,F189/E189-1)</f>
        <v>0.220488195278111</v>
      </c>
      <c r="I189" s="3" t="s">
        <v>27</v>
      </c>
    </row>
    <row r="190" customFormat="false" ht="15" hidden="false" customHeight="false" outlineLevel="0" collapsed="false">
      <c r="A190" s="3" t="s">
        <v>240</v>
      </c>
      <c r="B190" s="3" t="s">
        <v>23</v>
      </c>
      <c r="C190" s="3" t="s">
        <v>24</v>
      </c>
      <c r="D190" s="3" t="n">
        <v>2</v>
      </c>
      <c r="E190" s="6" t="n">
        <v>170</v>
      </c>
      <c r="F190" s="6" t="n">
        <v>201</v>
      </c>
      <c r="G190" s="7" t="n">
        <f aca="false">F190-E190</f>
        <v>31</v>
      </c>
      <c r="H190" s="8" t="n">
        <f aca="false">IF(E190=0,0,F190/E190-1)</f>
        <v>0.182352941176471</v>
      </c>
      <c r="I190" s="3" t="s">
        <v>185</v>
      </c>
    </row>
    <row r="191" customFormat="false" ht="15" hidden="false" customHeight="false" outlineLevel="0" collapsed="false">
      <c r="A191" s="3" t="s">
        <v>241</v>
      </c>
      <c r="B191" s="3" t="s">
        <v>23</v>
      </c>
      <c r="C191" s="3" t="s">
        <v>24</v>
      </c>
      <c r="D191" s="3" t="n">
        <v>1</v>
      </c>
      <c r="E191" s="6" t="n">
        <v>27.99</v>
      </c>
      <c r="F191" s="6" t="n">
        <v>34.5</v>
      </c>
      <c r="G191" s="7" t="n">
        <f aca="false">F191-E191</f>
        <v>6.51</v>
      </c>
      <c r="H191" s="8" t="n">
        <f aca="false">IF(E191=0,0,F191/E191-1)</f>
        <v>0.232583065380493</v>
      </c>
      <c r="I191" s="3" t="s">
        <v>27</v>
      </c>
    </row>
    <row r="192" customFormat="false" ht="15" hidden="false" customHeight="false" outlineLevel="0" collapsed="false">
      <c r="A192" s="3" t="s">
        <v>242</v>
      </c>
      <c r="B192" s="3" t="s">
        <v>23</v>
      </c>
      <c r="C192" s="3" t="s">
        <v>24</v>
      </c>
      <c r="D192" s="3" t="n">
        <v>3</v>
      </c>
      <c r="E192" s="6" t="n">
        <v>151.05</v>
      </c>
      <c r="F192" s="6" t="n">
        <v>176</v>
      </c>
      <c r="G192" s="7" t="n">
        <f aca="false">F192-E192</f>
        <v>24.95</v>
      </c>
      <c r="H192" s="8" t="n">
        <f aca="false">IF(E192=0,0,F192/E192-1)</f>
        <v>0.16517709367759</v>
      </c>
      <c r="I192" s="3" t="s">
        <v>38</v>
      </c>
    </row>
    <row r="193" customFormat="false" ht="15" hidden="false" customHeight="false" outlineLevel="0" collapsed="false">
      <c r="A193" s="3" t="s">
        <v>243</v>
      </c>
      <c r="B193" s="3" t="s">
        <v>23</v>
      </c>
      <c r="C193" s="3" t="s">
        <v>24</v>
      </c>
      <c r="D193" s="3" t="n">
        <v>1</v>
      </c>
      <c r="E193" s="6" t="n">
        <v>65</v>
      </c>
      <c r="F193" s="6" t="n">
        <v>79.5</v>
      </c>
      <c r="G193" s="7" t="n">
        <f aca="false">F193-E193</f>
        <v>14.5</v>
      </c>
      <c r="H193" s="8" t="n">
        <f aca="false">IF(E193=0,0,F193/E193-1)</f>
        <v>0.223076923076923</v>
      </c>
      <c r="I193" s="3" t="s">
        <v>27</v>
      </c>
    </row>
    <row r="194" customFormat="false" ht="15" hidden="false" customHeight="false" outlineLevel="0" collapsed="false">
      <c r="A194" s="3" t="s">
        <v>244</v>
      </c>
      <c r="B194" s="3" t="s">
        <v>23</v>
      </c>
      <c r="C194" s="3" t="s">
        <v>24</v>
      </c>
      <c r="D194" s="3" t="n">
        <v>1</v>
      </c>
      <c r="E194" s="6" t="n">
        <v>166</v>
      </c>
      <c r="F194" s="6" t="n">
        <v>203</v>
      </c>
      <c r="G194" s="7" t="n">
        <f aca="false">F194-E194</f>
        <v>37</v>
      </c>
      <c r="H194" s="8" t="n">
        <f aca="false">IF(E194=0,0,F194/E194-1)</f>
        <v>0.22289156626506</v>
      </c>
      <c r="I194" s="3" t="s">
        <v>245</v>
      </c>
    </row>
    <row r="195" customFormat="false" ht="15" hidden="false" customHeight="false" outlineLevel="0" collapsed="false">
      <c r="A195" s="3" t="s">
        <v>246</v>
      </c>
      <c r="B195" s="3" t="s">
        <v>23</v>
      </c>
      <c r="C195" s="3" t="s">
        <v>24</v>
      </c>
      <c r="D195" s="3" t="n">
        <v>2</v>
      </c>
      <c r="E195" s="6" t="n">
        <v>620</v>
      </c>
      <c r="F195" s="6" t="n">
        <v>732</v>
      </c>
      <c r="G195" s="7" t="n">
        <f aca="false">F195-E195</f>
        <v>112</v>
      </c>
      <c r="H195" s="8" t="n">
        <f aca="false">IF(E195=0,0,F195/E195-1)</f>
        <v>0.180645161290323</v>
      </c>
      <c r="I195" s="3" t="s">
        <v>247</v>
      </c>
    </row>
    <row r="196" customFormat="false" ht="15" hidden="false" customHeight="false" outlineLevel="0" collapsed="false">
      <c r="A196" s="3" t="s">
        <v>248</v>
      </c>
      <c r="B196" s="3" t="s">
        <v>23</v>
      </c>
      <c r="C196" s="3" t="s">
        <v>24</v>
      </c>
      <c r="D196" s="3" t="n">
        <v>1</v>
      </c>
      <c r="E196" s="6" t="n">
        <v>21.15</v>
      </c>
      <c r="F196" s="6" t="n">
        <v>26</v>
      </c>
      <c r="G196" s="7" t="n">
        <f aca="false">F196-E196</f>
        <v>4.85</v>
      </c>
      <c r="H196" s="8" t="n">
        <f aca="false">IF(E196=0,0,F196/E196-1)</f>
        <v>0.229314420803783</v>
      </c>
      <c r="I196" s="3" t="s">
        <v>27</v>
      </c>
    </row>
    <row r="197" customFormat="false" ht="15" hidden="false" customHeight="false" outlineLevel="0" collapsed="false">
      <c r="A197" s="3" t="s">
        <v>249</v>
      </c>
      <c r="B197" s="3" t="s">
        <v>23</v>
      </c>
      <c r="C197" s="3" t="s">
        <v>24</v>
      </c>
      <c r="D197" s="3" t="n">
        <v>1</v>
      </c>
      <c r="E197" s="6" t="n">
        <v>44.99</v>
      </c>
      <c r="F197" s="6" t="n">
        <v>55</v>
      </c>
      <c r="G197" s="7" t="n">
        <f aca="false">F197-E197</f>
        <v>10.01</v>
      </c>
      <c r="H197" s="8" t="n">
        <f aca="false">IF(E197=0,0,F197/E197-1)</f>
        <v>0.222493887530562</v>
      </c>
      <c r="I197" s="3" t="s">
        <v>27</v>
      </c>
    </row>
    <row r="198" customFormat="false" ht="15" hidden="false" customHeight="false" outlineLevel="0" collapsed="false">
      <c r="A198" s="3" t="s">
        <v>250</v>
      </c>
      <c r="B198" s="3" t="s">
        <v>23</v>
      </c>
      <c r="C198" s="3" t="s">
        <v>24</v>
      </c>
      <c r="D198" s="3" t="n">
        <v>1</v>
      </c>
      <c r="E198" s="6" t="n">
        <v>59</v>
      </c>
      <c r="F198" s="6" t="n">
        <v>72</v>
      </c>
      <c r="G198" s="7" t="n">
        <f aca="false">F198-E198</f>
        <v>13</v>
      </c>
      <c r="H198" s="8" t="n">
        <f aca="false">IF(E198=0,0,F198/E198-1)</f>
        <v>0.220338983050848</v>
      </c>
      <c r="I198" s="3" t="s">
        <v>27</v>
      </c>
    </row>
    <row r="199" customFormat="false" ht="15" hidden="false" customHeight="false" outlineLevel="0" collapsed="false">
      <c r="A199" s="3" t="s">
        <v>251</v>
      </c>
      <c r="B199" s="3" t="s">
        <v>23</v>
      </c>
      <c r="C199" s="3" t="s">
        <v>24</v>
      </c>
      <c r="D199" s="3" t="n">
        <v>1</v>
      </c>
      <c r="E199" s="6" t="n">
        <v>25</v>
      </c>
      <c r="F199" s="6" t="n">
        <v>30.5</v>
      </c>
      <c r="G199" s="7" t="n">
        <f aca="false">F199-E199</f>
        <v>5.5</v>
      </c>
      <c r="H199" s="8" t="n">
        <f aca="false">IF(E199=0,0,F199/E199-1)</f>
        <v>0.22</v>
      </c>
      <c r="I199" s="3" t="s">
        <v>27</v>
      </c>
    </row>
    <row r="200" customFormat="false" ht="15" hidden="false" customHeight="false" outlineLevel="0" collapsed="false">
      <c r="A200" s="3" t="s">
        <v>252</v>
      </c>
      <c r="B200" s="3" t="s">
        <v>23</v>
      </c>
      <c r="C200" s="3" t="s">
        <v>24</v>
      </c>
      <c r="D200" s="3" t="n">
        <v>3</v>
      </c>
      <c r="E200" s="6" t="n">
        <v>209.79</v>
      </c>
      <c r="F200" s="6" t="n">
        <v>244</v>
      </c>
      <c r="G200" s="7" t="n">
        <f aca="false">F200-E200</f>
        <v>34.21</v>
      </c>
      <c r="H200" s="8" t="n">
        <f aca="false">IF(E200=0,0,F200/E200-1)</f>
        <v>0.163067829734497</v>
      </c>
      <c r="I200" s="3" t="s">
        <v>38</v>
      </c>
    </row>
    <row r="201" customFormat="false" ht="15" hidden="false" customHeight="false" outlineLevel="0" collapsed="false">
      <c r="A201" s="3" t="s">
        <v>253</v>
      </c>
      <c r="B201" s="3" t="s">
        <v>23</v>
      </c>
      <c r="C201" s="3" t="s">
        <v>24</v>
      </c>
      <c r="D201" s="3" t="n">
        <v>1</v>
      </c>
      <c r="E201" s="6" t="n">
        <v>39.99</v>
      </c>
      <c r="F201" s="6" t="n">
        <v>49</v>
      </c>
      <c r="G201" s="7" t="n">
        <f aca="false">F201-E201</f>
        <v>9.01</v>
      </c>
      <c r="H201" s="8" t="n">
        <f aca="false">IF(E201=0,0,F201/E201-1)</f>
        <v>0.225306326581645</v>
      </c>
      <c r="I201" s="3" t="s">
        <v>27</v>
      </c>
    </row>
    <row r="202" customFormat="false" ht="15" hidden="false" customHeight="false" outlineLevel="0" collapsed="false">
      <c r="A202" s="3" t="s">
        <v>254</v>
      </c>
      <c r="B202" s="3" t="s">
        <v>23</v>
      </c>
      <c r="C202" s="3" t="s">
        <v>24</v>
      </c>
      <c r="D202" s="3" t="n">
        <v>1</v>
      </c>
      <c r="E202" s="6" t="n">
        <v>29.99</v>
      </c>
      <c r="F202" s="6" t="n">
        <v>37</v>
      </c>
      <c r="G202" s="7" t="n">
        <f aca="false">F202-E202</f>
        <v>7.01</v>
      </c>
      <c r="H202" s="8" t="n">
        <f aca="false">IF(E202=0,0,F202/E202-1)</f>
        <v>0.233744581527176</v>
      </c>
      <c r="I202" s="3" t="s">
        <v>27</v>
      </c>
    </row>
    <row r="203" customFormat="false" ht="15" hidden="false" customHeight="false" outlineLevel="0" collapsed="false">
      <c r="A203" s="3" t="s">
        <v>255</v>
      </c>
      <c r="B203" s="3" t="s">
        <v>23</v>
      </c>
      <c r="C203" s="3" t="s">
        <v>24</v>
      </c>
      <c r="D203" s="3" t="n">
        <v>1</v>
      </c>
      <c r="E203" s="6" t="n">
        <v>9.78</v>
      </c>
      <c r="F203" s="6" t="n">
        <v>12</v>
      </c>
      <c r="G203" s="7" t="n">
        <f aca="false">F203-E203</f>
        <v>2.22</v>
      </c>
      <c r="H203" s="8" t="n">
        <f aca="false">IF(E203=0,0,F203/E203-1)</f>
        <v>0.226993865030675</v>
      </c>
      <c r="I203" s="3" t="s">
        <v>27</v>
      </c>
    </row>
    <row r="204" customFormat="false" ht="15" hidden="false" customHeight="false" outlineLevel="0" collapsed="false">
      <c r="A204" s="3" t="s">
        <v>256</v>
      </c>
      <c r="B204" s="3" t="s">
        <v>23</v>
      </c>
      <c r="C204" s="3" t="s">
        <v>179</v>
      </c>
      <c r="D204" s="3" t="n">
        <v>4</v>
      </c>
      <c r="E204" s="6" t="n">
        <v>290</v>
      </c>
      <c r="F204" s="6" t="n">
        <v>334</v>
      </c>
      <c r="G204" s="7" t="n">
        <f aca="false">F204-E204</f>
        <v>44</v>
      </c>
      <c r="H204" s="8" t="n">
        <f aca="false">IF(E204=0,0,F204/E204-1)</f>
        <v>0.151724137931035</v>
      </c>
      <c r="I204" s="3" t="s">
        <v>257</v>
      </c>
    </row>
    <row r="205" customFormat="false" ht="15" hidden="false" customHeight="false" outlineLevel="0" collapsed="false">
      <c r="A205" s="3" t="s">
        <v>258</v>
      </c>
      <c r="B205" s="3" t="s">
        <v>23</v>
      </c>
      <c r="C205" s="3" t="s">
        <v>24</v>
      </c>
      <c r="D205" s="3" t="n">
        <v>1</v>
      </c>
      <c r="E205" s="6" t="n">
        <v>28.49</v>
      </c>
      <c r="F205" s="6" t="n">
        <v>35</v>
      </c>
      <c r="G205" s="7" t="n">
        <f aca="false">F205-E205</f>
        <v>6.51</v>
      </c>
      <c r="H205" s="8" t="n">
        <f aca="false">IF(E205=0,0,F205/E205-1)</f>
        <v>0.228501228501229</v>
      </c>
      <c r="I205" s="3" t="s">
        <v>27</v>
      </c>
    </row>
    <row r="206" customFormat="false" ht="15" hidden="false" customHeight="false" outlineLevel="0" collapsed="false">
      <c r="A206" s="3" t="s">
        <v>259</v>
      </c>
      <c r="B206" s="3" t="s">
        <v>23</v>
      </c>
      <c r="C206" s="3" t="s">
        <v>24</v>
      </c>
      <c r="D206" s="3" t="n">
        <v>3</v>
      </c>
      <c r="E206" s="6" t="n">
        <v>250.95</v>
      </c>
      <c r="F206" s="6" t="n">
        <v>292</v>
      </c>
      <c r="G206" s="7" t="n">
        <f aca="false">F206-E206</f>
        <v>41.05</v>
      </c>
      <c r="H206" s="8" t="n">
        <f aca="false">IF(E206=0,0,F206/E206-1)</f>
        <v>0.163578402072126</v>
      </c>
      <c r="I206" s="3" t="s">
        <v>38</v>
      </c>
    </row>
    <row r="207" customFormat="false" ht="15" hidden="false" customHeight="false" outlineLevel="0" collapsed="false">
      <c r="A207" s="3" t="s">
        <v>260</v>
      </c>
      <c r="B207" s="3" t="s">
        <v>23</v>
      </c>
      <c r="C207" s="3" t="s">
        <v>24</v>
      </c>
      <c r="D207" s="3" t="n">
        <v>1</v>
      </c>
      <c r="E207" s="6" t="n">
        <v>70</v>
      </c>
      <c r="F207" s="6" t="n">
        <v>85.5</v>
      </c>
      <c r="G207" s="7" t="n">
        <f aca="false">F207-E207</f>
        <v>15.5</v>
      </c>
      <c r="H207" s="8" t="n">
        <f aca="false">IF(E207=0,0,F207/E207-1)</f>
        <v>0.221428571428572</v>
      </c>
      <c r="I207" s="3" t="s">
        <v>27</v>
      </c>
    </row>
    <row r="208" customFormat="false" ht="15" hidden="false" customHeight="false" outlineLevel="0" collapsed="false">
      <c r="A208" s="3" t="s">
        <v>261</v>
      </c>
      <c r="B208" s="3" t="s">
        <v>23</v>
      </c>
      <c r="C208" s="3" t="s">
        <v>24</v>
      </c>
      <c r="D208" s="3" t="n">
        <v>1</v>
      </c>
      <c r="E208" s="6" t="n">
        <v>99</v>
      </c>
      <c r="F208" s="6" t="n">
        <v>121</v>
      </c>
      <c r="G208" s="7" t="n">
        <f aca="false">F208-E208</f>
        <v>22</v>
      </c>
      <c r="H208" s="8" t="n">
        <f aca="false">IF(E208=0,0,F208/E208-1)</f>
        <v>0.222222222222222</v>
      </c>
      <c r="I208" s="3" t="s">
        <v>27</v>
      </c>
    </row>
    <row r="209" customFormat="false" ht="15" hidden="false" customHeight="false" outlineLevel="0" collapsed="false">
      <c r="A209" s="3" t="s">
        <v>262</v>
      </c>
      <c r="B209" s="3" t="s">
        <v>23</v>
      </c>
      <c r="C209" s="3" t="s">
        <v>24</v>
      </c>
      <c r="D209" s="3" t="n">
        <v>4</v>
      </c>
      <c r="E209" s="6" t="n">
        <v>649.99</v>
      </c>
      <c r="F209" s="6" t="n">
        <v>748</v>
      </c>
      <c r="G209" s="7" t="n">
        <f aca="false">F209-E209</f>
        <v>98.01</v>
      </c>
      <c r="H209" s="8" t="n">
        <f aca="false">IF(E209=0,0,F209/E209-1)</f>
        <v>0.150786935183618</v>
      </c>
      <c r="I209" s="3" t="s">
        <v>32</v>
      </c>
    </row>
    <row r="210" customFormat="false" ht="15" hidden="false" customHeight="false" outlineLevel="0" collapsed="false">
      <c r="A210" s="3" t="s">
        <v>263</v>
      </c>
      <c r="B210" s="3" t="s">
        <v>23</v>
      </c>
      <c r="C210" s="3" t="s">
        <v>24</v>
      </c>
      <c r="D210" s="3" t="n">
        <v>1</v>
      </c>
      <c r="E210" s="6" t="n">
        <v>34.99</v>
      </c>
      <c r="F210" s="6" t="n">
        <v>43</v>
      </c>
      <c r="G210" s="7" t="n">
        <f aca="false">F210-E210</f>
        <v>8.01</v>
      </c>
      <c r="H210" s="8" t="n">
        <f aca="false">IF(E210=0,0,F210/E210-1)</f>
        <v>0.2289225492998</v>
      </c>
      <c r="I210" s="3" t="s">
        <v>27</v>
      </c>
    </row>
    <row r="211" customFormat="false" ht="15" hidden="false" customHeight="false" outlineLevel="0" collapsed="false">
      <c r="A211" s="3" t="s">
        <v>264</v>
      </c>
      <c r="B211" s="3" t="s">
        <v>23</v>
      </c>
      <c r="C211" s="3" t="s">
        <v>24</v>
      </c>
      <c r="D211" s="3" t="n">
        <v>3</v>
      </c>
      <c r="E211" s="6" t="n">
        <v>67.98</v>
      </c>
      <c r="F211" s="6" t="n">
        <v>79</v>
      </c>
      <c r="G211" s="7" t="n">
        <f aca="false">F211-E211</f>
        <v>11.02</v>
      </c>
      <c r="H211" s="8" t="n">
        <f aca="false">IF(E211=0,0,F211/E211-1)</f>
        <v>0.162106501912327</v>
      </c>
      <c r="I211" s="3" t="s">
        <v>38</v>
      </c>
    </row>
    <row r="212" customFormat="false" ht="15" hidden="false" customHeight="false" outlineLevel="0" collapsed="false">
      <c r="A212" s="3" t="s">
        <v>265</v>
      </c>
      <c r="B212" s="3" t="s">
        <v>23</v>
      </c>
      <c r="C212" s="3" t="s">
        <v>24</v>
      </c>
      <c r="D212" s="3" t="n">
        <v>1</v>
      </c>
      <c r="E212" s="6" t="n">
        <v>39</v>
      </c>
      <c r="F212" s="6" t="n">
        <v>48</v>
      </c>
      <c r="G212" s="7" t="n">
        <f aca="false">F212-E212</f>
        <v>9</v>
      </c>
      <c r="H212" s="8" t="n">
        <f aca="false">IF(E212=0,0,F212/E212-1)</f>
        <v>0.230769230769231</v>
      </c>
      <c r="I212" s="3" t="s">
        <v>27</v>
      </c>
    </row>
    <row r="213" customFormat="false" ht="15" hidden="false" customHeight="false" outlineLevel="0" collapsed="false">
      <c r="A213" s="3" t="s">
        <v>266</v>
      </c>
      <c r="B213" s="3" t="s">
        <v>23</v>
      </c>
      <c r="C213" s="3" t="s">
        <v>24</v>
      </c>
      <c r="D213" s="3" t="n">
        <v>1</v>
      </c>
      <c r="E213" s="6" t="n">
        <v>44.99</v>
      </c>
      <c r="F213" s="6" t="n">
        <v>55</v>
      </c>
      <c r="G213" s="7" t="n">
        <f aca="false">F213-E213</f>
        <v>10.01</v>
      </c>
      <c r="H213" s="8" t="n">
        <f aca="false">IF(E213=0,0,F213/E213-1)</f>
        <v>0.222493887530562</v>
      </c>
      <c r="I213" s="3" t="s">
        <v>27</v>
      </c>
    </row>
    <row r="214" customFormat="false" ht="15" hidden="false" customHeight="false" outlineLevel="0" collapsed="false">
      <c r="A214" s="3" t="s">
        <v>267</v>
      </c>
      <c r="B214" s="3" t="s">
        <v>23</v>
      </c>
      <c r="C214" s="3" t="s">
        <v>24</v>
      </c>
      <c r="D214" s="3" t="n">
        <v>3</v>
      </c>
      <c r="E214" s="6" t="n">
        <v>129</v>
      </c>
      <c r="F214" s="6" t="n">
        <v>150</v>
      </c>
      <c r="G214" s="7" t="n">
        <f aca="false">F214-E214</f>
        <v>21</v>
      </c>
      <c r="H214" s="8" t="n">
        <f aca="false">IF(E214=0,0,F214/E214-1)</f>
        <v>0.162790697674419</v>
      </c>
      <c r="I214" s="3" t="s">
        <v>38</v>
      </c>
    </row>
    <row r="215" customFormat="false" ht="15" hidden="false" customHeight="false" outlineLevel="0" collapsed="false">
      <c r="A215" s="3" t="s">
        <v>268</v>
      </c>
      <c r="B215" s="3" t="s">
        <v>23</v>
      </c>
      <c r="C215" s="3" t="s">
        <v>179</v>
      </c>
      <c r="D215" s="3" t="n">
        <v>4</v>
      </c>
      <c r="E215" s="6" t="n">
        <v>399.99</v>
      </c>
      <c r="F215" s="6" t="n">
        <v>460</v>
      </c>
      <c r="G215" s="7" t="n">
        <f aca="false">F215-E215</f>
        <v>60.01</v>
      </c>
      <c r="H215" s="8" t="n">
        <f aca="false">IF(E215=0,0,F215/E215-1)</f>
        <v>0.150028750718768</v>
      </c>
      <c r="I215" s="3" t="s">
        <v>269</v>
      </c>
    </row>
    <row r="216" customFormat="false" ht="15" hidden="false" customHeight="false" outlineLevel="0" collapsed="false">
      <c r="A216" s="3" t="s">
        <v>270</v>
      </c>
      <c r="B216" s="3" t="s">
        <v>23</v>
      </c>
      <c r="C216" s="3" t="s">
        <v>24</v>
      </c>
      <c r="D216" s="3" t="n">
        <v>1</v>
      </c>
      <c r="E216" s="6" t="n">
        <v>15</v>
      </c>
      <c r="F216" s="6" t="n">
        <v>18.5</v>
      </c>
      <c r="G216" s="7" t="n">
        <f aca="false">F216-E216</f>
        <v>3.5</v>
      </c>
      <c r="H216" s="8" t="n">
        <f aca="false">IF(E216=0,0,F216/E216-1)</f>
        <v>0.233333333333333</v>
      </c>
      <c r="I216" s="3" t="s">
        <v>27</v>
      </c>
    </row>
    <row r="217" customFormat="false" ht="15" hidden="false" customHeight="false" outlineLevel="0" collapsed="false">
      <c r="A217" s="3" t="s">
        <v>271</v>
      </c>
      <c r="B217" s="3" t="s">
        <v>23</v>
      </c>
      <c r="C217" s="3" t="s">
        <v>24</v>
      </c>
      <c r="D217" s="3" t="n">
        <v>1</v>
      </c>
      <c r="E217" s="6" t="n">
        <v>24.99</v>
      </c>
      <c r="F217" s="6" t="n">
        <v>30.5</v>
      </c>
      <c r="G217" s="7" t="n">
        <f aca="false">F217-E217</f>
        <v>5.51</v>
      </c>
      <c r="H217" s="8" t="n">
        <f aca="false">IF(E217=0,0,F217/E217-1)</f>
        <v>0.220488195278111</v>
      </c>
      <c r="I217" s="3" t="s">
        <v>27</v>
      </c>
    </row>
    <row r="218" customFormat="false" ht="15" hidden="false" customHeight="false" outlineLevel="0" collapsed="false">
      <c r="A218" s="3" t="s">
        <v>272</v>
      </c>
      <c r="B218" s="3" t="s">
        <v>23</v>
      </c>
      <c r="C218" s="3" t="s">
        <v>24</v>
      </c>
      <c r="D218" s="3" t="n">
        <v>1</v>
      </c>
      <c r="E218" s="6" t="n">
        <v>69.99</v>
      </c>
      <c r="F218" s="6" t="n">
        <v>85.5</v>
      </c>
      <c r="G218" s="7" t="n">
        <f aca="false">F218-E218</f>
        <v>15.51</v>
      </c>
      <c r="H218" s="8" t="n">
        <f aca="false">IF(E218=0,0,F218/E218-1)</f>
        <v>0.221603086155165</v>
      </c>
      <c r="I218" s="3" t="s">
        <v>27</v>
      </c>
    </row>
    <row r="219" customFormat="false" ht="15" hidden="false" customHeight="false" outlineLevel="0" collapsed="false">
      <c r="A219" s="3" t="s">
        <v>273</v>
      </c>
      <c r="B219" s="3" t="s">
        <v>23</v>
      </c>
      <c r="C219" s="3" t="s">
        <v>24</v>
      </c>
      <c r="D219" s="3" t="n">
        <v>1</v>
      </c>
      <c r="E219" s="6" t="n">
        <v>100</v>
      </c>
      <c r="F219" s="6" t="n">
        <v>122</v>
      </c>
      <c r="G219" s="7" t="n">
        <f aca="false">F219-E219</f>
        <v>22</v>
      </c>
      <c r="H219" s="8" t="n">
        <f aca="false">IF(E219=0,0,F219/E219-1)</f>
        <v>0.22</v>
      </c>
      <c r="I219" s="3" t="s">
        <v>274</v>
      </c>
    </row>
    <row r="220" customFormat="false" ht="15" hidden="false" customHeight="false" outlineLevel="0" collapsed="false">
      <c r="A220" s="3" t="s">
        <v>275</v>
      </c>
      <c r="B220" s="3" t="s">
        <v>23</v>
      </c>
      <c r="C220" s="3" t="s">
        <v>24</v>
      </c>
      <c r="D220" s="3" t="n">
        <v>2</v>
      </c>
      <c r="E220" s="6" t="n">
        <v>299.99</v>
      </c>
      <c r="F220" s="6" t="n">
        <v>354</v>
      </c>
      <c r="G220" s="7" t="n">
        <f aca="false">F220-E220</f>
        <v>54.01</v>
      </c>
      <c r="H220" s="8" t="n">
        <f aca="false">IF(E220=0,0,F220/E220-1)</f>
        <v>0.180039334644488</v>
      </c>
      <c r="I220" s="3" t="s">
        <v>276</v>
      </c>
    </row>
    <row r="221" customFormat="false" ht="15" hidden="false" customHeight="false" outlineLevel="0" collapsed="false">
      <c r="A221" s="3" t="s">
        <v>277</v>
      </c>
      <c r="B221" s="3" t="s">
        <v>23</v>
      </c>
      <c r="C221" s="3" t="s">
        <v>24</v>
      </c>
      <c r="D221" s="3" t="n">
        <v>1</v>
      </c>
      <c r="E221" s="6" t="n">
        <v>34.99</v>
      </c>
      <c r="F221" s="6" t="n">
        <v>43</v>
      </c>
      <c r="G221" s="7" t="n">
        <f aca="false">F221-E221</f>
        <v>8.01</v>
      </c>
      <c r="H221" s="8" t="n">
        <f aca="false">IF(E221=0,0,F221/E221-1)</f>
        <v>0.2289225492998</v>
      </c>
      <c r="I221" s="3" t="s">
        <v>27</v>
      </c>
    </row>
    <row r="222" customFormat="false" ht="15" hidden="false" customHeight="false" outlineLevel="0" collapsed="false">
      <c r="A222" s="3" t="s">
        <v>278</v>
      </c>
      <c r="B222" s="3" t="s">
        <v>23</v>
      </c>
      <c r="C222" s="3" t="s">
        <v>24</v>
      </c>
      <c r="D222" s="3" t="n">
        <v>1</v>
      </c>
      <c r="E222" s="6" t="n">
        <v>22</v>
      </c>
      <c r="F222" s="6" t="n">
        <v>27</v>
      </c>
      <c r="G222" s="7" t="n">
        <f aca="false">F222-E222</f>
        <v>5</v>
      </c>
      <c r="H222" s="8" t="n">
        <f aca="false">IF(E222=0,0,F222/E222-1)</f>
        <v>0.227272727272727</v>
      </c>
      <c r="I222" s="3" t="s">
        <v>27</v>
      </c>
    </row>
    <row r="223" customFormat="false" ht="15" hidden="false" customHeight="false" outlineLevel="0" collapsed="false">
      <c r="A223" s="3" t="s">
        <v>279</v>
      </c>
      <c r="B223" s="3" t="s">
        <v>23</v>
      </c>
      <c r="C223" s="3" t="s">
        <v>24</v>
      </c>
      <c r="D223" s="3" t="n">
        <v>1</v>
      </c>
      <c r="E223" s="6" t="n">
        <v>19.44</v>
      </c>
      <c r="F223" s="6" t="n">
        <v>24</v>
      </c>
      <c r="G223" s="7" t="n">
        <f aca="false">F223-E223</f>
        <v>4.56</v>
      </c>
      <c r="H223" s="8" t="n">
        <f aca="false">IF(E223=0,0,F223/E223-1)</f>
        <v>0.234567901234568</v>
      </c>
      <c r="I223" s="3" t="s">
        <v>27</v>
      </c>
    </row>
    <row r="224" customFormat="false" ht="15" hidden="false" customHeight="false" outlineLevel="0" collapsed="false">
      <c r="A224" s="3" t="s">
        <v>280</v>
      </c>
      <c r="B224" s="3" t="s">
        <v>23</v>
      </c>
      <c r="C224" s="3" t="s">
        <v>24</v>
      </c>
      <c r="D224" s="3" t="n">
        <v>1</v>
      </c>
      <c r="E224" s="6" t="n">
        <v>74.99</v>
      </c>
      <c r="F224" s="6" t="n">
        <v>91.5</v>
      </c>
      <c r="G224" s="7" t="n">
        <f aca="false">F224-E224</f>
        <v>16.51</v>
      </c>
      <c r="H224" s="8" t="n">
        <f aca="false">IF(E224=0,0,F224/E224-1)</f>
        <v>0.220162688358448</v>
      </c>
      <c r="I224" s="3" t="s">
        <v>27</v>
      </c>
    </row>
    <row r="225" customFormat="false" ht="15" hidden="false" customHeight="false" outlineLevel="0" collapsed="false">
      <c r="A225" s="3" t="s">
        <v>281</v>
      </c>
      <c r="B225" s="3" t="s">
        <v>23</v>
      </c>
      <c r="C225" s="3" t="s">
        <v>24</v>
      </c>
      <c r="D225" s="3" t="n">
        <v>1</v>
      </c>
      <c r="E225" s="6" t="n">
        <v>89.99</v>
      </c>
      <c r="F225" s="6" t="n">
        <v>110</v>
      </c>
      <c r="G225" s="7" t="n">
        <f aca="false">F225-E225</f>
        <v>20.01</v>
      </c>
      <c r="H225" s="8" t="n">
        <f aca="false">IF(E225=0,0,F225/E225-1)</f>
        <v>0.222358039782198</v>
      </c>
      <c r="I225" s="3" t="s">
        <v>27</v>
      </c>
    </row>
    <row r="226" customFormat="false" ht="15" hidden="false" customHeight="false" outlineLevel="0" collapsed="false">
      <c r="A226" s="3" t="s">
        <v>282</v>
      </c>
      <c r="B226" s="3" t="s">
        <v>23</v>
      </c>
      <c r="C226" s="3" t="s">
        <v>24</v>
      </c>
      <c r="D226" s="3" t="n">
        <v>1</v>
      </c>
      <c r="E226" s="6" t="n">
        <v>59.99</v>
      </c>
      <c r="F226" s="6" t="n">
        <v>73.5</v>
      </c>
      <c r="G226" s="7" t="n">
        <f aca="false">F226-E226</f>
        <v>13.51</v>
      </c>
      <c r="H226" s="8" t="n">
        <f aca="false">IF(E226=0,0,F226/E226-1)</f>
        <v>0.225204200700117</v>
      </c>
      <c r="I226" s="3" t="s">
        <v>27</v>
      </c>
    </row>
    <row r="227" customFormat="false" ht="15" hidden="false" customHeight="false" outlineLevel="0" collapsed="false">
      <c r="A227" s="3" t="s">
        <v>283</v>
      </c>
      <c r="B227" s="3" t="s">
        <v>23</v>
      </c>
      <c r="C227" s="3" t="s">
        <v>24</v>
      </c>
      <c r="D227" s="3" t="n">
        <v>2</v>
      </c>
      <c r="E227" s="6" t="n">
        <v>194.99</v>
      </c>
      <c r="F227" s="6" t="n">
        <v>231</v>
      </c>
      <c r="G227" s="7" t="n">
        <f aca="false">F227-E227</f>
        <v>36.01</v>
      </c>
      <c r="H227" s="8" t="n">
        <f aca="false">IF(E227=0,0,F227/E227-1)</f>
        <v>0.184676137237807</v>
      </c>
      <c r="I227" s="3" t="s">
        <v>101</v>
      </c>
    </row>
    <row r="228" customFormat="false" ht="15" hidden="false" customHeight="false" outlineLevel="0" collapsed="false">
      <c r="A228" s="3" t="s">
        <v>284</v>
      </c>
      <c r="B228" s="3" t="s">
        <v>23</v>
      </c>
      <c r="C228" s="3" t="s">
        <v>24</v>
      </c>
      <c r="D228" s="3" t="n">
        <v>3</v>
      </c>
      <c r="E228" s="6" t="n">
        <v>149.99</v>
      </c>
      <c r="F228" s="6" t="n">
        <v>174</v>
      </c>
      <c r="G228" s="7" t="n">
        <f aca="false">F228-E228</f>
        <v>24.01</v>
      </c>
      <c r="H228" s="8" t="n">
        <f aca="false">IF(E228=0,0,F228/E228-1)</f>
        <v>0.160077338489232</v>
      </c>
      <c r="I228" s="3" t="s">
        <v>38</v>
      </c>
    </row>
    <row r="229" customFormat="false" ht="15" hidden="false" customHeight="false" outlineLevel="0" collapsed="false">
      <c r="A229" s="3" t="s">
        <v>285</v>
      </c>
      <c r="B229" s="3" t="s">
        <v>23</v>
      </c>
      <c r="C229" s="3" t="s">
        <v>24</v>
      </c>
      <c r="D229" s="3" t="n">
        <v>1</v>
      </c>
      <c r="E229" s="6" t="n">
        <v>7.2</v>
      </c>
      <c r="F229" s="6" t="n">
        <v>9</v>
      </c>
      <c r="G229" s="7" t="n">
        <f aca="false">F229-E229</f>
        <v>1.8</v>
      </c>
      <c r="H229" s="8" t="n">
        <f aca="false">IF(E229=0,0,F229/E229-1)</f>
        <v>0.25</v>
      </c>
      <c r="I229" s="3" t="s">
        <v>286</v>
      </c>
    </row>
    <row r="230" customFormat="false" ht="15" hidden="false" customHeight="false" outlineLevel="0" collapsed="false">
      <c r="A230" s="3" t="s">
        <v>287</v>
      </c>
      <c r="B230" s="3" t="s">
        <v>23</v>
      </c>
      <c r="C230" s="3" t="s">
        <v>24</v>
      </c>
      <c r="D230" s="3" t="n">
        <v>1</v>
      </c>
      <c r="E230" s="6" t="n">
        <v>39</v>
      </c>
      <c r="F230" s="6" t="n">
        <v>48</v>
      </c>
      <c r="G230" s="7" t="n">
        <f aca="false">F230-E230</f>
        <v>9</v>
      </c>
      <c r="H230" s="8" t="n">
        <f aca="false">IF(E230=0,0,F230/E230-1)</f>
        <v>0.230769230769231</v>
      </c>
      <c r="I230" s="3" t="s">
        <v>27</v>
      </c>
    </row>
    <row r="231" customFormat="false" ht="15" hidden="false" customHeight="false" outlineLevel="0" collapsed="false">
      <c r="A231" s="3" t="s">
        <v>288</v>
      </c>
      <c r="B231" s="3" t="s">
        <v>23</v>
      </c>
      <c r="C231" s="3" t="s">
        <v>24</v>
      </c>
      <c r="D231" s="3" t="n">
        <v>3</v>
      </c>
      <c r="E231" s="6" t="n">
        <v>266</v>
      </c>
      <c r="F231" s="6" t="n">
        <v>309</v>
      </c>
      <c r="G231" s="7" t="n">
        <f aca="false">F231-E231</f>
        <v>43</v>
      </c>
      <c r="H231" s="8" t="n">
        <f aca="false">IF(E231=0,0,F231/E231-1)</f>
        <v>0.161654135338346</v>
      </c>
      <c r="I231" s="3" t="s">
        <v>38</v>
      </c>
    </row>
    <row r="232" customFormat="false" ht="15" hidden="false" customHeight="false" outlineLevel="0" collapsed="false">
      <c r="A232" s="3" t="s">
        <v>289</v>
      </c>
      <c r="B232" s="3" t="s">
        <v>23</v>
      </c>
      <c r="C232" s="3" t="s">
        <v>24</v>
      </c>
      <c r="D232" s="3" t="n">
        <v>1</v>
      </c>
      <c r="E232" s="6" t="n">
        <v>99.99</v>
      </c>
      <c r="F232" s="6" t="n">
        <v>122</v>
      </c>
      <c r="G232" s="7" t="n">
        <f aca="false">F232-E232</f>
        <v>22.01</v>
      </c>
      <c r="H232" s="8" t="n">
        <f aca="false">IF(E232=0,0,F232/E232-1)</f>
        <v>0.22012201220122</v>
      </c>
      <c r="I232" s="3" t="s">
        <v>27</v>
      </c>
    </row>
    <row r="233" customFormat="false" ht="15" hidden="false" customHeight="false" outlineLevel="0" collapsed="false">
      <c r="A233" s="3" t="s">
        <v>290</v>
      </c>
      <c r="B233" s="3" t="s">
        <v>23</v>
      </c>
      <c r="C233" s="3" t="s">
        <v>24</v>
      </c>
      <c r="D233" s="3" t="n">
        <v>1</v>
      </c>
      <c r="E233" s="6" t="n">
        <v>37</v>
      </c>
      <c r="F233" s="6" t="n">
        <v>45.5</v>
      </c>
      <c r="G233" s="7" t="n">
        <f aca="false">F233-E233</f>
        <v>8.5</v>
      </c>
      <c r="H233" s="8" t="n">
        <f aca="false">IF(E233=0,0,F233/E233-1)</f>
        <v>0.22972972972973</v>
      </c>
      <c r="I233" s="3" t="s">
        <v>27</v>
      </c>
    </row>
    <row r="234" customFormat="false" ht="15" hidden="false" customHeight="false" outlineLevel="0" collapsed="false">
      <c r="A234" s="3" t="s">
        <v>291</v>
      </c>
      <c r="B234" s="3" t="s">
        <v>23</v>
      </c>
      <c r="C234" s="3" t="s">
        <v>24</v>
      </c>
      <c r="D234" s="3" t="n">
        <v>1</v>
      </c>
      <c r="E234" s="6" t="n">
        <v>80</v>
      </c>
      <c r="F234" s="6" t="n">
        <v>98</v>
      </c>
      <c r="G234" s="7" t="n">
        <f aca="false">F234-E234</f>
        <v>18</v>
      </c>
      <c r="H234" s="8" t="n">
        <f aca="false">IF(E234=0,0,F234/E234-1)</f>
        <v>0.225</v>
      </c>
      <c r="I234" s="3" t="s">
        <v>27</v>
      </c>
    </row>
    <row r="235" customFormat="false" ht="15" hidden="false" customHeight="false" outlineLevel="0" collapsed="false">
      <c r="A235" s="3" t="s">
        <v>292</v>
      </c>
      <c r="B235" s="3" t="s">
        <v>23</v>
      </c>
      <c r="C235" s="3" t="s">
        <v>24</v>
      </c>
      <c r="D235" s="3" t="n">
        <v>3</v>
      </c>
      <c r="E235" s="6" t="n">
        <v>270</v>
      </c>
      <c r="F235" s="6" t="n">
        <v>314</v>
      </c>
      <c r="G235" s="7" t="n">
        <f aca="false">F235-E235</f>
        <v>44</v>
      </c>
      <c r="H235" s="8" t="n">
        <f aca="false">IF(E235=0,0,F235/E235-1)</f>
        <v>0.162962962962963</v>
      </c>
      <c r="I235" s="3" t="s">
        <v>38</v>
      </c>
    </row>
    <row r="236" customFormat="false" ht="15" hidden="false" customHeight="false" outlineLevel="0" collapsed="false">
      <c r="A236" s="3" t="s">
        <v>293</v>
      </c>
      <c r="B236" s="3" t="s">
        <v>23</v>
      </c>
      <c r="C236" s="3" t="s">
        <v>24</v>
      </c>
      <c r="D236" s="3" t="n">
        <v>1</v>
      </c>
      <c r="E236" s="6" t="n">
        <v>9</v>
      </c>
      <c r="F236" s="6" t="n">
        <v>11</v>
      </c>
      <c r="G236" s="7" t="n">
        <f aca="false">F236-E236</f>
        <v>2</v>
      </c>
      <c r="H236" s="8" t="n">
        <f aca="false">IF(E236=0,0,F236/E236-1)</f>
        <v>0.222222222222222</v>
      </c>
      <c r="I236" s="3" t="s">
        <v>27</v>
      </c>
    </row>
    <row r="237" customFormat="false" ht="15" hidden="false" customHeight="false" outlineLevel="0" collapsed="false">
      <c r="A237" s="3" t="s">
        <v>294</v>
      </c>
      <c r="B237" s="3" t="s">
        <v>23</v>
      </c>
      <c r="C237" s="3" t="s">
        <v>24</v>
      </c>
      <c r="D237" s="3" t="n">
        <v>1</v>
      </c>
      <c r="E237" s="6" t="n">
        <v>35</v>
      </c>
      <c r="F237" s="6" t="n">
        <v>43</v>
      </c>
      <c r="G237" s="7" t="n">
        <f aca="false">F237-E237</f>
        <v>8</v>
      </c>
      <c r="H237" s="8" t="n">
        <f aca="false">IF(E237=0,0,F237/E237-1)</f>
        <v>0.228571428571429</v>
      </c>
      <c r="I237" s="3" t="s">
        <v>27</v>
      </c>
    </row>
    <row r="238" customFormat="false" ht="15" hidden="false" customHeight="false" outlineLevel="0" collapsed="false">
      <c r="A238" s="3" t="s">
        <v>295</v>
      </c>
      <c r="B238" s="3" t="s">
        <v>23</v>
      </c>
      <c r="C238" s="3" t="s">
        <v>24</v>
      </c>
      <c r="D238" s="3" t="n">
        <v>3</v>
      </c>
      <c r="E238" s="6" t="n">
        <v>242.99</v>
      </c>
      <c r="F238" s="6" t="n">
        <v>282</v>
      </c>
      <c r="G238" s="7" t="n">
        <f aca="false">F238-E238</f>
        <v>39.01</v>
      </c>
      <c r="H238" s="8" t="n">
        <f aca="false">IF(E238=0,0,F238/E238-1)</f>
        <v>0.160541586073501</v>
      </c>
      <c r="I238" s="3" t="s">
        <v>38</v>
      </c>
    </row>
    <row r="239" customFormat="false" ht="15" hidden="false" customHeight="false" outlineLevel="0" collapsed="false">
      <c r="A239" s="3" t="s">
        <v>296</v>
      </c>
      <c r="B239" s="3" t="s">
        <v>23</v>
      </c>
      <c r="C239" s="3" t="s">
        <v>24</v>
      </c>
      <c r="D239" s="3" t="n">
        <v>1</v>
      </c>
      <c r="E239" s="6" t="n">
        <v>29.99</v>
      </c>
      <c r="F239" s="6" t="n">
        <v>37</v>
      </c>
      <c r="G239" s="7" t="n">
        <f aca="false">F239-E239</f>
        <v>7.01</v>
      </c>
      <c r="H239" s="8" t="n">
        <f aca="false">IF(E239=0,0,F239/E239-1)</f>
        <v>0.233744581527176</v>
      </c>
      <c r="I239" s="3" t="s">
        <v>27</v>
      </c>
    </row>
    <row r="240" customFormat="false" ht="15" hidden="false" customHeight="false" outlineLevel="0" collapsed="false">
      <c r="A240" s="3" t="s">
        <v>297</v>
      </c>
      <c r="B240" s="3" t="s">
        <v>23</v>
      </c>
      <c r="C240" s="3" t="s">
        <v>24</v>
      </c>
      <c r="D240" s="3" t="n">
        <v>3</v>
      </c>
      <c r="E240" s="6" t="n">
        <v>149.99</v>
      </c>
      <c r="F240" s="6" t="n">
        <v>174</v>
      </c>
      <c r="G240" s="7" t="n">
        <f aca="false">F240-E240</f>
        <v>24.01</v>
      </c>
      <c r="H240" s="8" t="n">
        <f aca="false">IF(E240=0,0,F240/E240-1)</f>
        <v>0.160077338489232</v>
      </c>
      <c r="I240" s="3" t="s">
        <v>38</v>
      </c>
    </row>
    <row r="241" customFormat="false" ht="15" hidden="false" customHeight="false" outlineLevel="0" collapsed="false">
      <c r="A241" s="3" t="s">
        <v>298</v>
      </c>
      <c r="B241" s="3" t="s">
        <v>23</v>
      </c>
      <c r="C241" s="3" t="s">
        <v>24</v>
      </c>
      <c r="D241" s="3" t="n">
        <v>1</v>
      </c>
      <c r="E241" s="6" t="n">
        <v>23.76</v>
      </c>
      <c r="F241" s="6" t="n">
        <v>29</v>
      </c>
      <c r="G241" s="7" t="n">
        <f aca="false">F241-E241</f>
        <v>5.24</v>
      </c>
      <c r="H241" s="8" t="n">
        <f aca="false">IF(E241=0,0,F241/E241-1)</f>
        <v>0.22053872053872</v>
      </c>
      <c r="I241" s="3" t="s">
        <v>27</v>
      </c>
    </row>
    <row r="242" customFormat="false" ht="15" hidden="false" customHeight="false" outlineLevel="0" collapsed="false">
      <c r="A242" s="3" t="s">
        <v>299</v>
      </c>
      <c r="B242" s="3" t="s">
        <v>23</v>
      </c>
      <c r="C242" s="3" t="s">
        <v>24</v>
      </c>
      <c r="D242" s="3" t="n">
        <v>1</v>
      </c>
      <c r="E242" s="6" t="n">
        <v>33</v>
      </c>
      <c r="F242" s="6" t="n">
        <v>40.5</v>
      </c>
      <c r="G242" s="7" t="n">
        <f aca="false">F242-E242</f>
        <v>7.5</v>
      </c>
      <c r="H242" s="8" t="n">
        <f aca="false">IF(E242=0,0,F242/E242-1)</f>
        <v>0.227272727272727</v>
      </c>
      <c r="I242" s="3" t="s">
        <v>27</v>
      </c>
    </row>
    <row r="243" customFormat="false" ht="15" hidden="false" customHeight="false" outlineLevel="0" collapsed="false">
      <c r="A243" s="3" t="s">
        <v>300</v>
      </c>
      <c r="B243" s="3" t="s">
        <v>23</v>
      </c>
      <c r="C243" s="3" t="s">
        <v>24</v>
      </c>
      <c r="D243" s="3" t="n">
        <v>3</v>
      </c>
      <c r="E243" s="6" t="n">
        <v>210.94</v>
      </c>
      <c r="F243" s="6" t="n">
        <v>245</v>
      </c>
      <c r="G243" s="7" t="n">
        <f aca="false">F243-E243</f>
        <v>34.06</v>
      </c>
      <c r="H243" s="8" t="n">
        <f aca="false">IF(E243=0,0,F243/E243-1)</f>
        <v>0.161467715938181</v>
      </c>
      <c r="I243" s="3" t="s">
        <v>38</v>
      </c>
    </row>
    <row r="244" customFormat="false" ht="15" hidden="false" customHeight="false" outlineLevel="0" collapsed="false">
      <c r="A244" s="3" t="s">
        <v>301</v>
      </c>
      <c r="B244" s="3" t="s">
        <v>23</v>
      </c>
      <c r="C244" s="3" t="s">
        <v>24</v>
      </c>
      <c r="D244" s="3" t="n">
        <v>3</v>
      </c>
      <c r="E244" s="6" t="n">
        <v>174.99</v>
      </c>
      <c r="F244" s="6" t="n">
        <v>203</v>
      </c>
      <c r="G244" s="7" t="n">
        <f aca="false">F244-E244</f>
        <v>28.01</v>
      </c>
      <c r="H244" s="8" t="n">
        <f aca="false">IF(E244=0,0,F244/E244-1)</f>
        <v>0.160066289502257</v>
      </c>
      <c r="I244" s="3" t="s">
        <v>38</v>
      </c>
    </row>
    <row r="245" customFormat="false" ht="15" hidden="false" customHeight="false" outlineLevel="0" collapsed="false">
      <c r="A245" s="3" t="s">
        <v>302</v>
      </c>
      <c r="B245" s="3" t="s">
        <v>23</v>
      </c>
      <c r="C245" s="3" t="s">
        <v>24</v>
      </c>
      <c r="D245" s="3" t="n">
        <v>1</v>
      </c>
      <c r="E245" s="6" t="n">
        <v>44.99</v>
      </c>
      <c r="F245" s="6" t="n">
        <v>55</v>
      </c>
      <c r="G245" s="7" t="n">
        <f aca="false">F245-E245</f>
        <v>10.01</v>
      </c>
      <c r="H245" s="8" t="n">
        <f aca="false">IF(E245=0,0,F245/E245-1)</f>
        <v>0.222493887530562</v>
      </c>
      <c r="I245" s="3" t="s">
        <v>27</v>
      </c>
    </row>
    <row r="246" customFormat="false" ht="15" hidden="false" customHeight="false" outlineLevel="0" collapsed="false">
      <c r="A246" s="3" t="s">
        <v>303</v>
      </c>
      <c r="B246" s="3" t="s">
        <v>23</v>
      </c>
      <c r="C246" s="3" t="s">
        <v>24</v>
      </c>
      <c r="D246" s="3" t="n">
        <v>1</v>
      </c>
      <c r="E246" s="6" t="n">
        <v>24.99</v>
      </c>
      <c r="F246" s="6" t="n">
        <v>30.5</v>
      </c>
      <c r="G246" s="7" t="n">
        <f aca="false">F246-E246</f>
        <v>5.51</v>
      </c>
      <c r="H246" s="8" t="n">
        <f aca="false">IF(E246=0,0,F246/E246-1)</f>
        <v>0.220488195278111</v>
      </c>
      <c r="I246" s="3" t="s">
        <v>27</v>
      </c>
    </row>
    <row r="247" customFormat="false" ht="15" hidden="false" customHeight="false" outlineLevel="0" collapsed="false">
      <c r="A247" s="3" t="s">
        <v>304</v>
      </c>
      <c r="B247" s="3" t="s">
        <v>23</v>
      </c>
      <c r="C247" s="3" t="s">
        <v>24</v>
      </c>
      <c r="D247" s="3" t="n">
        <v>2</v>
      </c>
      <c r="E247" s="6" t="n">
        <v>10</v>
      </c>
      <c r="F247" s="6" t="n">
        <v>12</v>
      </c>
      <c r="G247" s="7" t="n">
        <f aca="false">F247-E247</f>
        <v>2</v>
      </c>
      <c r="H247" s="8" t="n">
        <f aca="false">IF(E247=0,0,F247/E247-1)</f>
        <v>0.2</v>
      </c>
      <c r="I247" s="3" t="s">
        <v>305</v>
      </c>
    </row>
    <row r="248" customFormat="false" ht="15" hidden="false" customHeight="false" outlineLevel="0" collapsed="false">
      <c r="A248" s="3" t="s">
        <v>306</v>
      </c>
      <c r="B248" s="3" t="s">
        <v>23</v>
      </c>
      <c r="C248" s="3" t="s">
        <v>24</v>
      </c>
      <c r="D248" s="3" t="n">
        <v>1</v>
      </c>
      <c r="E248" s="6" t="n">
        <v>18</v>
      </c>
      <c r="F248" s="6" t="n">
        <v>22</v>
      </c>
      <c r="G248" s="7" t="n">
        <f aca="false">F248-E248</f>
        <v>4</v>
      </c>
      <c r="H248" s="8" t="n">
        <f aca="false">IF(E248=0,0,F248/E248-1)</f>
        <v>0.222222222222222</v>
      </c>
      <c r="I248" s="3" t="s">
        <v>27</v>
      </c>
    </row>
    <row r="249" customFormat="false" ht="15" hidden="false" customHeight="false" outlineLevel="0" collapsed="false">
      <c r="A249" s="3" t="s">
        <v>307</v>
      </c>
      <c r="B249" s="3" t="s">
        <v>23</v>
      </c>
      <c r="C249" s="3" t="s">
        <v>24</v>
      </c>
      <c r="D249" s="3" t="n">
        <v>3</v>
      </c>
      <c r="E249" s="6" t="n">
        <v>260.51</v>
      </c>
      <c r="F249" s="6" t="n">
        <v>303</v>
      </c>
      <c r="G249" s="7" t="n">
        <f aca="false">F249-E249</f>
        <v>42.49</v>
      </c>
      <c r="H249" s="8" t="n">
        <f aca="false">IF(E249=0,0,F249/E249-1)</f>
        <v>0.16310314383325</v>
      </c>
      <c r="I249" s="3" t="s">
        <v>38</v>
      </c>
    </row>
    <row r="250" customFormat="false" ht="15" hidden="false" customHeight="false" outlineLevel="0" collapsed="false">
      <c r="A250" s="3" t="s">
        <v>308</v>
      </c>
      <c r="B250" s="3" t="s">
        <v>23</v>
      </c>
      <c r="C250" s="3" t="s">
        <v>24</v>
      </c>
      <c r="D250" s="3" t="n">
        <v>1</v>
      </c>
      <c r="E250" s="6" t="n">
        <v>12.72</v>
      </c>
      <c r="F250" s="6" t="n">
        <v>16</v>
      </c>
      <c r="G250" s="7" t="n">
        <f aca="false">F250-E250</f>
        <v>3.28</v>
      </c>
      <c r="H250" s="8" t="n">
        <f aca="false">IF(E250=0,0,F250/E250-1)</f>
        <v>0.257861635220126</v>
      </c>
      <c r="I250" s="3" t="s">
        <v>134</v>
      </c>
    </row>
    <row r="251" customFormat="false" ht="15" hidden="false" customHeight="false" outlineLevel="0" collapsed="false">
      <c r="A251" s="3" t="s">
        <v>309</v>
      </c>
      <c r="B251" s="3" t="s">
        <v>23</v>
      </c>
      <c r="C251" s="3" t="s">
        <v>24</v>
      </c>
      <c r="D251" s="3" t="n">
        <v>1</v>
      </c>
      <c r="E251" s="6" t="n">
        <v>114.99</v>
      </c>
      <c r="F251" s="6" t="n">
        <v>141</v>
      </c>
      <c r="G251" s="7" t="n">
        <f aca="false">F251-E251</f>
        <v>26.01</v>
      </c>
      <c r="H251" s="8" t="n">
        <f aca="false">IF(E251=0,0,F251/E251-1)</f>
        <v>0.226193582050613</v>
      </c>
      <c r="I251" s="3" t="s">
        <v>27</v>
      </c>
    </row>
    <row r="252" customFormat="false" ht="15" hidden="false" customHeight="false" outlineLevel="0" collapsed="false">
      <c r="A252" s="3" t="s">
        <v>310</v>
      </c>
      <c r="B252" s="3" t="s">
        <v>23</v>
      </c>
      <c r="C252" s="3" t="s">
        <v>24</v>
      </c>
      <c r="D252" s="3" t="n">
        <v>3</v>
      </c>
      <c r="E252" s="6" t="n">
        <v>513</v>
      </c>
      <c r="F252" s="6" t="n">
        <v>596</v>
      </c>
      <c r="G252" s="7" t="n">
        <f aca="false">F252-E252</f>
        <v>83</v>
      </c>
      <c r="H252" s="8" t="n">
        <f aca="false">IF(E252=0,0,F252/E252-1)</f>
        <v>0.161793372319688</v>
      </c>
      <c r="I252" s="3" t="s">
        <v>38</v>
      </c>
    </row>
    <row r="253" customFormat="false" ht="15" hidden="false" customHeight="false" outlineLevel="0" collapsed="false">
      <c r="A253" s="3" t="s">
        <v>311</v>
      </c>
      <c r="B253" s="3" t="s">
        <v>23</v>
      </c>
      <c r="C253" s="3" t="s">
        <v>24</v>
      </c>
      <c r="D253" s="3" t="n">
        <v>3</v>
      </c>
      <c r="E253" s="6" t="n">
        <v>399.99</v>
      </c>
      <c r="F253" s="6" t="n">
        <v>464</v>
      </c>
      <c r="G253" s="7" t="n">
        <f aca="false">F253-E253</f>
        <v>64.01</v>
      </c>
      <c r="H253" s="8" t="n">
        <f aca="false">IF(E253=0,0,F253/E253-1)</f>
        <v>0.160029000725018</v>
      </c>
      <c r="I253" s="3" t="s">
        <v>38</v>
      </c>
    </row>
    <row r="254" customFormat="false" ht="15" hidden="false" customHeight="false" outlineLevel="0" collapsed="false">
      <c r="A254" s="3" t="s">
        <v>312</v>
      </c>
      <c r="B254" s="3" t="s">
        <v>23</v>
      </c>
      <c r="C254" s="3" t="s">
        <v>24</v>
      </c>
      <c r="D254" s="3" t="n">
        <v>1</v>
      </c>
      <c r="E254" s="6" t="n">
        <v>44.99</v>
      </c>
      <c r="F254" s="6" t="n">
        <v>55</v>
      </c>
      <c r="G254" s="7" t="n">
        <f aca="false">F254-E254</f>
        <v>10.01</v>
      </c>
      <c r="H254" s="8" t="n">
        <f aca="false">IF(E254=0,0,F254/E254-1)</f>
        <v>0.222493887530562</v>
      </c>
      <c r="I254" s="3" t="s">
        <v>27</v>
      </c>
    </row>
    <row r="255" customFormat="false" ht="15" hidden="false" customHeight="false" outlineLevel="0" collapsed="false">
      <c r="A255" s="3" t="s">
        <v>313</v>
      </c>
      <c r="B255" s="3" t="s">
        <v>23</v>
      </c>
      <c r="C255" s="3" t="s">
        <v>179</v>
      </c>
      <c r="D255" s="3" t="n">
        <v>2</v>
      </c>
      <c r="E255" s="6" t="n">
        <v>1199</v>
      </c>
      <c r="F255" s="6" t="n">
        <v>1415</v>
      </c>
      <c r="G255" s="7" t="n">
        <f aca="false">F255-E255</f>
        <v>216</v>
      </c>
      <c r="H255" s="8" t="n">
        <f aca="false">IF(E255=0,0,F255/E255-1)</f>
        <v>0.180150125104254</v>
      </c>
      <c r="I255" s="3" t="s">
        <v>314</v>
      </c>
    </row>
    <row r="256" customFormat="false" ht="15" hidden="false" customHeight="false" outlineLevel="0" collapsed="false">
      <c r="A256" s="3" t="s">
        <v>315</v>
      </c>
      <c r="B256" s="3" t="s">
        <v>23</v>
      </c>
      <c r="C256" s="3" t="s">
        <v>24</v>
      </c>
      <c r="D256" s="3" t="n">
        <v>1</v>
      </c>
      <c r="E256" s="6" t="n">
        <v>9.07</v>
      </c>
      <c r="F256" s="6" t="n">
        <v>11.5</v>
      </c>
      <c r="G256" s="7" t="n">
        <f aca="false">F256-E256</f>
        <v>2.43</v>
      </c>
      <c r="H256" s="8" t="n">
        <f aca="false">IF(E256=0,0,F256/E256-1)</f>
        <v>0.267916207276737</v>
      </c>
      <c r="I256" s="3" t="s">
        <v>210</v>
      </c>
    </row>
    <row r="257" customFormat="false" ht="15" hidden="false" customHeight="false" outlineLevel="0" collapsed="false">
      <c r="A257" s="3" t="s">
        <v>316</v>
      </c>
      <c r="B257" s="3" t="s">
        <v>23</v>
      </c>
      <c r="C257" s="3" t="s">
        <v>24</v>
      </c>
      <c r="D257" s="3" t="n">
        <v>1</v>
      </c>
      <c r="E257" s="6" t="n">
        <v>59.99</v>
      </c>
      <c r="F257" s="6" t="n">
        <v>73.5</v>
      </c>
      <c r="G257" s="7" t="n">
        <f aca="false">F257-E257</f>
        <v>13.51</v>
      </c>
      <c r="H257" s="8" t="n">
        <f aca="false">IF(E257=0,0,F257/E257-1)</f>
        <v>0.225204200700117</v>
      </c>
      <c r="I257" s="3" t="s">
        <v>27</v>
      </c>
    </row>
    <row r="258" customFormat="false" ht="15" hidden="false" customHeight="false" outlineLevel="0" collapsed="false">
      <c r="A258" s="3" t="s">
        <v>317</v>
      </c>
      <c r="B258" s="3" t="s">
        <v>23</v>
      </c>
      <c r="C258" s="3" t="s">
        <v>24</v>
      </c>
      <c r="D258" s="3" t="n">
        <v>1</v>
      </c>
      <c r="E258" s="6" t="n">
        <v>44.99</v>
      </c>
      <c r="F258" s="6" t="n">
        <v>55</v>
      </c>
      <c r="G258" s="7" t="n">
        <f aca="false">F258-E258</f>
        <v>10.01</v>
      </c>
      <c r="H258" s="8" t="n">
        <f aca="false">IF(E258=0,0,F258/E258-1)</f>
        <v>0.222493887530562</v>
      </c>
      <c r="I258" s="3" t="s">
        <v>27</v>
      </c>
    </row>
    <row r="259" customFormat="false" ht="15" hidden="false" customHeight="false" outlineLevel="0" collapsed="false">
      <c r="A259" s="3" t="s">
        <v>318</v>
      </c>
      <c r="B259" s="3" t="s">
        <v>23</v>
      </c>
      <c r="C259" s="3" t="s">
        <v>24</v>
      </c>
      <c r="D259" s="3" t="n">
        <v>3</v>
      </c>
      <c r="E259" s="6" t="n">
        <v>299.7</v>
      </c>
      <c r="F259" s="6" t="n">
        <v>348</v>
      </c>
      <c r="G259" s="7" t="n">
        <f aca="false">F259-E259</f>
        <v>48.3</v>
      </c>
      <c r="H259" s="8" t="n">
        <f aca="false">IF(E259=0,0,F259/E259-1)</f>
        <v>0.161161161161161</v>
      </c>
      <c r="I259" s="3" t="s">
        <v>38</v>
      </c>
    </row>
    <row r="260" customFormat="false" ht="15" hidden="false" customHeight="false" outlineLevel="0" collapsed="false">
      <c r="A260" s="3" t="s">
        <v>319</v>
      </c>
      <c r="B260" s="3" t="s">
        <v>23</v>
      </c>
      <c r="C260" s="3" t="s">
        <v>24</v>
      </c>
      <c r="D260" s="3" t="n">
        <v>1</v>
      </c>
      <c r="E260" s="6" t="n">
        <v>22</v>
      </c>
      <c r="F260" s="6" t="n">
        <v>27</v>
      </c>
      <c r="G260" s="7" t="n">
        <f aca="false">F260-E260</f>
        <v>5</v>
      </c>
      <c r="H260" s="8" t="n">
        <f aca="false">IF(E260=0,0,F260/E260-1)</f>
        <v>0.227272727272727</v>
      </c>
      <c r="I260" s="3" t="s">
        <v>27</v>
      </c>
    </row>
    <row r="261" customFormat="false" ht="15" hidden="false" customHeight="false" outlineLevel="0" collapsed="false">
      <c r="A261" s="3" t="s">
        <v>320</v>
      </c>
      <c r="B261" s="3" t="s">
        <v>23</v>
      </c>
      <c r="C261" s="3" t="s">
        <v>24</v>
      </c>
      <c r="D261" s="3" t="n">
        <v>1</v>
      </c>
      <c r="E261" s="6" t="n">
        <v>54.99</v>
      </c>
      <c r="F261" s="6" t="n">
        <v>67.5</v>
      </c>
      <c r="G261" s="7" t="n">
        <f aca="false">F261-E261</f>
        <v>12.51</v>
      </c>
      <c r="H261" s="8" t="n">
        <f aca="false">IF(E261=0,0,F261/E261-1)</f>
        <v>0.227495908346972</v>
      </c>
      <c r="I261" s="3" t="s">
        <v>27</v>
      </c>
    </row>
    <row r="262" customFormat="false" ht="15" hidden="false" customHeight="false" outlineLevel="0" collapsed="false">
      <c r="A262" s="3" t="s">
        <v>321</v>
      </c>
      <c r="B262" s="3" t="s">
        <v>23</v>
      </c>
      <c r="C262" s="3" t="s">
        <v>24</v>
      </c>
      <c r="D262" s="3" t="n">
        <v>1</v>
      </c>
      <c r="E262" s="6" t="n">
        <v>19</v>
      </c>
      <c r="F262" s="6" t="n">
        <v>23.5</v>
      </c>
      <c r="G262" s="7" t="n">
        <f aca="false">F262-E262</f>
        <v>4.5</v>
      </c>
      <c r="H262" s="8" t="n">
        <f aca="false">IF(E262=0,0,F262/E262-1)</f>
        <v>0.236842105263158</v>
      </c>
      <c r="I262" s="3" t="s">
        <v>27</v>
      </c>
    </row>
    <row r="263" customFormat="false" ht="15" hidden="false" customHeight="false" outlineLevel="0" collapsed="false">
      <c r="A263" s="3" t="s">
        <v>322</v>
      </c>
      <c r="B263" s="3" t="s">
        <v>23</v>
      </c>
      <c r="C263" s="3" t="s">
        <v>24</v>
      </c>
      <c r="D263" s="3" t="n">
        <v>1</v>
      </c>
      <c r="E263" s="6" t="n">
        <v>148.2</v>
      </c>
      <c r="F263" s="6" t="n">
        <v>181</v>
      </c>
      <c r="G263" s="7" t="n">
        <f aca="false">F263-E263</f>
        <v>32.8</v>
      </c>
      <c r="H263" s="8" t="n">
        <f aca="false">IF(E263=0,0,F263/E263-1)</f>
        <v>0.221322537112011</v>
      </c>
      <c r="I263" s="3" t="s">
        <v>134</v>
      </c>
    </row>
    <row r="264" customFormat="false" ht="15" hidden="false" customHeight="false" outlineLevel="0" collapsed="false">
      <c r="A264" s="3" t="s">
        <v>323</v>
      </c>
      <c r="B264" s="3" t="s">
        <v>23</v>
      </c>
      <c r="C264" s="3" t="s">
        <v>24</v>
      </c>
      <c r="D264" s="3" t="n">
        <v>1</v>
      </c>
      <c r="E264" s="6" t="n">
        <v>14.99</v>
      </c>
      <c r="F264" s="6" t="n">
        <v>18.5</v>
      </c>
      <c r="G264" s="7" t="n">
        <f aca="false">F264-E264</f>
        <v>3.51</v>
      </c>
      <c r="H264" s="8" t="n">
        <f aca="false">IF(E264=0,0,F264/E264-1)</f>
        <v>0.23415610406938</v>
      </c>
      <c r="I264" s="3" t="s">
        <v>27</v>
      </c>
    </row>
    <row r="265" customFormat="false" ht="15" hidden="false" customHeight="false" outlineLevel="0" collapsed="false">
      <c r="A265" s="3" t="s">
        <v>324</v>
      </c>
      <c r="B265" s="3" t="s">
        <v>23</v>
      </c>
      <c r="C265" s="3" t="s">
        <v>24</v>
      </c>
      <c r="D265" s="3" t="n">
        <v>1</v>
      </c>
      <c r="E265" s="6" t="n">
        <v>36.05</v>
      </c>
      <c r="F265" s="6" t="n">
        <v>44</v>
      </c>
      <c r="G265" s="7" t="n">
        <f aca="false">F265-E265</f>
        <v>7.95</v>
      </c>
      <c r="H265" s="8" t="n">
        <f aca="false">IF(E265=0,0,F265/E265-1)</f>
        <v>0.220527045769764</v>
      </c>
      <c r="I265" s="3" t="s">
        <v>27</v>
      </c>
    </row>
    <row r="266" customFormat="false" ht="15" hidden="false" customHeight="false" outlineLevel="0" collapsed="false">
      <c r="A266" s="3" t="s">
        <v>325</v>
      </c>
      <c r="B266" s="3" t="s">
        <v>23</v>
      </c>
      <c r="C266" s="3" t="s">
        <v>24</v>
      </c>
      <c r="D266" s="3" t="n">
        <v>1</v>
      </c>
      <c r="E266" s="6" t="n">
        <v>62.22</v>
      </c>
      <c r="F266" s="6" t="n">
        <v>76</v>
      </c>
      <c r="G266" s="7" t="n">
        <f aca="false">F266-E266</f>
        <v>13.78</v>
      </c>
      <c r="H266" s="8" t="n">
        <f aca="false">IF(E266=0,0,F266/E266-1)</f>
        <v>0.221472195435551</v>
      </c>
      <c r="I266" s="3" t="s">
        <v>27</v>
      </c>
    </row>
    <row r="267" customFormat="false" ht="15" hidden="false" customHeight="false" outlineLevel="0" collapsed="false">
      <c r="A267" s="3" t="s">
        <v>326</v>
      </c>
      <c r="B267" s="3" t="s">
        <v>23</v>
      </c>
      <c r="C267" s="3" t="s">
        <v>24</v>
      </c>
      <c r="D267" s="3" t="n">
        <v>3</v>
      </c>
      <c r="E267" s="6" t="n">
        <v>159.99</v>
      </c>
      <c r="F267" s="6" t="n">
        <v>186</v>
      </c>
      <c r="G267" s="7" t="n">
        <f aca="false">F267-E267</f>
        <v>26.01</v>
      </c>
      <c r="H267" s="8" t="n">
        <f aca="false">IF(E267=0,0,F267/E267-1)</f>
        <v>0.162572660791299</v>
      </c>
      <c r="I267" s="3" t="s">
        <v>38</v>
      </c>
    </row>
    <row r="268" customFormat="false" ht="15" hidden="false" customHeight="false" outlineLevel="0" collapsed="false">
      <c r="A268" s="3" t="s">
        <v>327</v>
      </c>
      <c r="B268" s="3" t="s">
        <v>23</v>
      </c>
      <c r="C268" s="3" t="s">
        <v>24</v>
      </c>
      <c r="D268" s="3" t="n">
        <v>1</v>
      </c>
      <c r="E268" s="6" t="n">
        <v>24.84</v>
      </c>
      <c r="F268" s="6" t="n">
        <v>30.5</v>
      </c>
      <c r="G268" s="7" t="n">
        <f aca="false">F268-E268</f>
        <v>5.66</v>
      </c>
      <c r="H268" s="8" t="n">
        <f aca="false">IF(E268=0,0,F268/E268-1)</f>
        <v>0.227858293075684</v>
      </c>
      <c r="I268" s="3" t="s">
        <v>27</v>
      </c>
    </row>
    <row r="269" customFormat="false" ht="15" hidden="false" customHeight="false" outlineLevel="0" collapsed="false">
      <c r="A269" s="3" t="s">
        <v>328</v>
      </c>
      <c r="B269" s="3" t="s">
        <v>23</v>
      </c>
      <c r="C269" s="3" t="s">
        <v>24</v>
      </c>
      <c r="D269" s="3" t="n">
        <v>1</v>
      </c>
      <c r="E269" s="6" t="n">
        <v>11.22</v>
      </c>
      <c r="F269" s="6" t="n">
        <v>14</v>
      </c>
      <c r="G269" s="7" t="n">
        <f aca="false">F269-E269</f>
        <v>2.78</v>
      </c>
      <c r="H269" s="8" t="n">
        <f aca="false">IF(E269=0,0,F269/E269-1)</f>
        <v>0.24777183600713</v>
      </c>
      <c r="I269" s="3" t="s">
        <v>27</v>
      </c>
    </row>
    <row r="270" customFormat="false" ht="15" hidden="false" customHeight="false" outlineLevel="0" collapsed="false">
      <c r="A270" s="3" t="s">
        <v>329</v>
      </c>
      <c r="B270" s="3" t="s">
        <v>23</v>
      </c>
      <c r="C270" s="3" t="s">
        <v>24</v>
      </c>
      <c r="D270" s="3" t="n">
        <v>1</v>
      </c>
      <c r="E270" s="6" t="n">
        <v>127.56</v>
      </c>
      <c r="F270" s="6" t="n">
        <v>156</v>
      </c>
      <c r="G270" s="7" t="n">
        <f aca="false">F270-E270</f>
        <v>28.44</v>
      </c>
      <c r="H270" s="8" t="n">
        <f aca="false">IF(E270=0,0,F270/E270-1)</f>
        <v>0.222953904045155</v>
      </c>
      <c r="I270" s="3" t="s">
        <v>330</v>
      </c>
    </row>
    <row r="271" customFormat="false" ht="15" hidden="false" customHeight="false" outlineLevel="0" collapsed="false">
      <c r="A271" s="3" t="s">
        <v>331</v>
      </c>
      <c r="B271" s="3" t="s">
        <v>23</v>
      </c>
      <c r="C271" s="3" t="s">
        <v>24</v>
      </c>
      <c r="D271" s="3" t="n">
        <v>3</v>
      </c>
      <c r="E271" s="6" t="n">
        <v>391.39</v>
      </c>
      <c r="F271" s="6" t="n">
        <v>455</v>
      </c>
      <c r="G271" s="7" t="n">
        <f aca="false">F271-E271</f>
        <v>63.61</v>
      </c>
      <c r="H271" s="8" t="n">
        <f aca="false">IF(E271=0,0,F271/E271-1)</f>
        <v>0.162523314341194</v>
      </c>
      <c r="I271" s="3" t="s">
        <v>38</v>
      </c>
    </row>
    <row r="272" customFormat="false" ht="15" hidden="false" customHeight="false" outlineLevel="0" collapsed="false">
      <c r="A272" s="3" t="s">
        <v>332</v>
      </c>
      <c r="B272" s="3" t="s">
        <v>23</v>
      </c>
      <c r="C272" s="3" t="s">
        <v>24</v>
      </c>
      <c r="D272" s="3" t="n">
        <v>1</v>
      </c>
      <c r="E272" s="6" t="n">
        <v>13</v>
      </c>
      <c r="F272" s="6" t="n">
        <v>16</v>
      </c>
      <c r="G272" s="7" t="n">
        <f aca="false">F272-E272</f>
        <v>3</v>
      </c>
      <c r="H272" s="8" t="n">
        <f aca="false">IF(E272=0,0,F272/E272-1)</f>
        <v>0.230769230769231</v>
      </c>
      <c r="I272" s="3" t="s">
        <v>333</v>
      </c>
    </row>
    <row r="273" customFormat="false" ht="15" hidden="false" customHeight="false" outlineLevel="0" collapsed="false">
      <c r="A273" s="3" t="s">
        <v>334</v>
      </c>
      <c r="B273" s="3" t="s">
        <v>23</v>
      </c>
      <c r="C273" s="3" t="s">
        <v>24</v>
      </c>
      <c r="D273" s="3" t="n">
        <v>3</v>
      </c>
      <c r="E273" s="6" t="n">
        <v>264.99</v>
      </c>
      <c r="F273" s="6" t="n">
        <v>308</v>
      </c>
      <c r="G273" s="7" t="n">
        <f aca="false">F273-E273</f>
        <v>43.01</v>
      </c>
      <c r="H273" s="8" t="n">
        <f aca="false">IF(E273=0,0,F273/E273-1)</f>
        <v>0.16230801162308</v>
      </c>
      <c r="I273" s="3" t="s">
        <v>38</v>
      </c>
    </row>
    <row r="274" customFormat="false" ht="15" hidden="false" customHeight="false" outlineLevel="0" collapsed="false">
      <c r="A274" s="3" t="s">
        <v>335</v>
      </c>
      <c r="B274" s="3" t="s">
        <v>23</v>
      </c>
      <c r="C274" s="3" t="s">
        <v>24</v>
      </c>
      <c r="D274" s="3" t="n">
        <v>3</v>
      </c>
      <c r="E274" s="6" t="n">
        <v>149.99</v>
      </c>
      <c r="F274" s="6" t="n">
        <v>174</v>
      </c>
      <c r="G274" s="7" t="n">
        <f aca="false">F274-E274</f>
        <v>24.01</v>
      </c>
      <c r="H274" s="8" t="n">
        <f aca="false">IF(E274=0,0,F274/E274-1)</f>
        <v>0.160077338489232</v>
      </c>
      <c r="I274" s="3" t="s">
        <v>38</v>
      </c>
    </row>
    <row r="275" customFormat="false" ht="15" hidden="false" customHeight="false" outlineLevel="0" collapsed="false">
      <c r="A275" s="3" t="s">
        <v>336</v>
      </c>
      <c r="B275" s="3" t="s">
        <v>23</v>
      </c>
      <c r="C275" s="3" t="s">
        <v>24</v>
      </c>
      <c r="D275" s="3" t="n">
        <v>1</v>
      </c>
      <c r="E275" s="6" t="n">
        <v>14</v>
      </c>
      <c r="F275" s="6" t="n">
        <v>17.5</v>
      </c>
      <c r="G275" s="7" t="n">
        <f aca="false">F275-E275</f>
        <v>3.5</v>
      </c>
      <c r="H275" s="8" t="n">
        <f aca="false">IF(E275=0,0,F275/E275-1)</f>
        <v>0.25</v>
      </c>
      <c r="I275" s="3" t="s">
        <v>27</v>
      </c>
    </row>
    <row r="276" customFormat="false" ht="15" hidden="false" customHeight="false" outlineLevel="0" collapsed="false">
      <c r="A276" s="3" t="s">
        <v>337</v>
      </c>
      <c r="B276" s="3" t="s">
        <v>23</v>
      </c>
      <c r="C276" s="3" t="s">
        <v>24</v>
      </c>
      <c r="D276" s="3" t="n">
        <v>1</v>
      </c>
      <c r="E276" s="6" t="n">
        <v>23.66</v>
      </c>
      <c r="F276" s="6" t="n">
        <v>29</v>
      </c>
      <c r="G276" s="7" t="n">
        <f aca="false">F276-E276</f>
        <v>5.34</v>
      </c>
      <c r="H276" s="8" t="n">
        <f aca="false">IF(E276=0,0,F276/E276-1)</f>
        <v>0.225697379543533</v>
      </c>
      <c r="I276" s="3" t="s">
        <v>134</v>
      </c>
    </row>
    <row r="277" customFormat="false" ht="15" hidden="false" customHeight="false" outlineLevel="0" collapsed="false">
      <c r="A277" s="3" t="s">
        <v>338</v>
      </c>
      <c r="B277" s="3" t="s">
        <v>23</v>
      </c>
      <c r="C277" s="3" t="s">
        <v>24</v>
      </c>
      <c r="D277" s="3" t="n">
        <v>1</v>
      </c>
      <c r="E277" s="6" t="n">
        <v>162.41</v>
      </c>
      <c r="F277" s="6" t="n">
        <v>199</v>
      </c>
      <c r="G277" s="7" t="n">
        <f aca="false">F277-E277</f>
        <v>36.59</v>
      </c>
      <c r="H277" s="8" t="n">
        <f aca="false">IF(E277=0,0,F277/E277-1)</f>
        <v>0.225294008989594</v>
      </c>
      <c r="I277" s="3" t="s">
        <v>27</v>
      </c>
    </row>
    <row r="278" customFormat="false" ht="15" hidden="false" customHeight="false" outlineLevel="0" collapsed="false">
      <c r="A278" s="3" t="s">
        <v>339</v>
      </c>
      <c r="B278" s="3" t="s">
        <v>23</v>
      </c>
      <c r="C278" s="3" t="s">
        <v>24</v>
      </c>
      <c r="D278" s="3" t="n">
        <v>3</v>
      </c>
      <c r="E278" s="6" t="n">
        <v>249.99</v>
      </c>
      <c r="F278" s="6" t="n">
        <v>290</v>
      </c>
      <c r="G278" s="7" t="n">
        <f aca="false">F278-E278</f>
        <v>40.01</v>
      </c>
      <c r="H278" s="8" t="n">
        <f aca="false">IF(E278=0,0,F278/E278-1)</f>
        <v>0.160046401856074</v>
      </c>
      <c r="I278" s="3" t="s">
        <v>38</v>
      </c>
    </row>
    <row r="279" customFormat="false" ht="15" hidden="false" customHeight="false" outlineLevel="0" collapsed="false">
      <c r="A279" s="3" t="s">
        <v>340</v>
      </c>
      <c r="B279" s="3" t="s">
        <v>23</v>
      </c>
      <c r="C279" s="3" t="s">
        <v>24</v>
      </c>
      <c r="D279" s="3" t="n">
        <v>3</v>
      </c>
      <c r="E279" s="6" t="n">
        <v>513</v>
      </c>
      <c r="F279" s="6" t="n">
        <v>596</v>
      </c>
      <c r="G279" s="7" t="n">
        <f aca="false">F279-E279</f>
        <v>83</v>
      </c>
      <c r="H279" s="8" t="n">
        <f aca="false">IF(E279=0,0,F279/E279-1)</f>
        <v>0.161793372319688</v>
      </c>
      <c r="I279" s="3" t="s">
        <v>38</v>
      </c>
    </row>
    <row r="280" customFormat="false" ht="15" hidden="false" customHeight="false" outlineLevel="0" collapsed="false">
      <c r="A280" s="3" t="s">
        <v>341</v>
      </c>
      <c r="B280" s="3" t="s">
        <v>23</v>
      </c>
      <c r="C280" s="3" t="s">
        <v>24</v>
      </c>
      <c r="D280" s="3" t="n">
        <v>1</v>
      </c>
      <c r="E280" s="6" t="n">
        <v>19</v>
      </c>
      <c r="F280" s="6" t="n">
        <v>23.5</v>
      </c>
      <c r="G280" s="7" t="n">
        <f aca="false">F280-E280</f>
        <v>4.5</v>
      </c>
      <c r="H280" s="8" t="n">
        <f aca="false">IF(E280=0,0,F280/E280-1)</f>
        <v>0.236842105263158</v>
      </c>
      <c r="I280" s="3" t="s">
        <v>27</v>
      </c>
    </row>
    <row r="281" customFormat="false" ht="15" hidden="false" customHeight="false" outlineLevel="0" collapsed="false">
      <c r="A281" s="3" t="s">
        <v>342</v>
      </c>
      <c r="B281" s="3" t="s">
        <v>23</v>
      </c>
      <c r="C281" s="3" t="s">
        <v>24</v>
      </c>
      <c r="D281" s="3" t="n">
        <v>1</v>
      </c>
      <c r="E281" s="6" t="n">
        <v>34.99</v>
      </c>
      <c r="F281" s="6" t="n">
        <v>43</v>
      </c>
      <c r="G281" s="7" t="n">
        <f aca="false">F281-E281</f>
        <v>8.01</v>
      </c>
      <c r="H281" s="8" t="n">
        <f aca="false">IF(E281=0,0,F281/E281-1)</f>
        <v>0.2289225492998</v>
      </c>
      <c r="I281" s="3" t="s">
        <v>27</v>
      </c>
    </row>
    <row r="282" customFormat="false" ht="15" hidden="false" customHeight="false" outlineLevel="0" collapsed="false">
      <c r="A282" s="3" t="s">
        <v>343</v>
      </c>
      <c r="B282" s="3" t="s">
        <v>23</v>
      </c>
      <c r="C282" s="3" t="s">
        <v>24</v>
      </c>
      <c r="D282" s="3" t="n">
        <v>1</v>
      </c>
      <c r="E282" s="6" t="n">
        <v>59.99</v>
      </c>
      <c r="F282" s="6" t="n">
        <v>73.5</v>
      </c>
      <c r="G282" s="7" t="n">
        <f aca="false">F282-E282</f>
        <v>13.51</v>
      </c>
      <c r="H282" s="8" t="n">
        <f aca="false">IF(E282=0,0,F282/E282-1)</f>
        <v>0.225204200700117</v>
      </c>
      <c r="I282" s="3" t="s">
        <v>27</v>
      </c>
    </row>
    <row r="283" customFormat="false" ht="15" hidden="false" customHeight="false" outlineLevel="0" collapsed="false">
      <c r="A283" s="3" t="s">
        <v>344</v>
      </c>
      <c r="B283" s="3" t="s">
        <v>23</v>
      </c>
      <c r="C283" s="3" t="s">
        <v>24</v>
      </c>
      <c r="D283" s="3" t="n">
        <v>1</v>
      </c>
      <c r="E283" s="6" t="n">
        <v>59.99</v>
      </c>
      <c r="F283" s="6" t="n">
        <v>73.5</v>
      </c>
      <c r="G283" s="7" t="n">
        <f aca="false">F283-E283</f>
        <v>13.51</v>
      </c>
      <c r="H283" s="8" t="n">
        <f aca="false">IF(E283=0,0,F283/E283-1)</f>
        <v>0.225204200700117</v>
      </c>
      <c r="I283" s="3" t="s">
        <v>27</v>
      </c>
    </row>
    <row r="284" customFormat="false" ht="15" hidden="false" customHeight="false" outlineLevel="0" collapsed="false">
      <c r="A284" s="3" t="s">
        <v>345</v>
      </c>
      <c r="B284" s="3" t="s">
        <v>23</v>
      </c>
      <c r="C284" s="3" t="s">
        <v>24</v>
      </c>
      <c r="D284" s="3" t="n">
        <v>2</v>
      </c>
      <c r="E284" s="6" t="n">
        <v>116</v>
      </c>
      <c r="F284" s="6" t="n">
        <v>137</v>
      </c>
      <c r="G284" s="7" t="n">
        <f aca="false">F284-E284</f>
        <v>21</v>
      </c>
      <c r="H284" s="8" t="n">
        <f aca="false">IF(E284=0,0,F284/E284-1)</f>
        <v>0.181034482758621</v>
      </c>
      <c r="I284" s="3" t="s">
        <v>247</v>
      </c>
    </row>
    <row r="285" customFormat="false" ht="15" hidden="false" customHeight="false" outlineLevel="0" collapsed="false">
      <c r="A285" s="3" t="s">
        <v>346</v>
      </c>
      <c r="B285" s="3" t="s">
        <v>23</v>
      </c>
      <c r="C285" s="3" t="s">
        <v>179</v>
      </c>
      <c r="D285" s="3" t="n">
        <v>4</v>
      </c>
      <c r="E285" s="6" t="n">
        <v>1000</v>
      </c>
      <c r="F285" s="6" t="n">
        <v>1150</v>
      </c>
      <c r="G285" s="7" t="n">
        <f aca="false">F285-E285</f>
        <v>150</v>
      </c>
      <c r="H285" s="8" t="n">
        <f aca="false">IF(E285=0,0,F285/E285-1)</f>
        <v>0.15</v>
      </c>
      <c r="I285" s="3" t="s">
        <v>347</v>
      </c>
    </row>
    <row r="286" customFormat="false" ht="15" hidden="false" customHeight="false" outlineLevel="0" collapsed="false">
      <c r="A286" s="3" t="s">
        <v>348</v>
      </c>
      <c r="B286" s="3" t="s">
        <v>23</v>
      </c>
      <c r="C286" s="3" t="s">
        <v>24</v>
      </c>
      <c r="D286" s="3" t="n">
        <v>1</v>
      </c>
      <c r="E286" s="6" t="n">
        <v>32.4</v>
      </c>
      <c r="F286" s="6" t="n">
        <v>40</v>
      </c>
      <c r="G286" s="7" t="n">
        <f aca="false">F286-E286</f>
        <v>7.6</v>
      </c>
      <c r="H286" s="8" t="n">
        <f aca="false">IF(E286=0,0,F286/E286-1)</f>
        <v>0.234567901234568</v>
      </c>
      <c r="I286" s="3" t="s">
        <v>27</v>
      </c>
    </row>
    <row r="287" customFormat="false" ht="15" hidden="false" customHeight="false" outlineLevel="0" collapsed="false">
      <c r="A287" s="3" t="s">
        <v>349</v>
      </c>
      <c r="B287" s="3" t="s">
        <v>23</v>
      </c>
      <c r="C287" s="3" t="s">
        <v>24</v>
      </c>
      <c r="D287" s="3" t="n">
        <v>3</v>
      </c>
      <c r="E287" s="6" t="n">
        <v>249.99</v>
      </c>
      <c r="F287" s="6" t="n">
        <v>290</v>
      </c>
      <c r="G287" s="7" t="n">
        <f aca="false">F287-E287</f>
        <v>40.01</v>
      </c>
      <c r="H287" s="8" t="n">
        <f aca="false">IF(E287=0,0,F287/E287-1)</f>
        <v>0.160046401856074</v>
      </c>
      <c r="I287" s="3" t="s">
        <v>38</v>
      </c>
    </row>
    <row r="288" customFormat="false" ht="15" hidden="false" customHeight="false" outlineLevel="0" collapsed="false">
      <c r="A288" s="3" t="s">
        <v>350</v>
      </c>
      <c r="B288" s="3" t="s">
        <v>23</v>
      </c>
      <c r="C288" s="3" t="s">
        <v>24</v>
      </c>
      <c r="D288" s="3" t="n">
        <v>1</v>
      </c>
      <c r="E288" s="6" t="n">
        <v>26.33</v>
      </c>
      <c r="F288" s="6" t="n">
        <v>32.5</v>
      </c>
      <c r="G288" s="7" t="n">
        <f aca="false">F288-E288</f>
        <v>6.17</v>
      </c>
      <c r="H288" s="8" t="n">
        <f aca="false">IF(E288=0,0,F288/E288-1)</f>
        <v>0.234333459931637</v>
      </c>
      <c r="I288" s="3" t="s">
        <v>134</v>
      </c>
    </row>
    <row r="289" customFormat="false" ht="15" hidden="false" customHeight="false" outlineLevel="0" collapsed="false">
      <c r="A289" s="3" t="s">
        <v>351</v>
      </c>
      <c r="B289" s="3" t="s">
        <v>23</v>
      </c>
      <c r="C289" s="3" t="s">
        <v>24</v>
      </c>
      <c r="D289" s="3" t="n">
        <v>3</v>
      </c>
      <c r="E289" s="6" t="n">
        <v>220</v>
      </c>
      <c r="F289" s="6" t="n">
        <v>256</v>
      </c>
      <c r="G289" s="7" t="n">
        <f aca="false">F289-E289</f>
        <v>36</v>
      </c>
      <c r="H289" s="8" t="n">
        <f aca="false">IF(E289=0,0,F289/E289-1)</f>
        <v>0.163636363636364</v>
      </c>
      <c r="I289" s="3" t="s">
        <v>38</v>
      </c>
    </row>
    <row r="290" customFormat="false" ht="15" hidden="false" customHeight="false" outlineLevel="0" collapsed="false">
      <c r="A290" s="3" t="s">
        <v>352</v>
      </c>
      <c r="B290" s="3" t="s">
        <v>23</v>
      </c>
      <c r="C290" s="3" t="s">
        <v>24</v>
      </c>
      <c r="D290" s="3" t="n">
        <v>1</v>
      </c>
      <c r="E290" s="6" t="n">
        <v>30.45</v>
      </c>
      <c r="F290" s="6" t="n">
        <v>37.5</v>
      </c>
      <c r="G290" s="7" t="n">
        <f aca="false">F290-E290</f>
        <v>7.05</v>
      </c>
      <c r="H290" s="8" t="n">
        <f aca="false">IF(E290=0,0,F290/E290-1)</f>
        <v>0.231527093596059</v>
      </c>
      <c r="I290" s="3" t="s">
        <v>27</v>
      </c>
    </row>
    <row r="291" customFormat="false" ht="15" hidden="false" customHeight="false" outlineLevel="0" collapsed="false">
      <c r="A291" s="3" t="s">
        <v>353</v>
      </c>
      <c r="B291" s="3" t="s">
        <v>23</v>
      </c>
      <c r="C291" s="3" t="s">
        <v>24</v>
      </c>
      <c r="D291" s="3" t="n">
        <v>1</v>
      </c>
      <c r="E291" s="6" t="n">
        <v>69</v>
      </c>
      <c r="F291" s="6" t="n">
        <v>84.5</v>
      </c>
      <c r="G291" s="7" t="n">
        <f aca="false">F291-E291</f>
        <v>15.5</v>
      </c>
      <c r="H291" s="8" t="n">
        <f aca="false">IF(E291=0,0,F291/E291-1)</f>
        <v>0.22463768115942</v>
      </c>
      <c r="I291" s="3" t="s">
        <v>27</v>
      </c>
    </row>
    <row r="292" customFormat="false" ht="15" hidden="false" customHeight="false" outlineLevel="0" collapsed="false">
      <c r="A292" s="3" t="s">
        <v>354</v>
      </c>
      <c r="B292" s="3" t="s">
        <v>23</v>
      </c>
      <c r="C292" s="3" t="s">
        <v>24</v>
      </c>
      <c r="D292" s="3" t="n">
        <v>1</v>
      </c>
      <c r="E292" s="6" t="n">
        <v>45</v>
      </c>
      <c r="F292" s="6" t="n">
        <v>55</v>
      </c>
      <c r="G292" s="7" t="n">
        <f aca="false">F292-E292</f>
        <v>10</v>
      </c>
      <c r="H292" s="8" t="n">
        <f aca="false">IF(E292=0,0,F292/E292-1)</f>
        <v>0.222222222222222</v>
      </c>
      <c r="I292" s="3" t="s">
        <v>27</v>
      </c>
    </row>
    <row r="293" customFormat="false" ht="15" hidden="false" customHeight="false" outlineLevel="0" collapsed="false">
      <c r="A293" s="3" t="s">
        <v>355</v>
      </c>
      <c r="B293" s="3" t="s">
        <v>23</v>
      </c>
      <c r="C293" s="3" t="s">
        <v>24</v>
      </c>
      <c r="D293" s="3" t="n">
        <v>3</v>
      </c>
      <c r="E293" s="6" t="n">
        <v>214.46</v>
      </c>
      <c r="F293" s="6" t="n">
        <v>249</v>
      </c>
      <c r="G293" s="7" t="n">
        <f aca="false">F293-E293</f>
        <v>34.54</v>
      </c>
      <c r="H293" s="8" t="n">
        <f aca="false">IF(E293=0,0,F293/E293-1)</f>
        <v>0.161055674717896</v>
      </c>
      <c r="I293" s="3" t="s">
        <v>38</v>
      </c>
    </row>
    <row r="294" customFormat="false" ht="15" hidden="false" customHeight="false" outlineLevel="0" collapsed="false">
      <c r="A294" s="3" t="s">
        <v>356</v>
      </c>
      <c r="B294" s="3" t="s">
        <v>23</v>
      </c>
      <c r="C294" s="3" t="s">
        <v>24</v>
      </c>
      <c r="D294" s="3" t="n">
        <v>1</v>
      </c>
      <c r="E294" s="6" t="n">
        <v>161.99</v>
      </c>
      <c r="F294" s="6" t="n">
        <v>198</v>
      </c>
      <c r="G294" s="7" t="n">
        <f aca="false">F294-E294</f>
        <v>36.01</v>
      </c>
      <c r="H294" s="8" t="n">
        <f aca="false">IF(E294=0,0,F294/E294-1)</f>
        <v>0.222297672695845</v>
      </c>
      <c r="I294" s="3" t="s">
        <v>27</v>
      </c>
    </row>
    <row r="295" customFormat="false" ht="15" hidden="false" customHeight="false" outlineLevel="0" collapsed="false">
      <c r="A295" s="3" t="s">
        <v>357</v>
      </c>
      <c r="B295" s="3" t="s">
        <v>23</v>
      </c>
      <c r="C295" s="3" t="s">
        <v>24</v>
      </c>
      <c r="D295" s="3" t="n">
        <v>3</v>
      </c>
      <c r="E295" s="6" t="n">
        <v>249.99</v>
      </c>
      <c r="F295" s="6" t="n">
        <v>290</v>
      </c>
      <c r="G295" s="7" t="n">
        <f aca="false">F295-E295</f>
        <v>40.01</v>
      </c>
      <c r="H295" s="8" t="n">
        <f aca="false">IF(E295=0,0,F295/E295-1)</f>
        <v>0.160046401856074</v>
      </c>
      <c r="I295" s="3" t="s">
        <v>38</v>
      </c>
    </row>
    <row r="296" customFormat="false" ht="15" hidden="false" customHeight="false" outlineLevel="0" collapsed="false">
      <c r="A296" s="3" t="s">
        <v>358</v>
      </c>
      <c r="B296" s="3" t="s">
        <v>23</v>
      </c>
      <c r="C296" s="3" t="s">
        <v>24</v>
      </c>
      <c r="D296" s="3" t="n">
        <v>1</v>
      </c>
      <c r="E296" s="6" t="n">
        <v>139.99</v>
      </c>
      <c r="F296" s="6" t="n">
        <v>171</v>
      </c>
      <c r="G296" s="7" t="n">
        <f aca="false">F296-E296</f>
        <v>31.01</v>
      </c>
      <c r="H296" s="8" t="n">
        <f aca="false">IF(E296=0,0,F296/E296-1)</f>
        <v>0.221515822558754</v>
      </c>
      <c r="I296" s="3" t="s">
        <v>27</v>
      </c>
    </row>
    <row r="297" customFormat="false" ht="15" hidden="false" customHeight="false" outlineLevel="0" collapsed="false">
      <c r="A297" s="3" t="s">
        <v>359</v>
      </c>
      <c r="B297" s="3" t="s">
        <v>23</v>
      </c>
      <c r="C297" s="3" t="s">
        <v>24</v>
      </c>
      <c r="D297" s="3" t="n">
        <v>1</v>
      </c>
      <c r="E297" s="6" t="n">
        <v>29.99</v>
      </c>
      <c r="F297" s="6" t="n">
        <v>37</v>
      </c>
      <c r="G297" s="7" t="n">
        <f aca="false">F297-E297</f>
        <v>7.01</v>
      </c>
      <c r="H297" s="8" t="n">
        <f aca="false">IF(E297=0,0,F297/E297-1)</f>
        <v>0.233744581527176</v>
      </c>
      <c r="I297" s="3" t="s">
        <v>27</v>
      </c>
    </row>
    <row r="298" customFormat="false" ht="15" hidden="false" customHeight="false" outlineLevel="0" collapsed="false">
      <c r="A298" s="3" t="s">
        <v>360</v>
      </c>
      <c r="B298" s="3" t="s">
        <v>23</v>
      </c>
      <c r="C298" s="3" t="s">
        <v>24</v>
      </c>
      <c r="D298" s="3" t="n">
        <v>1</v>
      </c>
      <c r="E298" s="6" t="n">
        <v>39.99</v>
      </c>
      <c r="F298" s="6" t="n">
        <v>49</v>
      </c>
      <c r="G298" s="7" t="n">
        <f aca="false">F298-E298</f>
        <v>9.01</v>
      </c>
      <c r="H298" s="8" t="n">
        <f aca="false">IF(E298=0,0,F298/E298-1)</f>
        <v>0.225306326581645</v>
      </c>
      <c r="I298" s="3" t="s">
        <v>27</v>
      </c>
    </row>
    <row r="299" customFormat="false" ht="15" hidden="false" customHeight="false" outlineLevel="0" collapsed="false">
      <c r="A299" s="3" t="s">
        <v>361</v>
      </c>
      <c r="B299" s="3" t="s">
        <v>23</v>
      </c>
      <c r="C299" s="3" t="s">
        <v>24</v>
      </c>
      <c r="D299" s="3" t="n">
        <v>1</v>
      </c>
      <c r="E299" s="6" t="n">
        <v>39.99</v>
      </c>
      <c r="F299" s="6" t="n">
        <v>49</v>
      </c>
      <c r="G299" s="7" t="n">
        <f aca="false">F299-E299</f>
        <v>9.01</v>
      </c>
      <c r="H299" s="8" t="n">
        <f aca="false">IF(E299=0,0,F299/E299-1)</f>
        <v>0.225306326581645</v>
      </c>
      <c r="I299" s="3" t="s">
        <v>27</v>
      </c>
    </row>
    <row r="300" customFormat="false" ht="15" hidden="false" customHeight="false" outlineLevel="0" collapsed="false">
      <c r="A300" s="3" t="s">
        <v>362</v>
      </c>
      <c r="B300" s="3" t="s">
        <v>23</v>
      </c>
      <c r="C300" s="3" t="s">
        <v>24</v>
      </c>
      <c r="D300" s="3" t="n">
        <v>1</v>
      </c>
      <c r="E300" s="6" t="n">
        <v>65</v>
      </c>
      <c r="F300" s="6" t="n">
        <v>79.5</v>
      </c>
      <c r="G300" s="7" t="n">
        <f aca="false">F300-E300</f>
        <v>14.5</v>
      </c>
      <c r="H300" s="8" t="n">
        <f aca="false">IF(E300=0,0,F300/E300-1)</f>
        <v>0.223076923076923</v>
      </c>
      <c r="I300" s="3" t="s">
        <v>27</v>
      </c>
    </row>
    <row r="301" customFormat="false" ht="15" hidden="false" customHeight="false" outlineLevel="0" collapsed="false">
      <c r="A301" s="3" t="s">
        <v>363</v>
      </c>
      <c r="B301" s="3" t="s">
        <v>23</v>
      </c>
      <c r="C301" s="3" t="s">
        <v>24</v>
      </c>
      <c r="D301" s="3" t="n">
        <v>1</v>
      </c>
      <c r="E301" s="6" t="n">
        <v>19</v>
      </c>
      <c r="F301" s="6" t="n">
        <v>23.5</v>
      </c>
      <c r="G301" s="7" t="n">
        <f aca="false">F301-E301</f>
        <v>4.5</v>
      </c>
      <c r="H301" s="8" t="n">
        <f aca="false">IF(E301=0,0,F301/E301-1)</f>
        <v>0.236842105263158</v>
      </c>
      <c r="I301" s="3" t="s">
        <v>27</v>
      </c>
    </row>
    <row r="302" customFormat="false" ht="15" hidden="false" customHeight="false" outlineLevel="0" collapsed="false">
      <c r="A302" s="3" t="s">
        <v>364</v>
      </c>
      <c r="B302" s="3" t="s">
        <v>23</v>
      </c>
      <c r="C302" s="3" t="s">
        <v>24</v>
      </c>
      <c r="D302" s="3" t="n">
        <v>1</v>
      </c>
      <c r="E302" s="6" t="n">
        <v>6.41</v>
      </c>
      <c r="F302" s="6" t="n">
        <v>8</v>
      </c>
      <c r="G302" s="7" t="n">
        <f aca="false">F302-E302</f>
        <v>1.59</v>
      </c>
      <c r="H302" s="8" t="n">
        <f aca="false">IF(E302=0,0,F302/E302-1)</f>
        <v>0.24804992199688</v>
      </c>
      <c r="I302" s="3" t="s">
        <v>27</v>
      </c>
    </row>
    <row r="303" customFormat="false" ht="15" hidden="false" customHeight="false" outlineLevel="0" collapsed="false">
      <c r="A303" s="3" t="s">
        <v>365</v>
      </c>
      <c r="B303" s="3" t="s">
        <v>23</v>
      </c>
      <c r="C303" s="3" t="s">
        <v>24</v>
      </c>
      <c r="D303" s="3" t="n">
        <v>3</v>
      </c>
      <c r="E303" s="6" t="n">
        <v>219.99</v>
      </c>
      <c r="F303" s="6" t="n">
        <v>256</v>
      </c>
      <c r="G303" s="7" t="n">
        <f aca="false">F303-E303</f>
        <v>36.01</v>
      </c>
      <c r="H303" s="8" t="n">
        <f aca="false">IF(E303=0,0,F303/E303-1)</f>
        <v>0.163689258602664</v>
      </c>
      <c r="I303" s="3" t="s">
        <v>38</v>
      </c>
    </row>
    <row r="304" customFormat="false" ht="15" hidden="false" customHeight="false" outlineLevel="0" collapsed="false">
      <c r="A304" s="3" t="s">
        <v>366</v>
      </c>
      <c r="B304" s="3" t="s">
        <v>23</v>
      </c>
      <c r="C304" s="3" t="s">
        <v>24</v>
      </c>
      <c r="D304" s="3" t="n">
        <v>1</v>
      </c>
      <c r="E304" s="6" t="n">
        <v>99.99</v>
      </c>
      <c r="F304" s="6" t="n">
        <v>122</v>
      </c>
      <c r="G304" s="7" t="n">
        <f aca="false">F304-E304</f>
        <v>22.01</v>
      </c>
      <c r="H304" s="8" t="n">
        <f aca="false">IF(E304=0,0,F304/E304-1)</f>
        <v>0.22012201220122</v>
      </c>
      <c r="I304" s="3" t="s">
        <v>27</v>
      </c>
    </row>
    <row r="305" customFormat="false" ht="15" hidden="false" customHeight="false" outlineLevel="0" collapsed="false">
      <c r="A305" s="3" t="s">
        <v>367</v>
      </c>
      <c r="B305" s="3" t="s">
        <v>23</v>
      </c>
      <c r="C305" s="3" t="s">
        <v>24</v>
      </c>
      <c r="D305" s="3" t="n">
        <v>5</v>
      </c>
      <c r="E305" s="6" t="n">
        <v>199.99</v>
      </c>
      <c r="F305" s="6" t="n">
        <v>204</v>
      </c>
      <c r="G305" s="7" t="n">
        <f aca="false">F305-E305</f>
        <v>4.00999999999999</v>
      </c>
      <c r="H305" s="8" t="n">
        <f aca="false">IF(E305=0,0,F305/E305-1)</f>
        <v>0.0200510025501275</v>
      </c>
      <c r="I305" s="3" t="s">
        <v>368</v>
      </c>
    </row>
    <row r="306" customFormat="false" ht="15" hidden="false" customHeight="false" outlineLevel="0" collapsed="false">
      <c r="A306" s="3" t="s">
        <v>369</v>
      </c>
      <c r="B306" s="3" t="s">
        <v>23</v>
      </c>
      <c r="C306" s="3" t="s">
        <v>24</v>
      </c>
      <c r="D306" s="3" t="n">
        <v>1</v>
      </c>
      <c r="E306" s="6" t="n">
        <v>39</v>
      </c>
      <c r="F306" s="6" t="n">
        <v>48</v>
      </c>
      <c r="G306" s="7" t="n">
        <f aca="false">F306-E306</f>
        <v>9</v>
      </c>
      <c r="H306" s="8" t="n">
        <f aca="false">IF(E306=0,0,F306/E306-1)</f>
        <v>0.230769230769231</v>
      </c>
      <c r="I306" s="3" t="s">
        <v>134</v>
      </c>
    </row>
    <row r="307" customFormat="false" ht="15" hidden="false" customHeight="false" outlineLevel="0" collapsed="false">
      <c r="A307" s="3" t="s">
        <v>370</v>
      </c>
      <c r="B307" s="3" t="s">
        <v>23</v>
      </c>
      <c r="C307" s="3" t="s">
        <v>24</v>
      </c>
      <c r="D307" s="3" t="n">
        <v>1</v>
      </c>
      <c r="E307" s="6" t="n">
        <v>26.59</v>
      </c>
      <c r="F307" s="6" t="n">
        <v>32.5</v>
      </c>
      <c r="G307" s="7" t="n">
        <f aca="false">F307-E307</f>
        <v>5.91</v>
      </c>
      <c r="H307" s="8" t="n">
        <f aca="false">IF(E307=0,0,F307/E307-1)</f>
        <v>0.22226400902595</v>
      </c>
      <c r="I307" s="3" t="s">
        <v>27</v>
      </c>
    </row>
    <row r="308" customFormat="false" ht="15" hidden="false" customHeight="false" outlineLevel="0" collapsed="false">
      <c r="A308" s="3" t="s">
        <v>371</v>
      </c>
      <c r="B308" s="3" t="s">
        <v>23</v>
      </c>
      <c r="C308" s="3" t="s">
        <v>24</v>
      </c>
      <c r="D308" s="3" t="n">
        <v>3</v>
      </c>
      <c r="E308" s="6" t="n">
        <v>700</v>
      </c>
      <c r="F308" s="6" t="n">
        <v>812</v>
      </c>
      <c r="G308" s="7" t="n">
        <f aca="false">F308-E308</f>
        <v>112</v>
      </c>
      <c r="H308" s="8" t="n">
        <f aca="false">IF(E308=0,0,F308/E308-1)</f>
        <v>0.16</v>
      </c>
      <c r="I308" s="3" t="s">
        <v>38</v>
      </c>
    </row>
    <row r="309" customFormat="false" ht="15" hidden="false" customHeight="false" outlineLevel="0" collapsed="false">
      <c r="A309" s="3" t="s">
        <v>372</v>
      </c>
      <c r="B309" s="3" t="s">
        <v>23</v>
      </c>
      <c r="C309" s="3" t="s">
        <v>24</v>
      </c>
      <c r="D309" s="3" t="n">
        <v>3</v>
      </c>
      <c r="E309" s="6" t="n">
        <v>239.99</v>
      </c>
      <c r="F309" s="6" t="n">
        <v>279</v>
      </c>
      <c r="G309" s="7" t="n">
        <f aca="false">F309-E309</f>
        <v>39.01</v>
      </c>
      <c r="H309" s="8" t="n">
        <f aca="false">IF(E309=0,0,F309/E309-1)</f>
        <v>0.162548439518313</v>
      </c>
      <c r="I309" s="3" t="s">
        <v>38</v>
      </c>
    </row>
    <row r="310" customFormat="false" ht="15" hidden="false" customHeight="false" outlineLevel="0" collapsed="false">
      <c r="A310" s="3" t="s">
        <v>373</v>
      </c>
      <c r="B310" s="3" t="s">
        <v>23</v>
      </c>
      <c r="C310" s="3" t="s">
        <v>24</v>
      </c>
      <c r="D310" s="3" t="n">
        <v>1</v>
      </c>
      <c r="E310" s="6" t="n">
        <v>29.99</v>
      </c>
      <c r="F310" s="6" t="n">
        <v>37</v>
      </c>
      <c r="G310" s="7" t="n">
        <f aca="false">F310-E310</f>
        <v>7.01</v>
      </c>
      <c r="H310" s="8" t="n">
        <f aca="false">IF(E310=0,0,F310/E310-1)</f>
        <v>0.233744581527176</v>
      </c>
      <c r="I310" s="3" t="s">
        <v>27</v>
      </c>
    </row>
    <row r="311" customFormat="false" ht="15" hidden="false" customHeight="false" outlineLevel="0" collapsed="false">
      <c r="A311" s="3" t="s">
        <v>374</v>
      </c>
      <c r="B311" s="3" t="s">
        <v>23</v>
      </c>
      <c r="C311" s="3" t="s">
        <v>24</v>
      </c>
      <c r="D311" s="3" t="n">
        <v>2</v>
      </c>
      <c r="E311" s="6" t="n">
        <v>500</v>
      </c>
      <c r="F311" s="6" t="n">
        <v>590</v>
      </c>
      <c r="G311" s="7" t="n">
        <f aca="false">F311-E311</f>
        <v>90</v>
      </c>
      <c r="H311" s="8" t="n">
        <f aca="false">IF(E311=0,0,F311/E311-1)</f>
        <v>0.18</v>
      </c>
      <c r="I311" s="3" t="s">
        <v>165</v>
      </c>
    </row>
    <row r="312" customFormat="false" ht="15" hidden="false" customHeight="false" outlineLevel="0" collapsed="false">
      <c r="A312" s="3" t="s">
        <v>375</v>
      </c>
      <c r="B312" s="3" t="s">
        <v>23</v>
      </c>
      <c r="C312" s="3" t="s">
        <v>24</v>
      </c>
      <c r="D312" s="3" t="n">
        <v>1</v>
      </c>
      <c r="E312" s="6" t="n">
        <v>34.99</v>
      </c>
      <c r="F312" s="6" t="n">
        <v>43</v>
      </c>
      <c r="G312" s="7" t="n">
        <f aca="false">F312-E312</f>
        <v>8.01</v>
      </c>
      <c r="H312" s="8" t="n">
        <f aca="false">IF(E312=0,0,F312/E312-1)</f>
        <v>0.2289225492998</v>
      </c>
      <c r="I312" s="3" t="s">
        <v>27</v>
      </c>
    </row>
    <row r="313" customFormat="false" ht="15" hidden="false" customHeight="false" outlineLevel="0" collapsed="false">
      <c r="A313" s="3" t="s">
        <v>376</v>
      </c>
      <c r="B313" s="3" t="s">
        <v>23</v>
      </c>
      <c r="C313" s="3" t="s">
        <v>24</v>
      </c>
      <c r="D313" s="3" t="n">
        <v>1</v>
      </c>
      <c r="E313" s="6" t="n">
        <v>86.53</v>
      </c>
      <c r="F313" s="6" t="n">
        <v>106</v>
      </c>
      <c r="G313" s="7" t="n">
        <f aca="false">F313-E313</f>
        <v>19.47</v>
      </c>
      <c r="H313" s="8" t="n">
        <f aca="false">IF(E313=0,0,F313/E313-1)</f>
        <v>0.225008667514157</v>
      </c>
      <c r="I313" s="3" t="s">
        <v>27</v>
      </c>
    </row>
    <row r="314" customFormat="false" ht="15" hidden="false" customHeight="false" outlineLevel="0" collapsed="false">
      <c r="A314" s="3" t="s">
        <v>377</v>
      </c>
      <c r="B314" s="3" t="s">
        <v>23</v>
      </c>
      <c r="C314" s="3" t="s">
        <v>24</v>
      </c>
      <c r="D314" s="3" t="n">
        <v>1</v>
      </c>
      <c r="E314" s="6" t="n">
        <v>4.26</v>
      </c>
      <c r="F314" s="6" t="n">
        <v>5.5</v>
      </c>
      <c r="G314" s="7" t="n">
        <f aca="false">F314-E314</f>
        <v>1.24</v>
      </c>
      <c r="H314" s="8" t="n">
        <f aca="false">IF(E314=0,0,F314/E314-1)</f>
        <v>0.291079812206573</v>
      </c>
      <c r="I314" s="3" t="s">
        <v>210</v>
      </c>
    </row>
    <row r="315" customFormat="false" ht="15" hidden="false" customHeight="false" outlineLevel="0" collapsed="false">
      <c r="A315" s="3" t="s">
        <v>378</v>
      </c>
      <c r="B315" s="3" t="s">
        <v>23</v>
      </c>
      <c r="C315" s="3" t="s">
        <v>24</v>
      </c>
      <c r="D315" s="3" t="n">
        <v>1</v>
      </c>
      <c r="E315" s="6" t="n">
        <v>19</v>
      </c>
      <c r="F315" s="6" t="n">
        <v>23.5</v>
      </c>
      <c r="G315" s="7" t="n">
        <f aca="false">F315-E315</f>
        <v>4.5</v>
      </c>
      <c r="H315" s="8" t="n">
        <f aca="false">IF(E315=0,0,F315/E315-1)</f>
        <v>0.236842105263158</v>
      </c>
      <c r="I315" s="3" t="s">
        <v>27</v>
      </c>
    </row>
    <row r="316" customFormat="false" ht="15" hidden="false" customHeight="false" outlineLevel="0" collapsed="false">
      <c r="A316" s="3" t="s">
        <v>379</v>
      </c>
      <c r="B316" s="3" t="s">
        <v>23</v>
      </c>
      <c r="C316" s="3" t="s">
        <v>24</v>
      </c>
      <c r="D316" s="3" t="n">
        <v>1</v>
      </c>
      <c r="E316" s="6" t="n">
        <v>174.99</v>
      </c>
      <c r="F316" s="6" t="n">
        <v>214</v>
      </c>
      <c r="G316" s="7" t="n">
        <f aca="false">F316-E316</f>
        <v>39.01</v>
      </c>
      <c r="H316" s="8" t="n">
        <f aca="false">IF(E316=0,0,F316/E316-1)</f>
        <v>0.222927024401394</v>
      </c>
      <c r="I316" s="3" t="s">
        <v>27</v>
      </c>
    </row>
    <row r="317" customFormat="false" ht="15" hidden="false" customHeight="false" outlineLevel="0" collapsed="false">
      <c r="A317" s="3" t="s">
        <v>380</v>
      </c>
      <c r="B317" s="3" t="s">
        <v>23</v>
      </c>
      <c r="C317" s="3" t="s">
        <v>24</v>
      </c>
      <c r="D317" s="3" t="n">
        <v>1</v>
      </c>
      <c r="E317" s="6" t="n">
        <v>79.99</v>
      </c>
      <c r="F317" s="6" t="n">
        <v>98</v>
      </c>
      <c r="G317" s="7" t="n">
        <f aca="false">F317-E317</f>
        <v>18.01</v>
      </c>
      <c r="H317" s="8" t="n">
        <f aca="false">IF(E317=0,0,F317/E317-1)</f>
        <v>0.225153144143018</v>
      </c>
      <c r="I317" s="3" t="s">
        <v>27</v>
      </c>
    </row>
    <row r="318" customFormat="false" ht="15" hidden="false" customHeight="false" outlineLevel="0" collapsed="false">
      <c r="A318" s="3" t="s">
        <v>381</v>
      </c>
      <c r="B318" s="3" t="s">
        <v>23</v>
      </c>
      <c r="C318" s="3" t="s">
        <v>24</v>
      </c>
      <c r="D318" s="3" t="n">
        <v>3</v>
      </c>
      <c r="E318" s="6" t="n">
        <v>225.57</v>
      </c>
      <c r="F318" s="6" t="n">
        <v>262</v>
      </c>
      <c r="G318" s="7" t="n">
        <f aca="false">F318-E318</f>
        <v>36.43</v>
      </c>
      <c r="H318" s="8" t="n">
        <f aca="false">IF(E318=0,0,F318/E318-1)</f>
        <v>0.161501972780068</v>
      </c>
      <c r="I318" s="3" t="s">
        <v>38</v>
      </c>
    </row>
    <row r="319" customFormat="false" ht="15" hidden="false" customHeight="false" outlineLevel="0" collapsed="false">
      <c r="A319" s="3" t="s">
        <v>382</v>
      </c>
      <c r="B319" s="3" t="s">
        <v>23</v>
      </c>
      <c r="C319" s="3" t="s">
        <v>24</v>
      </c>
      <c r="D319" s="3" t="n">
        <v>1</v>
      </c>
      <c r="E319" s="6" t="n">
        <v>4.26</v>
      </c>
      <c r="F319" s="6" t="n">
        <v>5.5</v>
      </c>
      <c r="G319" s="7" t="n">
        <f aca="false">F319-E319</f>
        <v>1.24</v>
      </c>
      <c r="H319" s="8" t="n">
        <f aca="false">IF(E319=0,0,F319/E319-1)</f>
        <v>0.291079812206573</v>
      </c>
      <c r="I319" s="3" t="s">
        <v>210</v>
      </c>
    </row>
    <row r="320" customFormat="false" ht="15" hidden="false" customHeight="false" outlineLevel="0" collapsed="false">
      <c r="A320" s="3" t="s">
        <v>383</v>
      </c>
      <c r="B320" s="3" t="s">
        <v>23</v>
      </c>
      <c r="C320" s="3" t="s">
        <v>24</v>
      </c>
      <c r="D320" s="3" t="n">
        <v>1</v>
      </c>
      <c r="E320" s="6" t="n">
        <v>84.99</v>
      </c>
      <c r="F320" s="6" t="n">
        <v>104</v>
      </c>
      <c r="G320" s="7" t="n">
        <f aca="false">F320-E320</f>
        <v>19.01</v>
      </c>
      <c r="H320" s="8" t="n">
        <f aca="false">IF(E320=0,0,F320/E320-1)</f>
        <v>0.22367337333804</v>
      </c>
      <c r="I320" s="3" t="s">
        <v>27</v>
      </c>
    </row>
    <row r="321" customFormat="false" ht="15" hidden="false" customHeight="false" outlineLevel="0" collapsed="false">
      <c r="A321" s="3" t="s">
        <v>384</v>
      </c>
      <c r="B321" s="3" t="s">
        <v>23</v>
      </c>
      <c r="C321" s="3" t="s">
        <v>24</v>
      </c>
      <c r="D321" s="3" t="n">
        <v>1</v>
      </c>
      <c r="E321" s="6" t="n">
        <v>19</v>
      </c>
      <c r="F321" s="6" t="n">
        <v>23.5</v>
      </c>
      <c r="G321" s="7" t="n">
        <f aca="false">F321-E321</f>
        <v>4.5</v>
      </c>
      <c r="H321" s="8" t="n">
        <f aca="false">IF(E321=0,0,F321/E321-1)</f>
        <v>0.236842105263158</v>
      </c>
      <c r="I321" s="3" t="s">
        <v>27</v>
      </c>
    </row>
    <row r="322" customFormat="false" ht="15" hidden="false" customHeight="false" outlineLevel="0" collapsed="false">
      <c r="A322" s="3" t="s">
        <v>385</v>
      </c>
      <c r="B322" s="3" t="s">
        <v>23</v>
      </c>
      <c r="C322" s="3" t="s">
        <v>24</v>
      </c>
      <c r="D322" s="3" t="n">
        <v>1</v>
      </c>
      <c r="E322" s="6" t="n">
        <v>84.99</v>
      </c>
      <c r="F322" s="6" t="n">
        <v>104</v>
      </c>
      <c r="G322" s="7" t="n">
        <f aca="false">F322-E322</f>
        <v>19.01</v>
      </c>
      <c r="H322" s="8" t="n">
        <f aca="false">IF(E322=0,0,F322/E322-1)</f>
        <v>0.22367337333804</v>
      </c>
      <c r="I322" s="3" t="s">
        <v>27</v>
      </c>
    </row>
    <row r="323" customFormat="false" ht="15" hidden="false" customHeight="false" outlineLevel="0" collapsed="false">
      <c r="A323" s="3" t="s">
        <v>386</v>
      </c>
      <c r="B323" s="3" t="s">
        <v>23</v>
      </c>
      <c r="C323" s="3" t="s">
        <v>24</v>
      </c>
      <c r="D323" s="3" t="n">
        <v>1</v>
      </c>
      <c r="E323" s="6" t="n">
        <v>19.99</v>
      </c>
      <c r="F323" s="6" t="n">
        <v>24.5</v>
      </c>
      <c r="G323" s="7" t="n">
        <f aca="false">F323-E323</f>
        <v>4.51</v>
      </c>
      <c r="H323" s="8" t="n">
        <f aca="false">IF(E323=0,0,F323/E323-1)</f>
        <v>0.225612806403202</v>
      </c>
      <c r="I323" s="3" t="s">
        <v>27</v>
      </c>
    </row>
    <row r="324" customFormat="false" ht="15" hidden="false" customHeight="false" outlineLevel="0" collapsed="false">
      <c r="A324" s="3" t="s">
        <v>387</v>
      </c>
      <c r="B324" s="3" t="s">
        <v>23</v>
      </c>
      <c r="C324" s="3" t="s">
        <v>24</v>
      </c>
      <c r="D324" s="3" t="n">
        <v>1</v>
      </c>
      <c r="E324" s="6" t="n">
        <v>8.01</v>
      </c>
      <c r="F324" s="6" t="n">
        <v>10</v>
      </c>
      <c r="G324" s="7" t="n">
        <f aca="false">F324-E324</f>
        <v>1.99</v>
      </c>
      <c r="H324" s="8" t="n">
        <f aca="false">IF(E324=0,0,F324/E324-1)</f>
        <v>0.248439450686642</v>
      </c>
      <c r="I324" s="3" t="s">
        <v>27</v>
      </c>
    </row>
    <row r="325" customFormat="false" ht="15" hidden="false" customHeight="false" outlineLevel="0" collapsed="false">
      <c r="A325" s="3" t="s">
        <v>388</v>
      </c>
      <c r="B325" s="3" t="s">
        <v>23</v>
      </c>
      <c r="C325" s="3" t="s">
        <v>24</v>
      </c>
      <c r="D325" s="3" t="n">
        <v>2</v>
      </c>
      <c r="E325" s="6" t="n">
        <v>99.99</v>
      </c>
      <c r="F325" s="6" t="n">
        <v>118</v>
      </c>
      <c r="G325" s="7" t="n">
        <f aca="false">F325-E325</f>
        <v>18.01</v>
      </c>
      <c r="H325" s="8" t="n">
        <f aca="false">IF(E325=0,0,F325/E325-1)</f>
        <v>0.18011801180118</v>
      </c>
      <c r="I325" s="3" t="s">
        <v>101</v>
      </c>
    </row>
    <row r="326" customFormat="false" ht="15" hidden="false" customHeight="false" outlineLevel="0" collapsed="false">
      <c r="A326" s="3" t="s">
        <v>389</v>
      </c>
      <c r="B326" s="3" t="s">
        <v>23</v>
      </c>
      <c r="C326" s="3" t="s">
        <v>24</v>
      </c>
      <c r="D326" s="3" t="n">
        <v>1</v>
      </c>
      <c r="E326" s="6" t="n">
        <v>194</v>
      </c>
      <c r="F326" s="6" t="n">
        <v>237</v>
      </c>
      <c r="G326" s="7" t="n">
        <f aca="false">F326-E326</f>
        <v>43</v>
      </c>
      <c r="H326" s="8" t="n">
        <f aca="false">IF(E326=0,0,F326/E326-1)</f>
        <v>0.221649484536083</v>
      </c>
      <c r="I326" s="3" t="s">
        <v>27</v>
      </c>
    </row>
    <row r="327" customFormat="false" ht="15" hidden="false" customHeight="false" outlineLevel="0" collapsed="false">
      <c r="A327" s="3" t="s">
        <v>390</v>
      </c>
      <c r="B327" s="3" t="s">
        <v>23</v>
      </c>
      <c r="C327" s="3" t="s">
        <v>24</v>
      </c>
      <c r="D327" s="3" t="n">
        <v>1</v>
      </c>
      <c r="E327" s="6" t="n">
        <v>79.99</v>
      </c>
      <c r="F327" s="6" t="n">
        <v>98</v>
      </c>
      <c r="G327" s="7" t="n">
        <f aca="false">F327-E327</f>
        <v>18.01</v>
      </c>
      <c r="H327" s="8" t="n">
        <f aca="false">IF(E327=0,0,F327/E327-1)</f>
        <v>0.225153144143018</v>
      </c>
      <c r="I327" s="3" t="s">
        <v>27</v>
      </c>
    </row>
    <row r="328" customFormat="false" ht="15" hidden="false" customHeight="false" outlineLevel="0" collapsed="false">
      <c r="A328" s="3" t="s">
        <v>391</v>
      </c>
      <c r="B328" s="3" t="s">
        <v>23</v>
      </c>
      <c r="C328" s="3" t="s">
        <v>24</v>
      </c>
      <c r="D328" s="3" t="n">
        <v>1</v>
      </c>
      <c r="E328" s="6" t="n">
        <v>16.99</v>
      </c>
      <c r="F328" s="6" t="n">
        <v>21</v>
      </c>
      <c r="G328" s="7" t="n">
        <f aca="false">F328-E328</f>
        <v>4.01</v>
      </c>
      <c r="H328" s="8" t="n">
        <f aca="false">IF(E328=0,0,F328/E328-1)</f>
        <v>0.236021188934668</v>
      </c>
      <c r="I328" s="3" t="s">
        <v>27</v>
      </c>
    </row>
    <row r="329" customFormat="false" ht="15" hidden="false" customHeight="false" outlineLevel="0" collapsed="false">
      <c r="A329" s="3" t="s">
        <v>392</v>
      </c>
      <c r="B329" s="3" t="s">
        <v>23</v>
      </c>
      <c r="C329" s="3" t="s">
        <v>24</v>
      </c>
      <c r="D329" s="3" t="n">
        <v>5</v>
      </c>
      <c r="E329" s="6" t="n">
        <v>599.99</v>
      </c>
      <c r="F329" s="6" t="n">
        <v>612</v>
      </c>
      <c r="G329" s="7" t="n">
        <f aca="false">F329-E329</f>
        <v>12.01</v>
      </c>
      <c r="H329" s="8" t="n">
        <f aca="false">IF(E329=0,0,F329/E329-1)</f>
        <v>0.020017000283338</v>
      </c>
      <c r="I329" s="3" t="s">
        <v>368</v>
      </c>
    </row>
    <row r="330" customFormat="false" ht="15" hidden="false" customHeight="false" outlineLevel="0" collapsed="false">
      <c r="A330" s="3" t="s">
        <v>393</v>
      </c>
      <c r="B330" s="3" t="s">
        <v>23</v>
      </c>
      <c r="C330" s="3" t="s">
        <v>24</v>
      </c>
      <c r="D330" s="3" t="n">
        <v>3</v>
      </c>
      <c r="E330" s="6" t="n">
        <v>285</v>
      </c>
      <c r="F330" s="6" t="n">
        <v>331</v>
      </c>
      <c r="G330" s="7" t="n">
        <f aca="false">F330-E330</f>
        <v>46</v>
      </c>
      <c r="H330" s="8" t="n">
        <f aca="false">IF(E330=0,0,F330/E330-1)</f>
        <v>0.16140350877193</v>
      </c>
      <c r="I330" s="3" t="s">
        <v>38</v>
      </c>
    </row>
    <row r="331" customFormat="false" ht="15" hidden="false" customHeight="false" outlineLevel="0" collapsed="false">
      <c r="A331" s="3" t="s">
        <v>394</v>
      </c>
      <c r="B331" s="3" t="s">
        <v>23</v>
      </c>
      <c r="C331" s="3" t="s">
        <v>24</v>
      </c>
      <c r="D331" s="3" t="n">
        <v>1</v>
      </c>
      <c r="E331" s="6" t="n">
        <v>49.99</v>
      </c>
      <c r="F331" s="6" t="n">
        <v>61</v>
      </c>
      <c r="G331" s="7" t="n">
        <f aca="false">F331-E331</f>
        <v>11.01</v>
      </c>
      <c r="H331" s="8" t="n">
        <f aca="false">IF(E331=0,0,F331/E331-1)</f>
        <v>0.220244048809762</v>
      </c>
      <c r="I331" s="3" t="s">
        <v>27</v>
      </c>
    </row>
    <row r="332" customFormat="false" ht="15" hidden="false" customHeight="false" outlineLevel="0" collapsed="false">
      <c r="A332" s="3" t="s">
        <v>395</v>
      </c>
      <c r="B332" s="3" t="s">
        <v>23</v>
      </c>
      <c r="C332" s="3" t="s">
        <v>24</v>
      </c>
      <c r="D332" s="3" t="n">
        <v>1</v>
      </c>
      <c r="E332" s="6" t="n">
        <v>49.99</v>
      </c>
      <c r="F332" s="6" t="n">
        <v>61</v>
      </c>
      <c r="G332" s="7" t="n">
        <f aca="false">F332-E332</f>
        <v>11.01</v>
      </c>
      <c r="H332" s="8" t="n">
        <f aca="false">IF(E332=0,0,F332/E332-1)</f>
        <v>0.220244048809762</v>
      </c>
      <c r="I332" s="3" t="s">
        <v>27</v>
      </c>
    </row>
    <row r="333" customFormat="false" ht="15" hidden="false" customHeight="false" outlineLevel="0" collapsed="false">
      <c r="A333" s="3" t="s">
        <v>396</v>
      </c>
      <c r="B333" s="3" t="s">
        <v>23</v>
      </c>
      <c r="C333" s="3" t="s">
        <v>24</v>
      </c>
      <c r="D333" s="3" t="n">
        <v>1</v>
      </c>
      <c r="E333" s="6" t="n">
        <v>155</v>
      </c>
      <c r="F333" s="6" t="n">
        <v>190</v>
      </c>
      <c r="G333" s="7" t="n">
        <f aca="false">F333-E333</f>
        <v>35</v>
      </c>
      <c r="H333" s="8" t="n">
        <f aca="false">IF(E333=0,0,F333/E333-1)</f>
        <v>0.225806451612903</v>
      </c>
      <c r="I333" s="3" t="s">
        <v>397</v>
      </c>
    </row>
    <row r="334" customFormat="false" ht="15" hidden="false" customHeight="false" outlineLevel="0" collapsed="false">
      <c r="A334" s="3" t="s">
        <v>398</v>
      </c>
      <c r="B334" s="3" t="s">
        <v>23</v>
      </c>
      <c r="C334" s="3" t="s">
        <v>24</v>
      </c>
      <c r="D334" s="3" t="n">
        <v>3</v>
      </c>
      <c r="E334" s="6" t="n">
        <v>544.79</v>
      </c>
      <c r="F334" s="6" t="n">
        <v>632</v>
      </c>
      <c r="G334" s="7" t="n">
        <f aca="false">F334-E334</f>
        <v>87.21</v>
      </c>
      <c r="H334" s="8" t="n">
        <f aca="false">IF(E334=0,0,F334/E334-1)</f>
        <v>0.160080030837571</v>
      </c>
      <c r="I334" s="3" t="s">
        <v>38</v>
      </c>
    </row>
    <row r="335" customFormat="false" ht="15" hidden="false" customHeight="false" outlineLevel="0" collapsed="false">
      <c r="A335" s="3" t="s">
        <v>399</v>
      </c>
      <c r="B335" s="3" t="s">
        <v>23</v>
      </c>
      <c r="C335" s="3" t="s">
        <v>24</v>
      </c>
      <c r="D335" s="3" t="n">
        <v>1</v>
      </c>
      <c r="E335" s="6" t="n">
        <v>64.99</v>
      </c>
      <c r="F335" s="6" t="n">
        <v>79.5</v>
      </c>
      <c r="G335" s="7" t="n">
        <f aca="false">F335-E335</f>
        <v>14.51</v>
      </c>
      <c r="H335" s="8" t="n">
        <f aca="false">IF(E335=0,0,F335/E335-1)</f>
        <v>0.223265117710417</v>
      </c>
      <c r="I335" s="3" t="s">
        <v>27</v>
      </c>
    </row>
    <row r="336" customFormat="false" ht="15" hidden="false" customHeight="false" outlineLevel="0" collapsed="false">
      <c r="A336" s="3" t="s">
        <v>400</v>
      </c>
      <c r="B336" s="3" t="s">
        <v>23</v>
      </c>
      <c r="C336" s="3" t="s">
        <v>24</v>
      </c>
      <c r="D336" s="3" t="n">
        <v>1</v>
      </c>
      <c r="E336" s="6" t="n">
        <v>49</v>
      </c>
      <c r="F336" s="6" t="n">
        <v>60</v>
      </c>
      <c r="G336" s="7" t="n">
        <f aca="false">F336-E336</f>
        <v>11</v>
      </c>
      <c r="H336" s="8" t="n">
        <f aca="false">IF(E336=0,0,F336/E336-1)</f>
        <v>0.224489795918367</v>
      </c>
      <c r="I336" s="3" t="s">
        <v>27</v>
      </c>
    </row>
    <row r="337" customFormat="false" ht="15" hidden="false" customHeight="false" outlineLevel="0" collapsed="false">
      <c r="A337" s="3" t="s">
        <v>401</v>
      </c>
      <c r="B337" s="3" t="s">
        <v>23</v>
      </c>
      <c r="C337" s="3" t="s">
        <v>24</v>
      </c>
      <c r="D337" s="3" t="n">
        <v>3</v>
      </c>
      <c r="E337" s="6" t="n">
        <v>289</v>
      </c>
      <c r="F337" s="6" t="n">
        <v>336</v>
      </c>
      <c r="G337" s="7" t="n">
        <f aca="false">F337-E337</f>
        <v>47</v>
      </c>
      <c r="H337" s="8" t="n">
        <f aca="false">IF(E337=0,0,F337/E337-1)</f>
        <v>0.162629757785467</v>
      </c>
      <c r="I337" s="3" t="s">
        <v>38</v>
      </c>
    </row>
    <row r="338" customFormat="false" ht="15" hidden="false" customHeight="false" outlineLevel="0" collapsed="false">
      <c r="A338" s="3" t="s">
        <v>402</v>
      </c>
      <c r="B338" s="3" t="s">
        <v>23</v>
      </c>
      <c r="C338" s="3" t="s">
        <v>24</v>
      </c>
      <c r="D338" s="3" t="n">
        <v>1</v>
      </c>
      <c r="E338" s="6" t="n">
        <v>40.01</v>
      </c>
      <c r="F338" s="6" t="n">
        <v>49</v>
      </c>
      <c r="G338" s="7" t="n">
        <f aca="false">F338-E338</f>
        <v>8.99</v>
      </c>
      <c r="H338" s="8" t="n">
        <f aca="false">IF(E338=0,0,F338/E338-1)</f>
        <v>0.224693826543364</v>
      </c>
      <c r="I338" s="3" t="s">
        <v>27</v>
      </c>
    </row>
    <row r="339" customFormat="false" ht="15" hidden="false" customHeight="false" outlineLevel="0" collapsed="false">
      <c r="A339" s="3" t="s">
        <v>403</v>
      </c>
      <c r="B339" s="3" t="s">
        <v>23</v>
      </c>
      <c r="C339" s="3" t="s">
        <v>24</v>
      </c>
      <c r="D339" s="3" t="n">
        <v>1</v>
      </c>
      <c r="E339" s="6" t="n">
        <v>198.5</v>
      </c>
      <c r="F339" s="6" t="n">
        <v>243</v>
      </c>
      <c r="G339" s="7" t="n">
        <f aca="false">F339-E339</f>
        <v>44.5</v>
      </c>
      <c r="H339" s="8" t="n">
        <f aca="false">IF(E339=0,0,F339/E339-1)</f>
        <v>0.224181360201511</v>
      </c>
      <c r="I339" s="3" t="s">
        <v>27</v>
      </c>
    </row>
    <row r="340" customFormat="false" ht="15" hidden="false" customHeight="false" outlineLevel="0" collapsed="false">
      <c r="A340" s="3" t="s">
        <v>404</v>
      </c>
      <c r="B340" s="3" t="s">
        <v>23</v>
      </c>
      <c r="C340" s="3" t="s">
        <v>24</v>
      </c>
      <c r="D340" s="3" t="n">
        <v>1</v>
      </c>
      <c r="E340" s="6" t="n">
        <v>85.49</v>
      </c>
      <c r="F340" s="6" t="n">
        <v>105</v>
      </c>
      <c r="G340" s="7" t="n">
        <f aca="false">F340-E340</f>
        <v>19.51</v>
      </c>
      <c r="H340" s="8" t="n">
        <f aca="false">IF(E340=0,0,F340/E340-1)</f>
        <v>0.228213826178501</v>
      </c>
      <c r="I340" s="3" t="s">
        <v>27</v>
      </c>
    </row>
    <row r="341" customFormat="false" ht="15" hidden="false" customHeight="false" outlineLevel="0" collapsed="false">
      <c r="A341" s="3" t="s">
        <v>405</v>
      </c>
      <c r="B341" s="3" t="s">
        <v>23</v>
      </c>
      <c r="C341" s="3" t="s">
        <v>24</v>
      </c>
      <c r="D341" s="3" t="n">
        <v>1</v>
      </c>
      <c r="E341" s="6" t="n">
        <v>207.09</v>
      </c>
      <c r="F341" s="6" t="n">
        <v>253</v>
      </c>
      <c r="G341" s="7" t="n">
        <f aca="false">F341-E341</f>
        <v>45.91</v>
      </c>
      <c r="H341" s="8" t="n">
        <f aca="false">IF(E341=0,0,F341/E341-1)</f>
        <v>0.221691052199527</v>
      </c>
      <c r="I341" s="3" t="s">
        <v>27</v>
      </c>
    </row>
    <row r="342" customFormat="false" ht="15" hidden="false" customHeight="false" outlineLevel="0" collapsed="false">
      <c r="A342" s="3" t="s">
        <v>406</v>
      </c>
      <c r="B342" s="3" t="s">
        <v>23</v>
      </c>
      <c r="C342" s="3" t="s">
        <v>24</v>
      </c>
      <c r="D342" s="3" t="n">
        <v>1</v>
      </c>
      <c r="E342" s="6" t="n">
        <v>64.99</v>
      </c>
      <c r="F342" s="6" t="n">
        <v>79.5</v>
      </c>
      <c r="G342" s="7" t="n">
        <f aca="false">F342-E342</f>
        <v>14.51</v>
      </c>
      <c r="H342" s="8" t="n">
        <f aca="false">IF(E342=0,0,F342/E342-1)</f>
        <v>0.223265117710417</v>
      </c>
      <c r="I342" s="3" t="s">
        <v>27</v>
      </c>
    </row>
    <row r="343" customFormat="false" ht="15" hidden="false" customHeight="false" outlineLevel="0" collapsed="false">
      <c r="A343" s="3" t="s">
        <v>407</v>
      </c>
      <c r="B343" s="3" t="s">
        <v>23</v>
      </c>
      <c r="C343" s="3" t="s">
        <v>24</v>
      </c>
      <c r="D343" s="3" t="n">
        <v>1</v>
      </c>
      <c r="E343" s="6" t="n">
        <v>18</v>
      </c>
      <c r="F343" s="6" t="n">
        <v>22</v>
      </c>
      <c r="G343" s="7" t="n">
        <f aca="false">F343-E343</f>
        <v>4</v>
      </c>
      <c r="H343" s="8" t="n">
        <f aca="false">IF(E343=0,0,F343/E343-1)</f>
        <v>0.222222222222222</v>
      </c>
      <c r="I343" s="3" t="s">
        <v>27</v>
      </c>
    </row>
    <row r="344" customFormat="false" ht="15" hidden="false" customHeight="false" outlineLevel="0" collapsed="false">
      <c r="A344" s="3" t="s">
        <v>408</v>
      </c>
      <c r="B344" s="3" t="s">
        <v>23</v>
      </c>
      <c r="C344" s="3" t="s">
        <v>24</v>
      </c>
      <c r="D344" s="3" t="n">
        <v>3</v>
      </c>
      <c r="E344" s="6" t="n">
        <v>640</v>
      </c>
      <c r="F344" s="6" t="n">
        <v>743</v>
      </c>
      <c r="G344" s="7" t="n">
        <f aca="false">F344-E344</f>
        <v>103</v>
      </c>
      <c r="H344" s="8" t="n">
        <f aca="false">IF(E344=0,0,F344/E344-1)</f>
        <v>0.1609375</v>
      </c>
      <c r="I344" s="3" t="s">
        <v>38</v>
      </c>
    </row>
    <row r="345" customFormat="false" ht="15" hidden="false" customHeight="false" outlineLevel="0" collapsed="false">
      <c r="A345" s="3" t="s">
        <v>409</v>
      </c>
      <c r="B345" s="3" t="s">
        <v>23</v>
      </c>
      <c r="C345" s="3" t="s">
        <v>24</v>
      </c>
      <c r="D345" s="3" t="n">
        <v>1</v>
      </c>
      <c r="E345" s="6" t="n">
        <v>150</v>
      </c>
      <c r="F345" s="6" t="n">
        <v>183</v>
      </c>
      <c r="G345" s="7" t="n">
        <f aca="false">F345-E345</f>
        <v>33</v>
      </c>
      <c r="H345" s="8" t="n">
        <f aca="false">IF(E345=0,0,F345/E345-1)</f>
        <v>0.22</v>
      </c>
      <c r="I345" s="3" t="s">
        <v>410</v>
      </c>
    </row>
    <row r="346" customFormat="false" ht="15" hidden="false" customHeight="false" outlineLevel="0" collapsed="false">
      <c r="A346" s="3" t="s">
        <v>411</v>
      </c>
      <c r="B346" s="3" t="s">
        <v>23</v>
      </c>
      <c r="C346" s="3" t="s">
        <v>24</v>
      </c>
      <c r="D346" s="3" t="n">
        <v>1</v>
      </c>
      <c r="E346" s="6" t="n">
        <v>24.99</v>
      </c>
      <c r="F346" s="6" t="n">
        <v>30.5</v>
      </c>
      <c r="G346" s="7" t="n">
        <f aca="false">F346-E346</f>
        <v>5.51</v>
      </c>
      <c r="H346" s="8" t="n">
        <f aca="false">IF(E346=0,0,F346/E346-1)</f>
        <v>0.220488195278111</v>
      </c>
      <c r="I346" s="3" t="s">
        <v>27</v>
      </c>
    </row>
    <row r="347" customFormat="false" ht="15" hidden="false" customHeight="false" outlineLevel="0" collapsed="false">
      <c r="A347" s="3" t="s">
        <v>412</v>
      </c>
      <c r="B347" s="3" t="s">
        <v>23</v>
      </c>
      <c r="C347" s="3" t="s">
        <v>24</v>
      </c>
      <c r="D347" s="3" t="n">
        <v>1</v>
      </c>
      <c r="E347" s="6" t="n">
        <v>43</v>
      </c>
      <c r="F347" s="6" t="n">
        <v>52.5</v>
      </c>
      <c r="G347" s="7" t="n">
        <f aca="false">F347-E347</f>
        <v>9.5</v>
      </c>
      <c r="H347" s="8" t="n">
        <f aca="false">IF(E347=0,0,F347/E347-1)</f>
        <v>0.220930232558139</v>
      </c>
      <c r="I347" s="3" t="s">
        <v>27</v>
      </c>
    </row>
    <row r="348" customFormat="false" ht="15" hidden="false" customHeight="false" outlineLevel="0" collapsed="false">
      <c r="A348" s="3" t="s">
        <v>413</v>
      </c>
      <c r="B348" s="3" t="s">
        <v>23</v>
      </c>
      <c r="C348" s="3" t="s">
        <v>24</v>
      </c>
      <c r="D348" s="3" t="n">
        <v>1</v>
      </c>
      <c r="E348" s="6" t="n">
        <v>24.99</v>
      </c>
      <c r="F348" s="6" t="n">
        <v>30.5</v>
      </c>
      <c r="G348" s="7" t="n">
        <f aca="false">F348-E348</f>
        <v>5.51</v>
      </c>
      <c r="H348" s="8" t="n">
        <f aca="false">IF(E348=0,0,F348/E348-1)</f>
        <v>0.220488195278111</v>
      </c>
      <c r="I348" s="3" t="s">
        <v>27</v>
      </c>
    </row>
    <row r="349" customFormat="false" ht="15" hidden="false" customHeight="false" outlineLevel="0" collapsed="false">
      <c r="A349" s="3" t="s">
        <v>414</v>
      </c>
      <c r="B349" s="3" t="s">
        <v>23</v>
      </c>
      <c r="C349" s="3" t="s">
        <v>24</v>
      </c>
      <c r="D349" s="3" t="n">
        <v>3</v>
      </c>
      <c r="E349" s="6" t="n">
        <v>294.68</v>
      </c>
      <c r="F349" s="6" t="n">
        <v>342</v>
      </c>
      <c r="G349" s="7" t="n">
        <f aca="false">F349-E349</f>
        <v>47.32</v>
      </c>
      <c r="H349" s="8" t="n">
        <f aca="false">IF(E349=0,0,F349/E349-1)</f>
        <v>0.160580969186915</v>
      </c>
      <c r="I349" s="3" t="s">
        <v>38</v>
      </c>
    </row>
    <row r="350" customFormat="false" ht="15" hidden="false" customHeight="false" outlineLevel="0" collapsed="false">
      <c r="A350" s="3" t="s">
        <v>415</v>
      </c>
      <c r="B350" s="3" t="s">
        <v>23</v>
      </c>
      <c r="C350" s="3" t="s">
        <v>24</v>
      </c>
      <c r="D350" s="3" t="n">
        <v>1</v>
      </c>
      <c r="E350" s="6" t="n">
        <v>79.99</v>
      </c>
      <c r="F350" s="6" t="n">
        <v>98</v>
      </c>
      <c r="G350" s="7" t="n">
        <f aca="false">F350-E350</f>
        <v>18.01</v>
      </c>
      <c r="H350" s="8" t="n">
        <f aca="false">IF(E350=0,0,F350/E350-1)</f>
        <v>0.225153144143018</v>
      </c>
      <c r="I350" s="3" t="s">
        <v>27</v>
      </c>
    </row>
    <row r="351" customFormat="false" ht="15" hidden="false" customHeight="false" outlineLevel="0" collapsed="false">
      <c r="A351" s="3" t="s">
        <v>416</v>
      </c>
      <c r="B351" s="3" t="s">
        <v>23</v>
      </c>
      <c r="C351" s="3" t="s">
        <v>24</v>
      </c>
      <c r="D351" s="3" t="n">
        <v>1</v>
      </c>
      <c r="E351" s="6" t="n">
        <v>199.99</v>
      </c>
      <c r="F351" s="6" t="n">
        <v>244</v>
      </c>
      <c r="G351" s="7" t="n">
        <f aca="false">F351-E351</f>
        <v>44.01</v>
      </c>
      <c r="H351" s="8" t="n">
        <f aca="false">IF(E351=0,0,F351/E351-1)</f>
        <v>0.220061003050152</v>
      </c>
      <c r="I351" s="3" t="s">
        <v>27</v>
      </c>
    </row>
    <row r="352" customFormat="false" ht="15" hidden="false" customHeight="false" outlineLevel="0" collapsed="false">
      <c r="A352" s="3" t="s">
        <v>417</v>
      </c>
      <c r="B352" s="3" t="s">
        <v>23</v>
      </c>
      <c r="C352" s="3" t="s">
        <v>24</v>
      </c>
      <c r="D352" s="3" t="n">
        <v>1</v>
      </c>
      <c r="E352" s="6" t="n">
        <v>29.99</v>
      </c>
      <c r="F352" s="6" t="n">
        <v>37</v>
      </c>
      <c r="G352" s="7" t="n">
        <f aca="false">F352-E352</f>
        <v>7.01</v>
      </c>
      <c r="H352" s="8" t="n">
        <f aca="false">IF(E352=0,0,F352/E352-1)</f>
        <v>0.233744581527176</v>
      </c>
      <c r="I352" s="3" t="s">
        <v>27</v>
      </c>
    </row>
    <row r="353" customFormat="false" ht="15" hidden="false" customHeight="false" outlineLevel="0" collapsed="false">
      <c r="A353" s="3" t="s">
        <v>418</v>
      </c>
      <c r="B353" s="3" t="s">
        <v>23</v>
      </c>
      <c r="C353" s="3" t="s">
        <v>24</v>
      </c>
      <c r="D353" s="3" t="n">
        <v>1</v>
      </c>
      <c r="E353" s="6" t="n">
        <v>39.99</v>
      </c>
      <c r="F353" s="6" t="n">
        <v>49</v>
      </c>
      <c r="G353" s="7" t="n">
        <f aca="false">F353-E353</f>
        <v>9.01</v>
      </c>
      <c r="H353" s="8" t="n">
        <f aca="false">IF(E353=0,0,F353/E353-1)</f>
        <v>0.225306326581645</v>
      </c>
      <c r="I353" s="3" t="s">
        <v>27</v>
      </c>
    </row>
    <row r="354" customFormat="false" ht="15" hidden="false" customHeight="false" outlineLevel="0" collapsed="false">
      <c r="A354" s="3" t="s">
        <v>419</v>
      </c>
      <c r="B354" s="3" t="s">
        <v>23</v>
      </c>
      <c r="C354" s="3" t="s">
        <v>24</v>
      </c>
      <c r="D354" s="3" t="n">
        <v>1</v>
      </c>
      <c r="E354" s="6" t="n">
        <v>101.26</v>
      </c>
      <c r="F354" s="6" t="n">
        <v>124</v>
      </c>
      <c r="G354" s="7" t="n">
        <f aca="false">F354-E354</f>
        <v>22.74</v>
      </c>
      <c r="H354" s="8" t="n">
        <f aca="false">IF(E354=0,0,F354/E354-1)</f>
        <v>0.224570412798736</v>
      </c>
      <c r="I354" s="3" t="s">
        <v>27</v>
      </c>
    </row>
    <row r="355" customFormat="false" ht="15" hidden="false" customHeight="false" outlineLevel="0" collapsed="false">
      <c r="A355" s="3" t="s">
        <v>420</v>
      </c>
      <c r="B355" s="3" t="s">
        <v>23</v>
      </c>
      <c r="C355" s="3" t="s">
        <v>24</v>
      </c>
      <c r="D355" s="3" t="n">
        <v>3</v>
      </c>
      <c r="E355" s="6" t="n">
        <v>374.99</v>
      </c>
      <c r="F355" s="6" t="n">
        <v>435</v>
      </c>
      <c r="G355" s="7" t="n">
        <f aca="false">F355-E355</f>
        <v>60.01</v>
      </c>
      <c r="H355" s="8" t="n">
        <f aca="false">IF(E355=0,0,F355/E355-1)</f>
        <v>0.160030934158244</v>
      </c>
      <c r="I355" s="3" t="s">
        <v>38</v>
      </c>
    </row>
    <row r="356" customFormat="false" ht="15" hidden="false" customHeight="false" outlineLevel="0" collapsed="false">
      <c r="A356" s="3" t="s">
        <v>421</v>
      </c>
      <c r="B356" s="3" t="s">
        <v>23</v>
      </c>
      <c r="C356" s="3" t="s">
        <v>24</v>
      </c>
      <c r="D356" s="3" t="n">
        <v>3</v>
      </c>
      <c r="E356" s="6" t="n">
        <v>657.2</v>
      </c>
      <c r="F356" s="6" t="n">
        <v>763</v>
      </c>
      <c r="G356" s="7" t="n">
        <f aca="false">F356-E356</f>
        <v>105.8</v>
      </c>
      <c r="H356" s="8" t="n">
        <f aca="false">IF(E356=0,0,F356/E356-1)</f>
        <v>0.160986001217285</v>
      </c>
      <c r="I356" s="3" t="s">
        <v>38</v>
      </c>
    </row>
    <row r="357" customFormat="false" ht="15" hidden="false" customHeight="false" outlineLevel="0" collapsed="false">
      <c r="A357" s="3" t="s">
        <v>422</v>
      </c>
      <c r="B357" s="3" t="s">
        <v>23</v>
      </c>
      <c r="C357" s="3" t="s">
        <v>179</v>
      </c>
      <c r="D357" s="3" t="n">
        <v>3</v>
      </c>
      <c r="E357" s="6" t="n">
        <v>565</v>
      </c>
      <c r="F357" s="6" t="n">
        <v>656</v>
      </c>
      <c r="G357" s="7" t="n">
        <f aca="false">F357-E357</f>
        <v>91</v>
      </c>
      <c r="H357" s="8" t="n">
        <f aca="false">IF(E357=0,0,F357/E357-1)</f>
        <v>0.161061946902655</v>
      </c>
      <c r="I357" s="3" t="s">
        <v>423</v>
      </c>
    </row>
    <row r="358" customFormat="false" ht="15" hidden="false" customHeight="false" outlineLevel="0" collapsed="false">
      <c r="A358" s="3" t="s">
        <v>424</v>
      </c>
      <c r="B358" s="3" t="s">
        <v>23</v>
      </c>
      <c r="C358" s="3" t="s">
        <v>24</v>
      </c>
      <c r="D358" s="3" t="n">
        <v>1</v>
      </c>
      <c r="E358" s="6" t="n">
        <v>73.8</v>
      </c>
      <c r="F358" s="6" t="n">
        <v>90.5</v>
      </c>
      <c r="G358" s="7" t="n">
        <f aca="false">F358-E358</f>
        <v>16.7</v>
      </c>
      <c r="H358" s="8" t="n">
        <f aca="false">IF(E358=0,0,F358/E358-1)</f>
        <v>0.226287262872629</v>
      </c>
      <c r="I358" s="3" t="s">
        <v>27</v>
      </c>
    </row>
    <row r="359" customFormat="false" ht="15" hidden="false" customHeight="false" outlineLevel="0" collapsed="false">
      <c r="A359" s="3" t="s">
        <v>425</v>
      </c>
      <c r="B359" s="3" t="s">
        <v>23</v>
      </c>
      <c r="C359" s="3" t="s">
        <v>24</v>
      </c>
      <c r="D359" s="3" t="n">
        <v>3</v>
      </c>
      <c r="E359" s="6" t="n">
        <v>566.49</v>
      </c>
      <c r="F359" s="6" t="n">
        <v>658</v>
      </c>
      <c r="G359" s="7" t="n">
        <f aca="false">F359-E359</f>
        <v>91.51</v>
      </c>
      <c r="H359" s="8" t="n">
        <f aca="false">IF(E359=0,0,F359/E359-1)</f>
        <v>0.161538597327402</v>
      </c>
      <c r="I359" s="3" t="s">
        <v>38</v>
      </c>
    </row>
    <row r="360" customFormat="false" ht="15" hidden="false" customHeight="false" outlineLevel="0" collapsed="false">
      <c r="A360" s="3" t="s">
        <v>426</v>
      </c>
      <c r="B360" s="3" t="s">
        <v>23</v>
      </c>
      <c r="C360" s="3" t="s">
        <v>24</v>
      </c>
      <c r="D360" s="3" t="n">
        <v>1</v>
      </c>
      <c r="E360" s="6" t="n">
        <v>59.99</v>
      </c>
      <c r="F360" s="6" t="n">
        <v>73.5</v>
      </c>
      <c r="G360" s="7" t="n">
        <f aca="false">F360-E360</f>
        <v>13.51</v>
      </c>
      <c r="H360" s="8" t="n">
        <f aca="false">IF(E360=0,0,F360/E360-1)</f>
        <v>0.225204200700117</v>
      </c>
      <c r="I360" s="3" t="s">
        <v>27</v>
      </c>
    </row>
    <row r="361" customFormat="false" ht="15" hidden="false" customHeight="false" outlineLevel="0" collapsed="false">
      <c r="A361" s="3" t="s">
        <v>427</v>
      </c>
      <c r="B361" s="3" t="s">
        <v>23</v>
      </c>
      <c r="C361" s="3" t="s">
        <v>24</v>
      </c>
      <c r="D361" s="3" t="n">
        <v>5</v>
      </c>
      <c r="E361" s="6" t="n">
        <v>449.99</v>
      </c>
      <c r="F361" s="6" t="n">
        <v>459</v>
      </c>
      <c r="G361" s="7" t="n">
        <f aca="false">F361-E361</f>
        <v>9.00999999999999</v>
      </c>
      <c r="H361" s="8" t="n">
        <f aca="false">IF(E361=0,0,F361/E361-1)</f>
        <v>0.0200226671703816</v>
      </c>
      <c r="I361" s="3" t="s">
        <v>368</v>
      </c>
    </row>
    <row r="362" customFormat="false" ht="15" hidden="false" customHeight="false" outlineLevel="0" collapsed="false">
      <c r="A362" s="3" t="s">
        <v>428</v>
      </c>
      <c r="B362" s="3" t="s">
        <v>23</v>
      </c>
      <c r="C362" s="3" t="s">
        <v>24</v>
      </c>
      <c r="D362" s="3" t="n">
        <v>1</v>
      </c>
      <c r="E362" s="6" t="n">
        <v>19</v>
      </c>
      <c r="F362" s="6" t="n">
        <v>23.5</v>
      </c>
      <c r="G362" s="7" t="n">
        <f aca="false">F362-E362</f>
        <v>4.5</v>
      </c>
      <c r="H362" s="8" t="n">
        <f aca="false">IF(E362=0,0,F362/E362-1)</f>
        <v>0.236842105263158</v>
      </c>
      <c r="I362" s="3" t="s">
        <v>27</v>
      </c>
    </row>
    <row r="363" customFormat="false" ht="15" hidden="false" customHeight="false" outlineLevel="0" collapsed="false">
      <c r="A363" s="3" t="s">
        <v>429</v>
      </c>
      <c r="B363" s="3" t="s">
        <v>23</v>
      </c>
      <c r="C363" s="3" t="s">
        <v>24</v>
      </c>
      <c r="D363" s="3" t="n">
        <v>3</v>
      </c>
      <c r="E363" s="6" t="n">
        <v>599.99</v>
      </c>
      <c r="F363" s="6" t="n">
        <v>696</v>
      </c>
      <c r="G363" s="7" t="n">
        <f aca="false">F363-E363</f>
        <v>96.01</v>
      </c>
      <c r="H363" s="8" t="n">
        <f aca="false">IF(E363=0,0,F363/E363-1)</f>
        <v>0.160019333655561</v>
      </c>
      <c r="I363" s="3" t="s">
        <v>38</v>
      </c>
    </row>
    <row r="364" customFormat="false" ht="15" hidden="false" customHeight="false" outlineLevel="0" collapsed="false">
      <c r="A364" s="3" t="s">
        <v>430</v>
      </c>
      <c r="B364" s="3" t="s">
        <v>23</v>
      </c>
      <c r="C364" s="3" t="s">
        <v>24</v>
      </c>
      <c r="D364" s="3" t="n">
        <v>3</v>
      </c>
      <c r="E364" s="6" t="n">
        <v>549.99</v>
      </c>
      <c r="F364" s="6" t="n">
        <v>638</v>
      </c>
      <c r="G364" s="7" t="n">
        <f aca="false">F364-E364</f>
        <v>88.01</v>
      </c>
      <c r="H364" s="8" t="n">
        <f aca="false">IF(E364=0,0,F364/E364-1)</f>
        <v>0.160021091292569</v>
      </c>
      <c r="I364" s="3" t="s">
        <v>38</v>
      </c>
    </row>
    <row r="365" customFormat="false" ht="15" hidden="false" customHeight="false" outlineLevel="0" collapsed="false">
      <c r="A365" s="3" t="s">
        <v>431</v>
      </c>
      <c r="B365" s="3" t="s">
        <v>23</v>
      </c>
      <c r="C365" s="3" t="s">
        <v>179</v>
      </c>
      <c r="D365" s="3" t="n">
        <v>3</v>
      </c>
      <c r="E365" s="6" t="n">
        <v>365</v>
      </c>
      <c r="F365" s="6" t="n">
        <v>424</v>
      </c>
      <c r="G365" s="7" t="n">
        <f aca="false">F365-E365</f>
        <v>59</v>
      </c>
      <c r="H365" s="8" t="n">
        <f aca="false">IF(E365=0,0,F365/E365-1)</f>
        <v>0.161643835616438</v>
      </c>
      <c r="I365" s="3" t="s">
        <v>432</v>
      </c>
    </row>
    <row r="366" customFormat="false" ht="15" hidden="false" customHeight="false" outlineLevel="0" collapsed="false">
      <c r="A366" s="3" t="s">
        <v>433</v>
      </c>
      <c r="B366" s="3" t="s">
        <v>23</v>
      </c>
      <c r="C366" s="3" t="s">
        <v>24</v>
      </c>
      <c r="D366" s="3" t="n">
        <v>1</v>
      </c>
      <c r="E366" s="6" t="n">
        <v>79.99</v>
      </c>
      <c r="F366" s="6" t="n">
        <v>98</v>
      </c>
      <c r="G366" s="7" t="n">
        <f aca="false">F366-E366</f>
        <v>18.01</v>
      </c>
      <c r="H366" s="8" t="n">
        <f aca="false">IF(E366=0,0,F366/E366-1)</f>
        <v>0.225153144143018</v>
      </c>
      <c r="I366" s="3" t="s">
        <v>27</v>
      </c>
    </row>
    <row r="367" customFormat="false" ht="15" hidden="false" customHeight="false" outlineLevel="0" collapsed="false">
      <c r="A367" s="3" t="s">
        <v>434</v>
      </c>
      <c r="B367" s="3" t="s">
        <v>23</v>
      </c>
      <c r="C367" s="3" t="s">
        <v>24</v>
      </c>
      <c r="D367" s="3" t="n">
        <v>1</v>
      </c>
      <c r="E367" s="6" t="n">
        <v>162.74</v>
      </c>
      <c r="F367" s="6" t="n">
        <v>199</v>
      </c>
      <c r="G367" s="7" t="n">
        <f aca="false">F367-E367</f>
        <v>36.26</v>
      </c>
      <c r="H367" s="8" t="n">
        <f aca="false">IF(E367=0,0,F367/E367-1)</f>
        <v>0.222809389209782</v>
      </c>
      <c r="I367" s="3" t="s">
        <v>27</v>
      </c>
    </row>
    <row r="368" customFormat="false" ht="15" hidden="false" customHeight="false" outlineLevel="0" collapsed="false">
      <c r="A368" s="3" t="s">
        <v>435</v>
      </c>
      <c r="B368" s="3" t="s">
        <v>23</v>
      </c>
      <c r="C368" s="3" t="s">
        <v>24</v>
      </c>
      <c r="D368" s="3" t="n">
        <v>1</v>
      </c>
      <c r="E368" s="6" t="n">
        <v>169.99</v>
      </c>
      <c r="F368" s="6" t="n">
        <v>208</v>
      </c>
      <c r="G368" s="7" t="n">
        <f aca="false">F368-E368</f>
        <v>38.01</v>
      </c>
      <c r="H368" s="8" t="n">
        <f aca="false">IF(E368=0,0,F368/E368-1)</f>
        <v>0.22360138831696</v>
      </c>
      <c r="I368" s="3" t="s">
        <v>27</v>
      </c>
    </row>
    <row r="369" customFormat="false" ht="15" hidden="false" customHeight="false" outlineLevel="0" collapsed="false">
      <c r="A369" s="3" t="s">
        <v>436</v>
      </c>
      <c r="B369" s="3" t="s">
        <v>23</v>
      </c>
      <c r="C369" s="3" t="s">
        <v>24</v>
      </c>
      <c r="D369" s="3" t="n">
        <v>1</v>
      </c>
      <c r="E369" s="6" t="n">
        <v>49.99</v>
      </c>
      <c r="F369" s="6" t="n">
        <v>61</v>
      </c>
      <c r="G369" s="7" t="n">
        <f aca="false">F369-E369</f>
        <v>11.01</v>
      </c>
      <c r="H369" s="8" t="n">
        <f aca="false">IF(E369=0,0,F369/E369-1)</f>
        <v>0.220244048809762</v>
      </c>
      <c r="I369" s="3" t="s">
        <v>27</v>
      </c>
    </row>
    <row r="370" customFormat="false" ht="15" hidden="false" customHeight="false" outlineLevel="0" collapsed="false">
      <c r="A370" s="3" t="s">
        <v>437</v>
      </c>
      <c r="B370" s="3" t="s">
        <v>23</v>
      </c>
      <c r="C370" s="3" t="s">
        <v>24</v>
      </c>
      <c r="D370" s="3" t="n">
        <v>1</v>
      </c>
      <c r="E370" s="6" t="n">
        <v>49.99</v>
      </c>
      <c r="F370" s="6" t="n">
        <v>61</v>
      </c>
      <c r="G370" s="7" t="n">
        <f aca="false">F370-E370</f>
        <v>11.01</v>
      </c>
      <c r="H370" s="8" t="n">
        <f aca="false">IF(E370=0,0,F370/E370-1)</f>
        <v>0.220244048809762</v>
      </c>
      <c r="I370" s="3" t="s">
        <v>27</v>
      </c>
    </row>
    <row r="371" customFormat="false" ht="15" hidden="false" customHeight="false" outlineLevel="0" collapsed="false">
      <c r="A371" s="3" t="s">
        <v>438</v>
      </c>
      <c r="B371" s="3" t="s">
        <v>23</v>
      </c>
      <c r="C371" s="3" t="s">
        <v>24</v>
      </c>
      <c r="D371" s="3" t="n">
        <v>1</v>
      </c>
      <c r="E371" s="6" t="n">
        <v>24.7</v>
      </c>
      <c r="F371" s="6" t="n">
        <v>30.5</v>
      </c>
      <c r="G371" s="7" t="n">
        <f aca="false">F371-E371</f>
        <v>5.8</v>
      </c>
      <c r="H371" s="8" t="n">
        <f aca="false">IF(E371=0,0,F371/E371-1)</f>
        <v>0.234817813765182</v>
      </c>
      <c r="I371" s="3" t="s">
        <v>27</v>
      </c>
    </row>
    <row r="372" customFormat="false" ht="15" hidden="false" customHeight="false" outlineLevel="0" collapsed="false">
      <c r="A372" s="3" t="s">
        <v>439</v>
      </c>
      <c r="B372" s="3" t="s">
        <v>23</v>
      </c>
      <c r="C372" s="3" t="s">
        <v>24</v>
      </c>
      <c r="D372" s="3" t="n">
        <v>1</v>
      </c>
      <c r="E372" s="6" t="n">
        <v>19</v>
      </c>
      <c r="F372" s="6" t="n">
        <v>23.5</v>
      </c>
      <c r="G372" s="7" t="n">
        <f aca="false">F372-E372</f>
        <v>4.5</v>
      </c>
      <c r="H372" s="8" t="n">
        <f aca="false">IF(E372=0,0,F372/E372-1)</f>
        <v>0.236842105263158</v>
      </c>
      <c r="I372" s="3" t="s">
        <v>27</v>
      </c>
    </row>
    <row r="373" customFormat="false" ht="15" hidden="false" customHeight="false" outlineLevel="0" collapsed="false">
      <c r="A373" s="3" t="s">
        <v>440</v>
      </c>
      <c r="B373" s="3" t="s">
        <v>23</v>
      </c>
      <c r="C373" s="3" t="s">
        <v>24</v>
      </c>
      <c r="D373" s="3" t="n">
        <v>1</v>
      </c>
      <c r="E373" s="6" t="n">
        <v>89</v>
      </c>
      <c r="F373" s="6" t="n">
        <v>109</v>
      </c>
      <c r="G373" s="7" t="n">
        <f aca="false">F373-E373</f>
        <v>20</v>
      </c>
      <c r="H373" s="8" t="n">
        <f aca="false">IF(E373=0,0,F373/E373-1)</f>
        <v>0.224719101123596</v>
      </c>
      <c r="I373" s="3" t="s">
        <v>27</v>
      </c>
    </row>
    <row r="374" customFormat="false" ht="15" hidden="false" customHeight="false" outlineLevel="0" collapsed="false">
      <c r="A374" s="3" t="s">
        <v>441</v>
      </c>
      <c r="B374" s="3" t="s">
        <v>23</v>
      </c>
      <c r="C374" s="3" t="s">
        <v>24</v>
      </c>
      <c r="D374" s="3" t="n">
        <v>1</v>
      </c>
      <c r="E374" s="6" t="n">
        <v>54.99</v>
      </c>
      <c r="F374" s="6" t="n">
        <v>67.5</v>
      </c>
      <c r="G374" s="7" t="n">
        <f aca="false">F374-E374</f>
        <v>12.51</v>
      </c>
      <c r="H374" s="8" t="n">
        <f aca="false">IF(E374=0,0,F374/E374-1)</f>
        <v>0.227495908346972</v>
      </c>
      <c r="I374" s="3" t="s">
        <v>27</v>
      </c>
    </row>
    <row r="375" customFormat="false" ht="15" hidden="false" customHeight="false" outlineLevel="0" collapsed="false">
      <c r="A375" s="3" t="s">
        <v>442</v>
      </c>
      <c r="B375" s="3" t="s">
        <v>23</v>
      </c>
      <c r="C375" s="3" t="s">
        <v>24</v>
      </c>
      <c r="D375" s="3" t="n">
        <v>1</v>
      </c>
      <c r="E375" s="6" t="n">
        <v>124.99</v>
      </c>
      <c r="F375" s="6" t="n">
        <v>153</v>
      </c>
      <c r="G375" s="7" t="n">
        <f aca="false">F375-E375</f>
        <v>28.01</v>
      </c>
      <c r="H375" s="8" t="n">
        <f aca="false">IF(E375=0,0,F375/E375-1)</f>
        <v>0.224097927834227</v>
      </c>
      <c r="I375" s="3" t="s">
        <v>27</v>
      </c>
    </row>
    <row r="376" customFormat="false" ht="15" hidden="false" customHeight="false" outlineLevel="0" collapsed="false">
      <c r="A376" s="3" t="s">
        <v>443</v>
      </c>
      <c r="B376" s="3" t="s">
        <v>23</v>
      </c>
      <c r="C376" s="3" t="s">
        <v>24</v>
      </c>
      <c r="D376" s="3" t="n">
        <v>3</v>
      </c>
      <c r="E376" s="6" t="n">
        <v>249.99</v>
      </c>
      <c r="F376" s="6" t="n">
        <v>290</v>
      </c>
      <c r="G376" s="7" t="n">
        <f aca="false">F376-E376</f>
        <v>40.01</v>
      </c>
      <c r="H376" s="8" t="n">
        <f aca="false">IF(E376=0,0,F376/E376-1)</f>
        <v>0.160046401856074</v>
      </c>
      <c r="I376" s="3" t="s">
        <v>38</v>
      </c>
    </row>
    <row r="377" customFormat="false" ht="15" hidden="false" customHeight="false" outlineLevel="0" collapsed="false">
      <c r="A377" s="3" t="s">
        <v>444</v>
      </c>
      <c r="B377" s="3" t="s">
        <v>23</v>
      </c>
      <c r="C377" s="3" t="s">
        <v>179</v>
      </c>
      <c r="D377" s="3" t="n">
        <v>3</v>
      </c>
      <c r="E377" s="6" t="n">
        <v>355.35</v>
      </c>
      <c r="F377" s="6" t="n">
        <v>413</v>
      </c>
      <c r="G377" s="7" t="n">
        <f aca="false">F377-E377</f>
        <v>57.65</v>
      </c>
      <c r="H377" s="8" t="n">
        <f aca="false">IF(E377=0,0,F377/E377-1)</f>
        <v>0.162234416772196</v>
      </c>
      <c r="I377" s="3" t="s">
        <v>445</v>
      </c>
    </row>
    <row r="378" customFormat="false" ht="15" hidden="false" customHeight="false" outlineLevel="0" collapsed="false">
      <c r="A378" s="3" t="s">
        <v>446</v>
      </c>
      <c r="B378" s="3" t="s">
        <v>23</v>
      </c>
      <c r="C378" s="3" t="s">
        <v>179</v>
      </c>
      <c r="D378" s="3" t="n">
        <v>3</v>
      </c>
      <c r="E378" s="6" t="n">
        <v>385</v>
      </c>
      <c r="F378" s="6" t="n">
        <v>447</v>
      </c>
      <c r="G378" s="7" t="n">
        <f aca="false">F378-E378</f>
        <v>62</v>
      </c>
      <c r="H378" s="8" t="n">
        <f aca="false">IF(E378=0,0,F378/E378-1)</f>
        <v>0.161038961038961</v>
      </c>
      <c r="I378" s="3" t="s">
        <v>447</v>
      </c>
    </row>
    <row r="379" customFormat="false" ht="15" hidden="false" customHeight="false" outlineLevel="0" collapsed="false">
      <c r="A379" s="3" t="s">
        <v>448</v>
      </c>
      <c r="B379" s="3" t="s">
        <v>23</v>
      </c>
      <c r="C379" s="3" t="s">
        <v>24</v>
      </c>
      <c r="D379" s="3" t="n">
        <v>1</v>
      </c>
      <c r="E379" s="6" t="n">
        <v>29.99</v>
      </c>
      <c r="F379" s="6" t="n">
        <v>37</v>
      </c>
      <c r="G379" s="7" t="n">
        <f aca="false">F379-E379</f>
        <v>7.01</v>
      </c>
      <c r="H379" s="8" t="n">
        <f aca="false">IF(E379=0,0,F379/E379-1)</f>
        <v>0.233744581527176</v>
      </c>
      <c r="I379" s="3" t="s">
        <v>27</v>
      </c>
    </row>
    <row r="380" customFormat="false" ht="15" hidden="false" customHeight="false" outlineLevel="0" collapsed="false">
      <c r="A380" s="3" t="s">
        <v>449</v>
      </c>
      <c r="B380" s="3" t="s">
        <v>23</v>
      </c>
      <c r="C380" s="3" t="s">
        <v>24</v>
      </c>
      <c r="D380" s="3" t="n">
        <v>1</v>
      </c>
      <c r="E380" s="6" t="n">
        <v>39.99</v>
      </c>
      <c r="F380" s="6" t="n">
        <v>49</v>
      </c>
      <c r="G380" s="7" t="n">
        <f aca="false">F380-E380</f>
        <v>9.01</v>
      </c>
      <c r="H380" s="8" t="n">
        <f aca="false">IF(E380=0,0,F380/E380-1)</f>
        <v>0.225306326581645</v>
      </c>
      <c r="I380" s="3" t="s">
        <v>27</v>
      </c>
    </row>
    <row r="381" customFormat="false" ht="15" hidden="false" customHeight="false" outlineLevel="0" collapsed="false">
      <c r="A381" s="3" t="s">
        <v>450</v>
      </c>
      <c r="B381" s="3" t="s">
        <v>23</v>
      </c>
      <c r="C381" s="3" t="s">
        <v>24</v>
      </c>
      <c r="D381" s="3" t="n">
        <v>1</v>
      </c>
      <c r="E381" s="6" t="n">
        <v>900</v>
      </c>
      <c r="F381" s="6" t="n">
        <v>1100</v>
      </c>
      <c r="G381" s="7" t="n">
        <f aca="false">F381-E381</f>
        <v>200</v>
      </c>
      <c r="H381" s="8" t="n">
        <f aca="false">IF(E381=0,0,F381/E381-1)</f>
        <v>0.222222222222222</v>
      </c>
      <c r="I381" s="3" t="s">
        <v>451</v>
      </c>
    </row>
    <row r="382" customFormat="false" ht="15" hidden="false" customHeight="false" outlineLevel="0" collapsed="false">
      <c r="A382" s="3" t="s">
        <v>452</v>
      </c>
      <c r="B382" s="3" t="s">
        <v>23</v>
      </c>
      <c r="C382" s="3" t="s">
        <v>24</v>
      </c>
      <c r="D382" s="3" t="n">
        <v>1</v>
      </c>
      <c r="E382" s="6" t="n">
        <v>149.99</v>
      </c>
      <c r="F382" s="6" t="n">
        <v>183</v>
      </c>
      <c r="G382" s="7" t="n">
        <f aca="false">F382-E382</f>
        <v>33.01</v>
      </c>
      <c r="H382" s="8" t="n">
        <f aca="false">IF(E382=0,0,F382/E382-1)</f>
        <v>0.220081338755917</v>
      </c>
      <c r="I382" s="3" t="s">
        <v>27</v>
      </c>
    </row>
    <row r="383" customFormat="false" ht="15" hidden="false" customHeight="false" outlineLevel="0" collapsed="false">
      <c r="A383" s="3" t="s">
        <v>453</v>
      </c>
      <c r="B383" s="3" t="s">
        <v>23</v>
      </c>
      <c r="C383" s="3" t="s">
        <v>24</v>
      </c>
      <c r="D383" s="3" t="n">
        <v>1</v>
      </c>
      <c r="E383" s="6" t="n">
        <v>14.42</v>
      </c>
      <c r="F383" s="6" t="n">
        <v>18</v>
      </c>
      <c r="G383" s="7" t="n">
        <f aca="false">F383-E383</f>
        <v>3.58</v>
      </c>
      <c r="H383" s="8" t="n">
        <f aca="false">IF(E383=0,0,F383/E383-1)</f>
        <v>0.248266296809986</v>
      </c>
      <c r="I383" s="3" t="s">
        <v>27</v>
      </c>
    </row>
    <row r="384" customFormat="false" ht="15" hidden="false" customHeight="false" outlineLevel="0" collapsed="false">
      <c r="A384" s="3" t="s">
        <v>454</v>
      </c>
      <c r="B384" s="3" t="s">
        <v>23</v>
      </c>
      <c r="C384" s="3" t="s">
        <v>24</v>
      </c>
      <c r="D384" s="3" t="n">
        <v>1</v>
      </c>
      <c r="E384" s="6" t="n">
        <v>37</v>
      </c>
      <c r="F384" s="6" t="n">
        <v>45.5</v>
      </c>
      <c r="G384" s="7" t="n">
        <f aca="false">F384-E384</f>
        <v>8.5</v>
      </c>
      <c r="H384" s="8" t="n">
        <f aca="false">IF(E384=0,0,F384/E384-1)</f>
        <v>0.22972972972973</v>
      </c>
      <c r="I384" s="3" t="s">
        <v>27</v>
      </c>
    </row>
    <row r="385" customFormat="false" ht="15" hidden="false" customHeight="false" outlineLevel="0" collapsed="false">
      <c r="A385" s="3" t="s">
        <v>455</v>
      </c>
      <c r="B385" s="3" t="s">
        <v>23</v>
      </c>
      <c r="C385" s="3" t="s">
        <v>24</v>
      </c>
      <c r="D385" s="3" t="n">
        <v>1</v>
      </c>
      <c r="E385" s="6" t="n">
        <v>99.99</v>
      </c>
      <c r="F385" s="6" t="n">
        <v>122</v>
      </c>
      <c r="G385" s="7" t="n">
        <f aca="false">F385-E385</f>
        <v>22.01</v>
      </c>
      <c r="H385" s="8" t="n">
        <f aca="false">IF(E385=0,0,F385/E385-1)</f>
        <v>0.22012201220122</v>
      </c>
      <c r="I385" s="3" t="s">
        <v>27</v>
      </c>
    </row>
    <row r="386" customFormat="false" ht="15" hidden="false" customHeight="false" outlineLevel="0" collapsed="false">
      <c r="A386" s="3" t="s">
        <v>456</v>
      </c>
      <c r="B386" s="3" t="s">
        <v>23</v>
      </c>
      <c r="C386" s="3" t="s">
        <v>24</v>
      </c>
      <c r="D386" s="3" t="n">
        <v>3</v>
      </c>
      <c r="E386" s="6" t="n">
        <v>279</v>
      </c>
      <c r="F386" s="6" t="n">
        <v>324</v>
      </c>
      <c r="G386" s="7" t="n">
        <f aca="false">F386-E386</f>
        <v>45</v>
      </c>
      <c r="H386" s="8" t="n">
        <f aca="false">IF(E386=0,0,F386/E386-1)</f>
        <v>0.161290322580645</v>
      </c>
      <c r="I386" s="3" t="s">
        <v>38</v>
      </c>
    </row>
    <row r="387" customFormat="false" ht="15" hidden="false" customHeight="false" outlineLevel="0" collapsed="false">
      <c r="A387" s="3" t="s">
        <v>457</v>
      </c>
      <c r="B387" s="3" t="s">
        <v>23</v>
      </c>
      <c r="C387" s="3" t="s">
        <v>24</v>
      </c>
      <c r="D387" s="3" t="n">
        <v>3</v>
      </c>
      <c r="E387" s="6" t="n">
        <v>279</v>
      </c>
      <c r="F387" s="6" t="n">
        <v>324</v>
      </c>
      <c r="G387" s="7" t="n">
        <f aca="false">F387-E387</f>
        <v>45</v>
      </c>
      <c r="H387" s="8" t="n">
        <f aca="false">IF(E387=0,0,F387/E387-1)</f>
        <v>0.161290322580645</v>
      </c>
      <c r="I387" s="3" t="s">
        <v>38</v>
      </c>
    </row>
    <row r="388" customFormat="false" ht="15" hidden="false" customHeight="false" outlineLevel="0" collapsed="false">
      <c r="A388" s="3" t="s">
        <v>458</v>
      </c>
      <c r="B388" s="3" t="s">
        <v>23</v>
      </c>
      <c r="C388" s="3" t="s">
        <v>24</v>
      </c>
      <c r="D388" s="3" t="n">
        <v>3</v>
      </c>
      <c r="E388" s="6" t="n">
        <v>280</v>
      </c>
      <c r="F388" s="6" t="n">
        <v>325</v>
      </c>
      <c r="G388" s="7" t="n">
        <f aca="false">F388-E388</f>
        <v>45</v>
      </c>
      <c r="H388" s="8" t="n">
        <f aca="false">IF(E388=0,0,F388/E388-1)</f>
        <v>0.160714285714286</v>
      </c>
      <c r="I388" s="3" t="s">
        <v>38</v>
      </c>
    </row>
    <row r="389" customFormat="false" ht="15" hidden="false" customHeight="false" outlineLevel="0" collapsed="false">
      <c r="A389" s="3" t="s">
        <v>459</v>
      </c>
      <c r="B389" s="3" t="s">
        <v>23</v>
      </c>
      <c r="C389" s="3" t="s">
        <v>179</v>
      </c>
      <c r="D389" s="3" t="n">
        <v>1</v>
      </c>
      <c r="E389" s="6" t="n">
        <v>255</v>
      </c>
      <c r="F389" s="6" t="n">
        <v>312</v>
      </c>
      <c r="G389" s="7" t="n">
        <f aca="false">F389-E389</f>
        <v>57</v>
      </c>
      <c r="H389" s="8" t="n">
        <f aca="false">IF(E389=0,0,F389/E389-1)</f>
        <v>0.223529411764706</v>
      </c>
      <c r="I389" s="3" t="s">
        <v>460</v>
      </c>
    </row>
    <row r="390" customFormat="false" ht="15" hidden="false" customHeight="false" outlineLevel="0" collapsed="false">
      <c r="A390" s="3" t="s">
        <v>461</v>
      </c>
      <c r="B390" s="3" t="s">
        <v>23</v>
      </c>
      <c r="C390" s="3" t="s">
        <v>24</v>
      </c>
      <c r="D390" s="3" t="n">
        <v>1</v>
      </c>
      <c r="E390" s="6" t="n">
        <v>89.99</v>
      </c>
      <c r="F390" s="6" t="n">
        <v>110</v>
      </c>
      <c r="G390" s="7" t="n">
        <f aca="false">F390-E390</f>
        <v>20.01</v>
      </c>
      <c r="H390" s="8" t="n">
        <f aca="false">IF(E390=0,0,F390/E390-1)</f>
        <v>0.222358039782198</v>
      </c>
      <c r="I390" s="3" t="s">
        <v>27</v>
      </c>
    </row>
    <row r="391" customFormat="false" ht="15" hidden="false" customHeight="false" outlineLevel="0" collapsed="false">
      <c r="A391" s="3" t="s">
        <v>462</v>
      </c>
      <c r="B391" s="3" t="s">
        <v>23</v>
      </c>
      <c r="C391" s="3" t="s">
        <v>24</v>
      </c>
      <c r="D391" s="3" t="n">
        <v>1</v>
      </c>
      <c r="E391" s="6" t="n">
        <v>84.99</v>
      </c>
      <c r="F391" s="6" t="n">
        <v>104</v>
      </c>
      <c r="G391" s="7" t="n">
        <f aca="false">F391-E391</f>
        <v>19.01</v>
      </c>
      <c r="H391" s="8" t="n">
        <f aca="false">IF(E391=0,0,F391/E391-1)</f>
        <v>0.22367337333804</v>
      </c>
      <c r="I391" s="3" t="s">
        <v>27</v>
      </c>
    </row>
    <row r="392" customFormat="false" ht="15" hidden="false" customHeight="false" outlineLevel="0" collapsed="false">
      <c r="A392" s="3" t="s">
        <v>463</v>
      </c>
      <c r="B392" s="3" t="s">
        <v>23</v>
      </c>
      <c r="C392" s="3" t="s">
        <v>24</v>
      </c>
      <c r="D392" s="3" t="n">
        <v>1</v>
      </c>
      <c r="E392" s="6" t="n">
        <v>13.91</v>
      </c>
      <c r="F392" s="6" t="n">
        <v>17</v>
      </c>
      <c r="G392" s="7" t="n">
        <f aca="false">F392-E392</f>
        <v>3.09</v>
      </c>
      <c r="H392" s="8" t="n">
        <f aca="false">IF(E392=0,0,F392/E392-1)</f>
        <v>0.222142343637671</v>
      </c>
      <c r="I392" s="3" t="s">
        <v>134</v>
      </c>
    </row>
    <row r="393" customFormat="false" ht="15" hidden="false" customHeight="false" outlineLevel="0" collapsed="false">
      <c r="A393" s="3" t="s">
        <v>464</v>
      </c>
      <c r="B393" s="3" t="s">
        <v>23</v>
      </c>
      <c r="C393" s="3" t="s">
        <v>24</v>
      </c>
      <c r="D393" s="3" t="n">
        <v>1</v>
      </c>
      <c r="E393" s="6" t="n">
        <v>19.99</v>
      </c>
      <c r="F393" s="6" t="n">
        <v>24.5</v>
      </c>
      <c r="G393" s="7" t="n">
        <f aca="false">F393-E393</f>
        <v>4.51</v>
      </c>
      <c r="H393" s="8" t="n">
        <f aca="false">IF(E393=0,0,F393/E393-1)</f>
        <v>0.225612806403202</v>
      </c>
      <c r="I393" s="3" t="s">
        <v>27</v>
      </c>
    </row>
    <row r="394" customFormat="false" ht="15" hidden="false" customHeight="false" outlineLevel="0" collapsed="false">
      <c r="A394" s="3" t="s">
        <v>465</v>
      </c>
      <c r="B394" s="3" t="s">
        <v>23</v>
      </c>
      <c r="C394" s="3" t="s">
        <v>24</v>
      </c>
      <c r="D394" s="3" t="n">
        <v>1</v>
      </c>
      <c r="E394" s="6" t="n">
        <v>44.39</v>
      </c>
      <c r="F394" s="6" t="n">
        <v>54.5</v>
      </c>
      <c r="G394" s="7" t="n">
        <f aca="false">F394-E394</f>
        <v>10.11</v>
      </c>
      <c r="H394" s="8" t="n">
        <f aca="false">IF(E394=0,0,F394/E394-1)</f>
        <v>0.227753998648344</v>
      </c>
      <c r="I394" s="3" t="s">
        <v>27</v>
      </c>
    </row>
    <row r="395" customFormat="false" ht="15" hidden="false" customHeight="false" outlineLevel="0" collapsed="false">
      <c r="A395" s="3" t="s">
        <v>466</v>
      </c>
      <c r="B395" s="3" t="s">
        <v>23</v>
      </c>
      <c r="C395" s="3" t="s">
        <v>24</v>
      </c>
      <c r="D395" s="3" t="n">
        <v>1</v>
      </c>
      <c r="E395" s="6" t="n">
        <v>24</v>
      </c>
      <c r="F395" s="6" t="n">
        <v>29.5</v>
      </c>
      <c r="G395" s="7" t="n">
        <f aca="false">F395-E395</f>
        <v>5.5</v>
      </c>
      <c r="H395" s="8" t="n">
        <f aca="false">IF(E395=0,0,F395/E395-1)</f>
        <v>0.229166666666667</v>
      </c>
      <c r="I395" s="3" t="s">
        <v>27</v>
      </c>
    </row>
    <row r="396" customFormat="false" ht="15" hidden="false" customHeight="false" outlineLevel="0" collapsed="false">
      <c r="A396" s="3" t="s">
        <v>467</v>
      </c>
      <c r="B396" s="3" t="s">
        <v>23</v>
      </c>
      <c r="C396" s="3" t="s">
        <v>24</v>
      </c>
      <c r="D396" s="3" t="n">
        <v>1</v>
      </c>
      <c r="E396" s="6" t="n">
        <v>199.99</v>
      </c>
      <c r="F396" s="6" t="n">
        <v>244</v>
      </c>
      <c r="G396" s="7" t="n">
        <f aca="false">F396-E396</f>
        <v>44.01</v>
      </c>
      <c r="H396" s="8" t="n">
        <f aca="false">IF(E396=0,0,F396/E396-1)</f>
        <v>0.220061003050152</v>
      </c>
      <c r="I396" s="3" t="s">
        <v>27</v>
      </c>
    </row>
    <row r="397" customFormat="false" ht="15" hidden="false" customHeight="false" outlineLevel="0" collapsed="false">
      <c r="A397" s="3" t="s">
        <v>468</v>
      </c>
      <c r="B397" s="3" t="s">
        <v>23</v>
      </c>
      <c r="C397" s="3" t="s">
        <v>24</v>
      </c>
      <c r="D397" s="3" t="n">
        <v>3</v>
      </c>
      <c r="E397" s="6" t="n">
        <v>349.99</v>
      </c>
      <c r="F397" s="6" t="n">
        <v>406</v>
      </c>
      <c r="G397" s="7" t="n">
        <f aca="false">F397-E397</f>
        <v>56.01</v>
      </c>
      <c r="H397" s="8" t="n">
        <f aca="false">IF(E397=0,0,F397/E397-1)</f>
        <v>0.160033143804109</v>
      </c>
      <c r="I397" s="3" t="s">
        <v>38</v>
      </c>
    </row>
    <row r="398" customFormat="false" ht="15" hidden="false" customHeight="false" outlineLevel="0" collapsed="false">
      <c r="A398" s="3" t="s">
        <v>469</v>
      </c>
      <c r="B398" s="3" t="s">
        <v>23</v>
      </c>
      <c r="C398" s="3" t="s">
        <v>24</v>
      </c>
      <c r="D398" s="3" t="n">
        <v>1</v>
      </c>
      <c r="E398" s="6" t="n">
        <v>134.99</v>
      </c>
      <c r="F398" s="6" t="n">
        <v>165</v>
      </c>
      <c r="G398" s="7" t="n">
        <f aca="false">F398-E398</f>
        <v>30.01</v>
      </c>
      <c r="H398" s="8" t="n">
        <f aca="false">IF(E398=0,0,F398/E398-1)</f>
        <v>0.222312763908438</v>
      </c>
      <c r="I398" s="3" t="s">
        <v>27</v>
      </c>
    </row>
    <row r="399" customFormat="false" ht="15" hidden="false" customHeight="false" outlineLevel="0" collapsed="false">
      <c r="A399" s="3" t="s">
        <v>470</v>
      </c>
      <c r="B399" s="3" t="s">
        <v>23</v>
      </c>
      <c r="C399" s="3" t="s">
        <v>24</v>
      </c>
      <c r="D399" s="3" t="n">
        <v>5</v>
      </c>
      <c r="E399" s="6" t="n">
        <v>950</v>
      </c>
      <c r="F399" s="6" t="n">
        <v>969</v>
      </c>
      <c r="G399" s="7" t="n">
        <f aca="false">F399-E399</f>
        <v>19</v>
      </c>
      <c r="H399" s="8" t="n">
        <f aca="false">IF(E399=0,0,F399/E399-1)</f>
        <v>0.02</v>
      </c>
      <c r="I399" s="3" t="s">
        <v>368</v>
      </c>
    </row>
    <row r="400" customFormat="false" ht="15" hidden="false" customHeight="false" outlineLevel="0" collapsed="false">
      <c r="A400" s="3" t="s">
        <v>471</v>
      </c>
      <c r="B400" s="3" t="s">
        <v>23</v>
      </c>
      <c r="C400" s="3" t="s">
        <v>24</v>
      </c>
      <c r="D400" s="3" t="n">
        <v>1</v>
      </c>
      <c r="E400" s="6" t="n">
        <v>129.99</v>
      </c>
      <c r="F400" s="6" t="n">
        <v>159</v>
      </c>
      <c r="G400" s="7" t="n">
        <f aca="false">F400-E400</f>
        <v>29.01</v>
      </c>
      <c r="H400" s="8" t="n">
        <f aca="false">IF(E400=0,0,F400/E400-1)</f>
        <v>0.223171013154858</v>
      </c>
      <c r="I400" s="3" t="s">
        <v>27</v>
      </c>
    </row>
    <row r="401" customFormat="false" ht="15" hidden="false" customHeight="false" outlineLevel="0" collapsed="false">
      <c r="A401" s="3" t="s">
        <v>472</v>
      </c>
      <c r="B401" s="3" t="s">
        <v>23</v>
      </c>
      <c r="C401" s="3" t="s">
        <v>24</v>
      </c>
      <c r="D401" s="3" t="n">
        <v>1</v>
      </c>
      <c r="E401" s="6" t="n">
        <v>119.99</v>
      </c>
      <c r="F401" s="6" t="n">
        <v>147</v>
      </c>
      <c r="G401" s="7" t="n">
        <f aca="false">F401-E401</f>
        <v>27.01</v>
      </c>
      <c r="H401" s="8" t="n">
        <f aca="false">IF(E401=0,0,F401/E401-1)</f>
        <v>0.225102091840987</v>
      </c>
      <c r="I401" s="3" t="s">
        <v>27</v>
      </c>
    </row>
    <row r="402" customFormat="false" ht="15" hidden="false" customHeight="false" outlineLevel="0" collapsed="false">
      <c r="A402" s="3" t="s">
        <v>473</v>
      </c>
      <c r="B402" s="3" t="s">
        <v>23</v>
      </c>
      <c r="C402" s="3" t="s">
        <v>24</v>
      </c>
      <c r="D402" s="3" t="n">
        <v>1</v>
      </c>
      <c r="E402" s="6" t="n">
        <v>40.17</v>
      </c>
      <c r="F402" s="6" t="n">
        <v>49.5</v>
      </c>
      <c r="G402" s="7" t="n">
        <f aca="false">F402-E402</f>
        <v>9.33</v>
      </c>
      <c r="H402" s="8" t="n">
        <f aca="false">IF(E402=0,0,F402/E402-1)</f>
        <v>0.23226288274832</v>
      </c>
      <c r="I402" s="3" t="s">
        <v>27</v>
      </c>
    </row>
    <row r="403" customFormat="false" ht="15" hidden="false" customHeight="false" outlineLevel="0" collapsed="false">
      <c r="A403" s="3" t="s">
        <v>474</v>
      </c>
      <c r="B403" s="3" t="s">
        <v>23</v>
      </c>
      <c r="C403" s="3" t="s">
        <v>24</v>
      </c>
      <c r="D403" s="3" t="n">
        <v>1</v>
      </c>
      <c r="E403" s="6" t="n">
        <v>228.66</v>
      </c>
      <c r="F403" s="6" t="n">
        <v>279</v>
      </c>
      <c r="G403" s="7" t="n">
        <f aca="false">F403-E403</f>
        <v>50.34</v>
      </c>
      <c r="H403" s="8" t="n">
        <f aca="false">IF(E403=0,0,F403/E403-1)</f>
        <v>0.220152191025977</v>
      </c>
      <c r="I403" s="3" t="s">
        <v>27</v>
      </c>
    </row>
    <row r="404" customFormat="false" ht="15" hidden="false" customHeight="false" outlineLevel="0" collapsed="false">
      <c r="A404" s="3" t="s">
        <v>475</v>
      </c>
      <c r="B404" s="3" t="s">
        <v>23</v>
      </c>
      <c r="C404" s="3" t="s">
        <v>24</v>
      </c>
      <c r="D404" s="3" t="n">
        <v>1</v>
      </c>
      <c r="E404" s="6" t="n">
        <v>54.99</v>
      </c>
      <c r="F404" s="6" t="n">
        <v>67.5</v>
      </c>
      <c r="G404" s="7" t="n">
        <f aca="false">F404-E404</f>
        <v>12.51</v>
      </c>
      <c r="H404" s="8" t="n">
        <f aca="false">IF(E404=0,0,F404/E404-1)</f>
        <v>0.227495908346972</v>
      </c>
      <c r="I404" s="3" t="s">
        <v>27</v>
      </c>
    </row>
    <row r="405" customFormat="false" ht="15" hidden="false" customHeight="false" outlineLevel="0" collapsed="false">
      <c r="A405" s="3" t="s">
        <v>476</v>
      </c>
      <c r="B405" s="3" t="s">
        <v>23</v>
      </c>
      <c r="C405" s="3" t="s">
        <v>24</v>
      </c>
      <c r="D405" s="3" t="n">
        <v>1</v>
      </c>
      <c r="E405" s="6" t="n">
        <v>59.99</v>
      </c>
      <c r="F405" s="6" t="n">
        <v>73.5</v>
      </c>
      <c r="G405" s="7" t="n">
        <f aca="false">F405-E405</f>
        <v>13.51</v>
      </c>
      <c r="H405" s="8" t="n">
        <f aca="false">IF(E405=0,0,F405/E405-1)</f>
        <v>0.225204200700117</v>
      </c>
      <c r="I405" s="3" t="s">
        <v>27</v>
      </c>
    </row>
    <row r="406" customFormat="false" ht="15" hidden="false" customHeight="false" outlineLevel="0" collapsed="false">
      <c r="A406" s="3" t="s">
        <v>477</v>
      </c>
      <c r="B406" s="3" t="s">
        <v>23</v>
      </c>
      <c r="C406" s="3" t="s">
        <v>24</v>
      </c>
      <c r="D406" s="3" t="n">
        <v>1</v>
      </c>
      <c r="E406" s="6" t="n">
        <v>18</v>
      </c>
      <c r="F406" s="6" t="n">
        <v>22</v>
      </c>
      <c r="G406" s="7" t="n">
        <f aca="false">F406-E406</f>
        <v>4</v>
      </c>
      <c r="H406" s="8" t="n">
        <f aca="false">IF(E406=0,0,F406/E406-1)</f>
        <v>0.222222222222222</v>
      </c>
      <c r="I406" s="3" t="s">
        <v>27</v>
      </c>
    </row>
    <row r="407" customFormat="false" ht="15" hidden="false" customHeight="false" outlineLevel="0" collapsed="false">
      <c r="A407" s="3" t="s">
        <v>478</v>
      </c>
      <c r="B407" s="3" t="s">
        <v>23</v>
      </c>
      <c r="C407" s="3" t="s">
        <v>24</v>
      </c>
      <c r="D407" s="3" t="n">
        <v>1</v>
      </c>
      <c r="E407" s="6" t="n">
        <v>7.05</v>
      </c>
      <c r="F407" s="6" t="n">
        <v>9</v>
      </c>
      <c r="G407" s="7" t="n">
        <f aca="false">F407-E407</f>
        <v>1.95</v>
      </c>
      <c r="H407" s="8" t="n">
        <f aca="false">IF(E407=0,0,F407/E407-1)</f>
        <v>0.276595744680851</v>
      </c>
      <c r="I407" s="3" t="s">
        <v>27</v>
      </c>
    </row>
    <row r="408" customFormat="false" ht="15" hidden="false" customHeight="false" outlineLevel="0" collapsed="false">
      <c r="A408" s="3" t="s">
        <v>479</v>
      </c>
      <c r="B408" s="3" t="s">
        <v>23</v>
      </c>
      <c r="C408" s="3" t="s">
        <v>24</v>
      </c>
      <c r="D408" s="3" t="n">
        <v>1</v>
      </c>
      <c r="E408" s="6" t="n">
        <v>83.71</v>
      </c>
      <c r="F408" s="6" t="n">
        <v>103</v>
      </c>
      <c r="G408" s="7" t="n">
        <f aca="false">F408-E408</f>
        <v>19.29</v>
      </c>
      <c r="H408" s="8" t="n">
        <f aca="false">IF(E408=0,0,F408/E408-1)</f>
        <v>0.230438418349062</v>
      </c>
      <c r="I408" s="3" t="s">
        <v>134</v>
      </c>
    </row>
    <row r="409" customFormat="false" ht="15" hidden="false" customHeight="false" outlineLevel="0" collapsed="false">
      <c r="A409" s="3" t="s">
        <v>480</v>
      </c>
      <c r="B409" s="3" t="s">
        <v>23</v>
      </c>
      <c r="C409" s="3" t="s">
        <v>24</v>
      </c>
      <c r="D409" s="3" t="n">
        <v>1</v>
      </c>
      <c r="E409" s="6" t="n">
        <v>33</v>
      </c>
      <c r="F409" s="6" t="n">
        <v>40.5</v>
      </c>
      <c r="G409" s="7" t="n">
        <f aca="false">F409-E409</f>
        <v>7.5</v>
      </c>
      <c r="H409" s="8" t="n">
        <f aca="false">IF(E409=0,0,F409/E409-1)</f>
        <v>0.227272727272727</v>
      </c>
      <c r="I409" s="3" t="s">
        <v>27</v>
      </c>
    </row>
    <row r="410" customFormat="false" ht="15" hidden="false" customHeight="false" outlineLevel="0" collapsed="false">
      <c r="A410" s="3" t="s">
        <v>481</v>
      </c>
      <c r="B410" s="3" t="s">
        <v>23</v>
      </c>
      <c r="C410" s="3" t="s">
        <v>24</v>
      </c>
      <c r="D410" s="3" t="n">
        <v>1</v>
      </c>
      <c r="E410" s="6" t="n">
        <v>170</v>
      </c>
      <c r="F410" s="6" t="n">
        <v>208</v>
      </c>
      <c r="G410" s="7" t="n">
        <f aca="false">F410-E410</f>
        <v>38</v>
      </c>
      <c r="H410" s="8" t="n">
        <f aca="false">IF(E410=0,0,F410/E410-1)</f>
        <v>0.223529411764706</v>
      </c>
      <c r="I410" s="3" t="s">
        <v>27</v>
      </c>
    </row>
    <row r="411" customFormat="false" ht="15" hidden="false" customHeight="false" outlineLevel="0" collapsed="false">
      <c r="A411" s="3" t="s">
        <v>482</v>
      </c>
      <c r="B411" s="3" t="s">
        <v>23</v>
      </c>
      <c r="C411" s="3" t="s">
        <v>24</v>
      </c>
      <c r="D411" s="3" t="n">
        <v>1</v>
      </c>
      <c r="E411" s="6" t="n">
        <v>79.99</v>
      </c>
      <c r="F411" s="6" t="n">
        <v>98</v>
      </c>
      <c r="G411" s="7" t="n">
        <f aca="false">F411-E411</f>
        <v>18.01</v>
      </c>
      <c r="H411" s="8" t="n">
        <f aca="false">IF(E411=0,0,F411/E411-1)</f>
        <v>0.225153144143018</v>
      </c>
      <c r="I411" s="3" t="s">
        <v>27</v>
      </c>
    </row>
    <row r="412" customFormat="false" ht="15" hidden="false" customHeight="false" outlineLevel="0" collapsed="false">
      <c r="A412" s="3" t="s">
        <v>483</v>
      </c>
      <c r="B412" s="3" t="s">
        <v>23</v>
      </c>
      <c r="C412" s="3" t="s">
        <v>24</v>
      </c>
      <c r="D412" s="3" t="n">
        <v>1</v>
      </c>
      <c r="E412" s="6" t="n">
        <v>38.16</v>
      </c>
      <c r="F412" s="6" t="n">
        <v>47</v>
      </c>
      <c r="G412" s="7" t="n">
        <f aca="false">F412-E412</f>
        <v>8.84</v>
      </c>
      <c r="H412" s="8" t="n">
        <f aca="false">IF(E412=0,0,F412/E412-1)</f>
        <v>0.231656184486373</v>
      </c>
      <c r="I412" s="3" t="s">
        <v>134</v>
      </c>
    </row>
    <row r="413" customFormat="false" ht="15" hidden="false" customHeight="false" outlineLevel="0" collapsed="false">
      <c r="A413" s="3" t="s">
        <v>484</v>
      </c>
      <c r="B413" s="3" t="s">
        <v>23</v>
      </c>
      <c r="C413" s="3" t="s">
        <v>24</v>
      </c>
      <c r="D413" s="3" t="n">
        <v>3</v>
      </c>
      <c r="E413" s="6" t="n">
        <v>569.99</v>
      </c>
      <c r="F413" s="6" t="n">
        <v>662</v>
      </c>
      <c r="G413" s="7" t="n">
        <f aca="false">F413-E413</f>
        <v>92.01</v>
      </c>
      <c r="H413" s="8" t="n">
        <f aca="false">IF(E413=0,0,F413/E413-1)</f>
        <v>0.161423884629555</v>
      </c>
      <c r="I413" s="3" t="s">
        <v>38</v>
      </c>
    </row>
    <row r="414" customFormat="false" ht="15" hidden="false" customHeight="false" outlineLevel="0" collapsed="false">
      <c r="A414" s="3" t="s">
        <v>485</v>
      </c>
      <c r="B414" s="3" t="s">
        <v>23</v>
      </c>
      <c r="C414" s="3" t="s">
        <v>24</v>
      </c>
      <c r="D414" s="3" t="n">
        <v>1</v>
      </c>
      <c r="E414" s="6" t="n">
        <v>330</v>
      </c>
      <c r="F414" s="6" t="n">
        <v>403</v>
      </c>
      <c r="G414" s="7" t="n">
        <f aca="false">F414-E414</f>
        <v>73</v>
      </c>
      <c r="H414" s="8" t="n">
        <f aca="false">IF(E414=0,0,F414/E414-1)</f>
        <v>0.221212121212121</v>
      </c>
      <c r="I414" s="3" t="s">
        <v>486</v>
      </c>
    </row>
    <row r="415" customFormat="false" ht="15" hidden="false" customHeight="false" outlineLevel="0" collapsed="false">
      <c r="A415" s="3" t="s">
        <v>487</v>
      </c>
      <c r="B415" s="3" t="s">
        <v>23</v>
      </c>
      <c r="C415" s="3" t="s">
        <v>24</v>
      </c>
      <c r="D415" s="3" t="n">
        <v>1</v>
      </c>
      <c r="E415" s="6" t="n">
        <v>24.99</v>
      </c>
      <c r="F415" s="6" t="n">
        <v>30.5</v>
      </c>
      <c r="G415" s="7" t="n">
        <f aca="false">F415-E415</f>
        <v>5.51</v>
      </c>
      <c r="H415" s="8" t="n">
        <f aca="false">IF(E415=0,0,F415/E415-1)</f>
        <v>0.220488195278111</v>
      </c>
      <c r="I415" s="3" t="s">
        <v>27</v>
      </c>
    </row>
    <row r="416" customFormat="false" ht="15" hidden="false" customHeight="false" outlineLevel="0" collapsed="false">
      <c r="A416" s="3" t="s">
        <v>488</v>
      </c>
      <c r="B416" s="3" t="s">
        <v>23</v>
      </c>
      <c r="C416" s="3" t="s">
        <v>24</v>
      </c>
      <c r="D416" s="3" t="n">
        <v>3</v>
      </c>
      <c r="E416" s="6" t="n">
        <v>699.99</v>
      </c>
      <c r="F416" s="6" t="n">
        <v>812</v>
      </c>
      <c r="G416" s="7" t="n">
        <f aca="false">F416-E416</f>
        <v>112.01</v>
      </c>
      <c r="H416" s="8" t="n">
        <f aca="false">IF(E416=0,0,F416/E416-1)</f>
        <v>0.160016571665309</v>
      </c>
      <c r="I416" s="3" t="s">
        <v>38</v>
      </c>
    </row>
    <row r="417" customFormat="false" ht="15" hidden="false" customHeight="false" outlineLevel="0" collapsed="false">
      <c r="A417" s="3" t="s">
        <v>489</v>
      </c>
      <c r="B417" s="3" t="s">
        <v>23</v>
      </c>
      <c r="C417" s="3" t="s">
        <v>24</v>
      </c>
      <c r="D417" s="3" t="n">
        <v>3</v>
      </c>
      <c r="E417" s="6" t="n">
        <v>280</v>
      </c>
      <c r="F417" s="6" t="n">
        <v>325</v>
      </c>
      <c r="G417" s="7" t="n">
        <f aca="false">F417-E417</f>
        <v>45</v>
      </c>
      <c r="H417" s="8" t="n">
        <f aca="false">IF(E417=0,0,F417/E417-1)</f>
        <v>0.160714285714286</v>
      </c>
      <c r="I417" s="3" t="s">
        <v>38</v>
      </c>
    </row>
    <row r="418" customFormat="false" ht="15" hidden="false" customHeight="false" outlineLevel="0" collapsed="false">
      <c r="A418" s="3" t="s">
        <v>490</v>
      </c>
      <c r="B418" s="3" t="s">
        <v>23</v>
      </c>
      <c r="C418" s="3" t="s">
        <v>24</v>
      </c>
      <c r="D418" s="3" t="n">
        <v>1</v>
      </c>
      <c r="E418" s="6" t="n">
        <v>79</v>
      </c>
      <c r="F418" s="6" t="n">
        <v>96.5</v>
      </c>
      <c r="G418" s="7" t="n">
        <f aca="false">F418-E418</f>
        <v>17.5</v>
      </c>
      <c r="H418" s="8" t="n">
        <f aca="false">IF(E418=0,0,F418/E418-1)</f>
        <v>0.221518987341772</v>
      </c>
      <c r="I418" s="3" t="s">
        <v>27</v>
      </c>
    </row>
    <row r="419" customFormat="false" ht="15" hidden="false" customHeight="false" outlineLevel="0" collapsed="false">
      <c r="A419" s="3" t="s">
        <v>491</v>
      </c>
      <c r="B419" s="3" t="s">
        <v>23</v>
      </c>
      <c r="C419" s="3" t="s">
        <v>179</v>
      </c>
      <c r="D419" s="3" t="n">
        <v>3</v>
      </c>
      <c r="E419" s="6" t="n">
        <v>366</v>
      </c>
      <c r="F419" s="6" t="n">
        <v>425</v>
      </c>
      <c r="G419" s="7" t="n">
        <f aca="false">F419-E419</f>
        <v>59</v>
      </c>
      <c r="H419" s="8" t="n">
        <f aca="false">IF(E419=0,0,F419/E419-1)</f>
        <v>0.16120218579235</v>
      </c>
      <c r="I419" s="3" t="s">
        <v>492</v>
      </c>
    </row>
    <row r="420" customFormat="false" ht="15" hidden="false" customHeight="false" outlineLevel="0" collapsed="false">
      <c r="A420" s="3" t="s">
        <v>493</v>
      </c>
      <c r="B420" s="3" t="s">
        <v>23</v>
      </c>
      <c r="C420" s="3" t="s">
        <v>24</v>
      </c>
      <c r="D420" s="3" t="n">
        <v>1</v>
      </c>
      <c r="E420" s="6" t="n">
        <v>29.99</v>
      </c>
      <c r="F420" s="6" t="n">
        <v>37</v>
      </c>
      <c r="G420" s="7" t="n">
        <f aca="false">F420-E420</f>
        <v>7.01</v>
      </c>
      <c r="H420" s="8" t="n">
        <f aca="false">IF(E420=0,0,F420/E420-1)</f>
        <v>0.233744581527176</v>
      </c>
      <c r="I420" s="3" t="s">
        <v>27</v>
      </c>
    </row>
    <row r="421" customFormat="false" ht="15" hidden="false" customHeight="false" outlineLevel="0" collapsed="false">
      <c r="A421" s="3" t="s">
        <v>494</v>
      </c>
      <c r="B421" s="3" t="s">
        <v>23</v>
      </c>
      <c r="C421" s="3" t="s">
        <v>24</v>
      </c>
      <c r="D421" s="3" t="n">
        <v>1</v>
      </c>
      <c r="E421" s="6" t="n">
        <v>49.99</v>
      </c>
      <c r="F421" s="6" t="n">
        <v>61</v>
      </c>
      <c r="G421" s="7" t="n">
        <f aca="false">F421-E421</f>
        <v>11.01</v>
      </c>
      <c r="H421" s="8" t="n">
        <f aca="false">IF(E421=0,0,F421/E421-1)</f>
        <v>0.220244048809762</v>
      </c>
      <c r="I421" s="3" t="s">
        <v>27</v>
      </c>
    </row>
    <row r="422" customFormat="false" ht="15" hidden="false" customHeight="false" outlineLevel="0" collapsed="false">
      <c r="A422" s="3" t="s">
        <v>495</v>
      </c>
      <c r="B422" s="3" t="s">
        <v>23</v>
      </c>
      <c r="C422" s="3" t="s">
        <v>24</v>
      </c>
      <c r="D422" s="3" t="n">
        <v>1</v>
      </c>
      <c r="E422" s="6" t="n">
        <v>29.99</v>
      </c>
      <c r="F422" s="6" t="n">
        <v>37</v>
      </c>
      <c r="G422" s="7" t="n">
        <f aca="false">F422-E422</f>
        <v>7.01</v>
      </c>
      <c r="H422" s="8" t="n">
        <f aca="false">IF(E422=0,0,F422/E422-1)</f>
        <v>0.233744581527176</v>
      </c>
      <c r="I422" s="3" t="s">
        <v>27</v>
      </c>
    </row>
    <row r="423" customFormat="false" ht="15" hidden="false" customHeight="false" outlineLevel="0" collapsed="false">
      <c r="A423" s="3" t="s">
        <v>496</v>
      </c>
      <c r="B423" s="3" t="s">
        <v>23</v>
      </c>
      <c r="C423" s="3" t="s">
        <v>24</v>
      </c>
      <c r="D423" s="3" t="n">
        <v>1</v>
      </c>
      <c r="E423" s="6" t="n">
        <v>74.99</v>
      </c>
      <c r="F423" s="6" t="n">
        <v>91.5</v>
      </c>
      <c r="G423" s="7" t="n">
        <f aca="false">F423-E423</f>
        <v>16.51</v>
      </c>
      <c r="H423" s="8" t="n">
        <f aca="false">IF(E423=0,0,F423/E423-1)</f>
        <v>0.220162688358448</v>
      </c>
      <c r="I423" s="3" t="s">
        <v>89</v>
      </c>
    </row>
    <row r="424" customFormat="false" ht="15" hidden="false" customHeight="false" outlineLevel="0" collapsed="false">
      <c r="A424" s="3" t="s">
        <v>497</v>
      </c>
      <c r="B424" s="3" t="s">
        <v>23</v>
      </c>
      <c r="C424" s="3" t="s">
        <v>24</v>
      </c>
      <c r="D424" s="3" t="n">
        <v>2</v>
      </c>
      <c r="E424" s="6" t="n">
        <v>282</v>
      </c>
      <c r="F424" s="6" t="n">
        <v>333</v>
      </c>
      <c r="G424" s="7" t="n">
        <f aca="false">F424-E424</f>
        <v>51</v>
      </c>
      <c r="H424" s="8" t="n">
        <f aca="false">IF(E424=0,0,F424/E424-1)</f>
        <v>0.180851063829787</v>
      </c>
      <c r="I424" s="3" t="s">
        <v>247</v>
      </c>
    </row>
    <row r="425" customFormat="false" ht="15" hidden="false" customHeight="false" outlineLevel="0" collapsed="false">
      <c r="A425" s="3" t="s">
        <v>498</v>
      </c>
      <c r="B425" s="3" t="s">
        <v>23</v>
      </c>
      <c r="C425" s="3" t="s">
        <v>24</v>
      </c>
      <c r="D425" s="3" t="n">
        <v>1</v>
      </c>
      <c r="E425" s="6" t="n">
        <v>19.99</v>
      </c>
      <c r="F425" s="6" t="n">
        <v>24.5</v>
      </c>
      <c r="G425" s="7" t="n">
        <f aca="false">F425-E425</f>
        <v>4.51</v>
      </c>
      <c r="H425" s="8" t="n">
        <f aca="false">IF(E425=0,0,F425/E425-1)</f>
        <v>0.225612806403202</v>
      </c>
      <c r="I425" s="3" t="s">
        <v>27</v>
      </c>
    </row>
    <row r="426" customFormat="false" ht="15" hidden="false" customHeight="false" outlineLevel="0" collapsed="false">
      <c r="A426" s="3" t="s">
        <v>499</v>
      </c>
      <c r="B426" s="3" t="s">
        <v>23</v>
      </c>
      <c r="C426" s="3" t="s">
        <v>24</v>
      </c>
      <c r="D426" s="3" t="n">
        <v>1</v>
      </c>
      <c r="E426" s="6" t="n">
        <v>13.61</v>
      </c>
      <c r="F426" s="6" t="n">
        <v>17</v>
      </c>
      <c r="G426" s="7" t="n">
        <f aca="false">F426-E426</f>
        <v>3.39</v>
      </c>
      <c r="H426" s="8" t="n">
        <f aca="false">IF(E426=0,0,F426/E426-1)</f>
        <v>0.249081557678178</v>
      </c>
      <c r="I426" s="3" t="s">
        <v>134</v>
      </c>
    </row>
    <row r="427" customFormat="false" ht="15" hidden="false" customHeight="false" outlineLevel="0" collapsed="false">
      <c r="A427" s="3" t="s">
        <v>500</v>
      </c>
      <c r="B427" s="3" t="s">
        <v>23</v>
      </c>
      <c r="C427" s="3" t="s">
        <v>24</v>
      </c>
      <c r="D427" s="3" t="n">
        <v>1</v>
      </c>
      <c r="E427" s="6" t="n">
        <v>15.67</v>
      </c>
      <c r="F427" s="6" t="n">
        <v>19.5</v>
      </c>
      <c r="G427" s="7" t="n">
        <f aca="false">F427-E427</f>
        <v>3.83</v>
      </c>
      <c r="H427" s="8" t="n">
        <f aca="false">IF(E427=0,0,F427/E427-1)</f>
        <v>0.244416081684748</v>
      </c>
      <c r="I427" s="3" t="s">
        <v>134</v>
      </c>
    </row>
    <row r="428" customFormat="false" ht="15" hidden="false" customHeight="false" outlineLevel="0" collapsed="false">
      <c r="A428" s="3" t="s">
        <v>501</v>
      </c>
      <c r="B428" s="3" t="s">
        <v>23</v>
      </c>
      <c r="C428" s="3" t="s">
        <v>24</v>
      </c>
      <c r="D428" s="3" t="n">
        <v>1</v>
      </c>
      <c r="E428" s="6" t="n">
        <v>149.99</v>
      </c>
      <c r="F428" s="6" t="n">
        <v>183</v>
      </c>
      <c r="G428" s="7" t="n">
        <f aca="false">F428-E428</f>
        <v>33.01</v>
      </c>
      <c r="H428" s="8" t="n">
        <f aca="false">IF(E428=0,0,F428/E428-1)</f>
        <v>0.220081338755917</v>
      </c>
      <c r="I428" s="3" t="s">
        <v>27</v>
      </c>
    </row>
    <row r="429" customFormat="false" ht="15" hidden="false" customHeight="false" outlineLevel="0" collapsed="false">
      <c r="A429" s="3" t="s">
        <v>502</v>
      </c>
      <c r="B429" s="3" t="s">
        <v>23</v>
      </c>
      <c r="C429" s="3" t="s">
        <v>24</v>
      </c>
      <c r="D429" s="3" t="n">
        <v>1</v>
      </c>
      <c r="E429" s="6" t="n">
        <v>404.99</v>
      </c>
      <c r="F429" s="6" t="n">
        <v>495</v>
      </c>
      <c r="G429" s="7" t="n">
        <f aca="false">F429-E429</f>
        <v>90.01</v>
      </c>
      <c r="H429" s="8" t="n">
        <f aca="false">IF(E429=0,0,F429/E429-1)</f>
        <v>0.222252401293859</v>
      </c>
      <c r="I429" s="3" t="s">
        <v>225</v>
      </c>
    </row>
    <row r="430" customFormat="false" ht="15" hidden="false" customHeight="false" outlineLevel="0" collapsed="false">
      <c r="A430" s="3" t="s">
        <v>503</v>
      </c>
      <c r="B430" s="3" t="s">
        <v>23</v>
      </c>
      <c r="C430" s="3" t="s">
        <v>24</v>
      </c>
      <c r="D430" s="3" t="n">
        <v>1</v>
      </c>
      <c r="E430" s="6" t="n">
        <v>105.99</v>
      </c>
      <c r="F430" s="6" t="n">
        <v>130</v>
      </c>
      <c r="G430" s="7" t="n">
        <f aca="false">F430-E430</f>
        <v>24.01</v>
      </c>
      <c r="H430" s="8" t="n">
        <f aca="false">IF(E430=0,0,F430/E430-1)</f>
        <v>0.226530804792905</v>
      </c>
      <c r="I430" s="3" t="s">
        <v>27</v>
      </c>
    </row>
    <row r="431" customFormat="false" ht="15" hidden="false" customHeight="false" outlineLevel="0" collapsed="false">
      <c r="A431" s="3" t="s">
        <v>504</v>
      </c>
      <c r="B431" s="3" t="s">
        <v>23</v>
      </c>
      <c r="C431" s="3" t="s">
        <v>24</v>
      </c>
      <c r="D431" s="3" t="n">
        <v>1</v>
      </c>
      <c r="E431" s="6" t="n">
        <v>12.13</v>
      </c>
      <c r="F431" s="6" t="n">
        <v>15</v>
      </c>
      <c r="G431" s="7" t="n">
        <f aca="false">F431-E431</f>
        <v>2.87</v>
      </c>
      <c r="H431" s="8" t="n">
        <f aca="false">IF(E431=0,0,F431/E431-1)</f>
        <v>0.236603462489695</v>
      </c>
      <c r="I431" s="3" t="s">
        <v>134</v>
      </c>
    </row>
    <row r="432" customFormat="false" ht="15" hidden="false" customHeight="false" outlineLevel="0" collapsed="false">
      <c r="A432" s="3" t="s">
        <v>505</v>
      </c>
      <c r="B432" s="3" t="s">
        <v>23</v>
      </c>
      <c r="C432" s="3" t="s">
        <v>179</v>
      </c>
      <c r="D432" s="3" t="n">
        <v>3</v>
      </c>
      <c r="E432" s="6" t="n">
        <v>640</v>
      </c>
      <c r="F432" s="6" t="n">
        <v>743</v>
      </c>
      <c r="G432" s="7" t="n">
        <f aca="false">F432-E432</f>
        <v>103</v>
      </c>
      <c r="H432" s="8" t="n">
        <f aca="false">IF(E432=0,0,F432/E432-1)</f>
        <v>0.1609375</v>
      </c>
      <c r="I432" s="3" t="s">
        <v>506</v>
      </c>
    </row>
    <row r="433" customFormat="false" ht="15" hidden="false" customHeight="false" outlineLevel="0" collapsed="false">
      <c r="A433" s="3" t="s">
        <v>507</v>
      </c>
      <c r="B433" s="3" t="s">
        <v>23</v>
      </c>
      <c r="C433" s="3" t="s">
        <v>24</v>
      </c>
      <c r="D433" s="3" t="n">
        <v>5</v>
      </c>
      <c r="E433" s="6" t="n">
        <v>950</v>
      </c>
      <c r="F433" s="6" t="n">
        <v>969</v>
      </c>
      <c r="G433" s="7" t="n">
        <f aca="false">F433-E433</f>
        <v>19</v>
      </c>
      <c r="H433" s="8" t="n">
        <f aca="false">IF(E433=0,0,F433/E433-1)</f>
        <v>0.02</v>
      </c>
      <c r="I433" s="3" t="s">
        <v>368</v>
      </c>
    </row>
    <row r="434" customFormat="false" ht="15" hidden="false" customHeight="false" outlineLevel="0" collapsed="false">
      <c r="A434" s="3" t="s">
        <v>508</v>
      </c>
      <c r="B434" s="3" t="s">
        <v>23</v>
      </c>
      <c r="C434" s="3" t="s">
        <v>24</v>
      </c>
      <c r="D434" s="3" t="n">
        <v>3</v>
      </c>
      <c r="E434" s="6" t="n">
        <v>494.99</v>
      </c>
      <c r="F434" s="6" t="n">
        <v>575</v>
      </c>
      <c r="G434" s="7" t="n">
        <f aca="false">F434-E434</f>
        <v>80.01</v>
      </c>
      <c r="H434" s="8" t="n">
        <f aca="false">IF(E434=0,0,F434/E434-1)</f>
        <v>0.161639629083416</v>
      </c>
      <c r="I434" s="3" t="s">
        <v>38</v>
      </c>
    </row>
    <row r="435" customFormat="false" ht="15" hidden="false" customHeight="false" outlineLevel="0" collapsed="false">
      <c r="A435" s="3" t="s">
        <v>509</v>
      </c>
      <c r="B435" s="3" t="s">
        <v>23</v>
      </c>
      <c r="C435" s="3" t="s">
        <v>24</v>
      </c>
      <c r="D435" s="3" t="n">
        <v>1</v>
      </c>
      <c r="E435" s="6" t="n">
        <v>39.99</v>
      </c>
      <c r="F435" s="6" t="n">
        <v>49</v>
      </c>
      <c r="G435" s="7" t="n">
        <f aca="false">F435-E435</f>
        <v>9.01</v>
      </c>
      <c r="H435" s="8" t="n">
        <f aca="false">IF(E435=0,0,F435/E435-1)</f>
        <v>0.225306326581645</v>
      </c>
      <c r="I435" s="3" t="s">
        <v>486</v>
      </c>
    </row>
    <row r="436" customFormat="false" ht="15" hidden="false" customHeight="false" outlineLevel="0" collapsed="false">
      <c r="A436" s="3" t="s">
        <v>510</v>
      </c>
      <c r="B436" s="3" t="s">
        <v>23</v>
      </c>
      <c r="C436" s="3" t="s">
        <v>24</v>
      </c>
      <c r="D436" s="3" t="n">
        <v>1</v>
      </c>
      <c r="E436" s="6" t="n">
        <v>24.99</v>
      </c>
      <c r="F436" s="6" t="n">
        <v>30.5</v>
      </c>
      <c r="G436" s="7" t="n">
        <f aca="false">F436-E436</f>
        <v>5.51</v>
      </c>
      <c r="H436" s="8" t="n">
        <f aca="false">IF(E436=0,0,F436/E436-1)</f>
        <v>0.220488195278111</v>
      </c>
      <c r="I436" s="3" t="s">
        <v>27</v>
      </c>
    </row>
    <row r="437" customFormat="false" ht="15" hidden="false" customHeight="false" outlineLevel="0" collapsed="false">
      <c r="A437" s="3" t="s">
        <v>511</v>
      </c>
      <c r="B437" s="3" t="s">
        <v>23</v>
      </c>
      <c r="C437" s="3" t="s">
        <v>24</v>
      </c>
      <c r="D437" s="3" t="n">
        <v>1</v>
      </c>
      <c r="E437" s="6" t="n">
        <v>279</v>
      </c>
      <c r="F437" s="6" t="n">
        <v>341</v>
      </c>
      <c r="G437" s="7" t="n">
        <f aca="false">F437-E437</f>
        <v>62</v>
      </c>
      <c r="H437" s="8" t="n">
        <f aca="false">IF(E437=0,0,F437/E437-1)</f>
        <v>0.222222222222222</v>
      </c>
      <c r="I437" s="3" t="s">
        <v>27</v>
      </c>
    </row>
    <row r="438" customFormat="false" ht="15" hidden="false" customHeight="false" outlineLevel="0" collapsed="false">
      <c r="A438" s="3" t="s">
        <v>512</v>
      </c>
      <c r="B438" s="3" t="s">
        <v>23</v>
      </c>
      <c r="C438" s="3" t="s">
        <v>24</v>
      </c>
      <c r="D438" s="3" t="n">
        <v>1</v>
      </c>
      <c r="E438" s="6" t="n">
        <v>220</v>
      </c>
      <c r="F438" s="6" t="n">
        <v>269</v>
      </c>
      <c r="G438" s="7" t="n">
        <f aca="false">F438-E438</f>
        <v>49</v>
      </c>
      <c r="H438" s="8" t="n">
        <f aca="false">IF(E438=0,0,F438/E438-1)</f>
        <v>0.222727272727273</v>
      </c>
      <c r="I438" s="3" t="s">
        <v>27</v>
      </c>
    </row>
    <row r="439" customFormat="false" ht="15" hidden="false" customHeight="false" outlineLevel="0" collapsed="false">
      <c r="A439" s="3" t="s">
        <v>513</v>
      </c>
      <c r="B439" s="3" t="s">
        <v>23</v>
      </c>
      <c r="C439" s="3" t="s">
        <v>24</v>
      </c>
      <c r="D439" s="3" t="n">
        <v>2</v>
      </c>
      <c r="E439" s="6" t="n">
        <v>494.99</v>
      </c>
      <c r="F439" s="6" t="n">
        <v>585</v>
      </c>
      <c r="G439" s="7" t="n">
        <f aca="false">F439-E439</f>
        <v>90.01</v>
      </c>
      <c r="H439" s="8" t="n">
        <f aca="false">IF(E439=0,0,F439/E439-1)</f>
        <v>0.181842057415301</v>
      </c>
      <c r="I439" s="3" t="s">
        <v>514</v>
      </c>
    </row>
    <row r="440" customFormat="false" ht="15" hidden="false" customHeight="false" outlineLevel="0" collapsed="false">
      <c r="A440" s="3" t="s">
        <v>515</v>
      </c>
      <c r="B440" s="3" t="s">
        <v>23</v>
      </c>
      <c r="C440" s="3" t="s">
        <v>24</v>
      </c>
      <c r="D440" s="3" t="n">
        <v>1</v>
      </c>
      <c r="E440" s="6" t="n">
        <v>177.45</v>
      </c>
      <c r="F440" s="6" t="n">
        <v>217</v>
      </c>
      <c r="G440" s="7" t="n">
        <f aca="false">F440-E440</f>
        <v>39.55</v>
      </c>
      <c r="H440" s="8" t="n">
        <f aca="false">IF(E440=0,0,F440/E440-1)</f>
        <v>0.222879684418146</v>
      </c>
      <c r="I440" s="3" t="s">
        <v>27</v>
      </c>
    </row>
    <row r="441" customFormat="false" ht="15" hidden="false" customHeight="false" outlineLevel="0" collapsed="false">
      <c r="A441" s="3" t="s">
        <v>516</v>
      </c>
      <c r="B441" s="3" t="s">
        <v>23</v>
      </c>
      <c r="C441" s="3" t="s">
        <v>24</v>
      </c>
      <c r="D441" s="3" t="n">
        <v>1</v>
      </c>
      <c r="E441" s="6" t="n">
        <v>110</v>
      </c>
      <c r="F441" s="6" t="n">
        <v>135</v>
      </c>
      <c r="G441" s="7" t="n">
        <f aca="false">F441-E441</f>
        <v>25</v>
      </c>
      <c r="H441" s="8" t="n">
        <f aca="false">IF(E441=0,0,F441/E441-1)</f>
        <v>0.227272727272727</v>
      </c>
      <c r="I441" s="3" t="s">
        <v>27</v>
      </c>
    </row>
    <row r="442" customFormat="false" ht="15" hidden="false" customHeight="false" outlineLevel="0" collapsed="false">
      <c r="A442" s="3" t="s">
        <v>517</v>
      </c>
      <c r="B442" s="3" t="s">
        <v>23</v>
      </c>
      <c r="C442" s="3" t="s">
        <v>24</v>
      </c>
      <c r="D442" s="3" t="n">
        <v>1</v>
      </c>
      <c r="E442" s="6" t="n">
        <v>13.61</v>
      </c>
      <c r="F442" s="6" t="n">
        <v>17</v>
      </c>
      <c r="G442" s="7" t="n">
        <f aca="false">F442-E442</f>
        <v>3.39</v>
      </c>
      <c r="H442" s="8" t="n">
        <f aca="false">IF(E442=0,0,F442/E442-1)</f>
        <v>0.249081557678178</v>
      </c>
      <c r="I442" s="3" t="s">
        <v>134</v>
      </c>
    </row>
    <row r="443" customFormat="false" ht="15" hidden="false" customHeight="false" outlineLevel="0" collapsed="false">
      <c r="A443" s="3" t="s">
        <v>518</v>
      </c>
      <c r="B443" s="3" t="s">
        <v>23</v>
      </c>
      <c r="C443" s="3" t="s">
        <v>24</v>
      </c>
      <c r="D443" s="3" t="n">
        <v>3</v>
      </c>
      <c r="E443" s="6" t="n">
        <v>599.99</v>
      </c>
      <c r="F443" s="6" t="n">
        <v>696</v>
      </c>
      <c r="G443" s="7" t="n">
        <f aca="false">F443-E443</f>
        <v>96.01</v>
      </c>
      <c r="H443" s="8" t="n">
        <f aca="false">IF(E443=0,0,F443/E443-1)</f>
        <v>0.160019333655561</v>
      </c>
      <c r="I443" s="3" t="s">
        <v>38</v>
      </c>
    </row>
    <row r="444" customFormat="false" ht="15" hidden="false" customHeight="false" outlineLevel="0" collapsed="false">
      <c r="A444" s="3" t="s">
        <v>519</v>
      </c>
      <c r="B444" s="3" t="s">
        <v>23</v>
      </c>
      <c r="C444" s="3" t="s">
        <v>24</v>
      </c>
      <c r="D444" s="3" t="n">
        <v>1</v>
      </c>
      <c r="E444" s="6" t="n">
        <v>34.99</v>
      </c>
      <c r="F444" s="6" t="n">
        <v>43</v>
      </c>
      <c r="G444" s="7" t="n">
        <f aca="false">F444-E444</f>
        <v>8.01</v>
      </c>
      <c r="H444" s="8" t="n">
        <f aca="false">IF(E444=0,0,F444/E444-1)</f>
        <v>0.2289225492998</v>
      </c>
      <c r="I444" s="3" t="s">
        <v>520</v>
      </c>
    </row>
    <row r="445" customFormat="false" ht="15" hidden="false" customHeight="false" outlineLevel="0" collapsed="false">
      <c r="A445" s="3" t="s">
        <v>521</v>
      </c>
      <c r="B445" s="3" t="s">
        <v>23</v>
      </c>
      <c r="C445" s="3" t="s">
        <v>24</v>
      </c>
      <c r="D445" s="3" t="n">
        <v>1</v>
      </c>
      <c r="E445" s="6" t="n">
        <v>79.99</v>
      </c>
      <c r="F445" s="6" t="n">
        <v>98</v>
      </c>
      <c r="G445" s="7" t="n">
        <f aca="false">F445-E445</f>
        <v>18.01</v>
      </c>
      <c r="H445" s="8" t="n">
        <f aca="false">IF(E445=0,0,F445/E445-1)</f>
        <v>0.225153144143018</v>
      </c>
      <c r="I445" s="3" t="s">
        <v>27</v>
      </c>
    </row>
    <row r="446" customFormat="false" ht="15" hidden="false" customHeight="false" outlineLevel="0" collapsed="false">
      <c r="A446" s="3" t="s">
        <v>522</v>
      </c>
      <c r="B446" s="3" t="s">
        <v>23</v>
      </c>
      <c r="C446" s="3" t="s">
        <v>179</v>
      </c>
      <c r="D446" s="3" t="n">
        <v>2</v>
      </c>
      <c r="E446" s="6" t="n">
        <v>900</v>
      </c>
      <c r="F446" s="6" t="n">
        <v>1065</v>
      </c>
      <c r="G446" s="7" t="n">
        <f aca="false">F446-E446</f>
        <v>165</v>
      </c>
      <c r="H446" s="8" t="n">
        <f aca="false">IF(E446=0,0,F446/E446-1)</f>
        <v>0.183333333333333</v>
      </c>
      <c r="I446" s="3" t="s">
        <v>523</v>
      </c>
    </row>
    <row r="447" customFormat="false" ht="15" hidden="false" customHeight="false" outlineLevel="0" collapsed="false">
      <c r="A447" s="3" t="s">
        <v>524</v>
      </c>
      <c r="B447" s="3" t="s">
        <v>23</v>
      </c>
      <c r="C447" s="3" t="s">
        <v>24</v>
      </c>
      <c r="D447" s="3" t="n">
        <v>1</v>
      </c>
      <c r="E447" s="6" t="n">
        <v>169.99</v>
      </c>
      <c r="F447" s="6" t="n">
        <v>208</v>
      </c>
      <c r="G447" s="7" t="n">
        <f aca="false">F447-E447</f>
        <v>38.01</v>
      </c>
      <c r="H447" s="8" t="n">
        <f aca="false">IF(E447=0,0,F447/E447-1)</f>
        <v>0.22360138831696</v>
      </c>
      <c r="I447" s="3" t="s">
        <v>27</v>
      </c>
    </row>
    <row r="448" customFormat="false" ht="15" hidden="false" customHeight="false" outlineLevel="0" collapsed="false">
      <c r="A448" s="3" t="s">
        <v>525</v>
      </c>
      <c r="B448" s="3" t="s">
        <v>23</v>
      </c>
      <c r="C448" s="3" t="s">
        <v>24</v>
      </c>
      <c r="D448" s="3" t="n">
        <v>1</v>
      </c>
      <c r="E448" s="6" t="n">
        <v>19.99</v>
      </c>
      <c r="F448" s="6" t="n">
        <v>24.5</v>
      </c>
      <c r="G448" s="7" t="n">
        <f aca="false">F448-E448</f>
        <v>4.51</v>
      </c>
      <c r="H448" s="8" t="n">
        <f aca="false">IF(E448=0,0,F448/E448-1)</f>
        <v>0.225612806403202</v>
      </c>
      <c r="I448" s="3" t="s">
        <v>27</v>
      </c>
    </row>
    <row r="449" customFormat="false" ht="15" hidden="false" customHeight="false" outlineLevel="0" collapsed="false">
      <c r="A449" s="3" t="s">
        <v>526</v>
      </c>
      <c r="B449" s="3" t="s">
        <v>23</v>
      </c>
      <c r="C449" s="3" t="s">
        <v>24</v>
      </c>
      <c r="D449" s="3" t="n">
        <v>1</v>
      </c>
      <c r="E449" s="6" t="n">
        <v>250</v>
      </c>
      <c r="F449" s="6" t="n">
        <v>305</v>
      </c>
      <c r="G449" s="7" t="n">
        <f aca="false">F449-E449</f>
        <v>55</v>
      </c>
      <c r="H449" s="8" t="n">
        <f aca="false">IF(E449=0,0,F449/E449-1)</f>
        <v>0.22</v>
      </c>
      <c r="I449" s="3" t="s">
        <v>27</v>
      </c>
    </row>
    <row r="450" customFormat="false" ht="15" hidden="false" customHeight="false" outlineLevel="0" collapsed="false">
      <c r="A450" s="3" t="s">
        <v>527</v>
      </c>
      <c r="B450" s="3" t="s">
        <v>23</v>
      </c>
      <c r="C450" s="3" t="s">
        <v>24</v>
      </c>
      <c r="D450" s="3" t="n">
        <v>1</v>
      </c>
      <c r="E450" s="6" t="n">
        <v>34.99</v>
      </c>
      <c r="F450" s="6" t="n">
        <v>43</v>
      </c>
      <c r="G450" s="7" t="n">
        <f aca="false">F450-E450</f>
        <v>8.01</v>
      </c>
      <c r="H450" s="8" t="n">
        <f aca="false">IF(E450=0,0,F450/E450-1)</f>
        <v>0.2289225492998</v>
      </c>
      <c r="I450" s="3" t="s">
        <v>27</v>
      </c>
    </row>
    <row r="451" customFormat="false" ht="15" hidden="false" customHeight="false" outlineLevel="0" collapsed="false">
      <c r="A451" s="3" t="s">
        <v>528</v>
      </c>
      <c r="B451" s="3" t="s">
        <v>23</v>
      </c>
      <c r="C451" s="3" t="s">
        <v>24</v>
      </c>
      <c r="D451" s="3" t="n">
        <v>1</v>
      </c>
      <c r="E451" s="6" t="n">
        <v>79.99</v>
      </c>
      <c r="F451" s="6" t="n">
        <v>98</v>
      </c>
      <c r="G451" s="7" t="n">
        <f aca="false">F451-E451</f>
        <v>18.01</v>
      </c>
      <c r="H451" s="8" t="n">
        <f aca="false">IF(E451=0,0,F451/E451-1)</f>
        <v>0.225153144143018</v>
      </c>
      <c r="I451" s="3" t="s">
        <v>27</v>
      </c>
    </row>
    <row r="452" customFormat="false" ht="15" hidden="false" customHeight="false" outlineLevel="0" collapsed="false">
      <c r="A452" s="3" t="s">
        <v>529</v>
      </c>
      <c r="B452" s="3" t="s">
        <v>23</v>
      </c>
      <c r="C452" s="3" t="s">
        <v>24</v>
      </c>
      <c r="D452" s="3" t="n">
        <v>3</v>
      </c>
      <c r="E452" s="6" t="n">
        <v>395</v>
      </c>
      <c r="F452" s="6" t="n">
        <v>459</v>
      </c>
      <c r="G452" s="7" t="n">
        <f aca="false">F452-E452</f>
        <v>64</v>
      </c>
      <c r="H452" s="8" t="n">
        <f aca="false">IF(E452=0,0,F452/E452-1)</f>
        <v>0.162025316455696</v>
      </c>
      <c r="I452" s="3" t="s">
        <v>38</v>
      </c>
    </row>
    <row r="453" customFormat="false" ht="15" hidden="false" customHeight="false" outlineLevel="0" collapsed="false">
      <c r="A453" s="3" t="s">
        <v>530</v>
      </c>
      <c r="B453" s="3" t="s">
        <v>23</v>
      </c>
      <c r="C453" s="3" t="s">
        <v>24</v>
      </c>
      <c r="D453" s="3" t="n">
        <v>1</v>
      </c>
      <c r="E453" s="6" t="n">
        <v>149.99</v>
      </c>
      <c r="F453" s="6" t="n">
        <v>183</v>
      </c>
      <c r="G453" s="7" t="n">
        <f aca="false">F453-E453</f>
        <v>33.01</v>
      </c>
      <c r="H453" s="8" t="n">
        <f aca="false">IF(E453=0,0,F453/E453-1)</f>
        <v>0.220081338755917</v>
      </c>
      <c r="I453" s="3" t="s">
        <v>27</v>
      </c>
    </row>
    <row r="454" customFormat="false" ht="15" hidden="false" customHeight="false" outlineLevel="0" collapsed="false">
      <c r="A454" s="3" t="s">
        <v>531</v>
      </c>
      <c r="B454" s="3" t="s">
        <v>23</v>
      </c>
      <c r="C454" s="3" t="s">
        <v>24</v>
      </c>
      <c r="D454" s="3" t="n">
        <v>1</v>
      </c>
      <c r="E454" s="6" t="n">
        <v>22.39</v>
      </c>
      <c r="F454" s="6" t="n">
        <v>27.5</v>
      </c>
      <c r="G454" s="7" t="n">
        <f aca="false">F454-E454</f>
        <v>5.11</v>
      </c>
      <c r="H454" s="8" t="n">
        <f aca="false">IF(E454=0,0,F454/E454-1)</f>
        <v>0.228226887003126</v>
      </c>
      <c r="I454" s="3" t="s">
        <v>210</v>
      </c>
    </row>
    <row r="455" customFormat="false" ht="15" hidden="false" customHeight="false" outlineLevel="0" collapsed="false">
      <c r="A455" s="3" t="s">
        <v>532</v>
      </c>
      <c r="B455" s="3" t="s">
        <v>23</v>
      </c>
      <c r="C455" s="3" t="s">
        <v>24</v>
      </c>
      <c r="D455" s="3" t="n">
        <v>1</v>
      </c>
      <c r="E455" s="6" t="n">
        <v>65.55</v>
      </c>
      <c r="F455" s="6" t="n">
        <v>80</v>
      </c>
      <c r="G455" s="7" t="n">
        <f aca="false">F455-E455</f>
        <v>14.45</v>
      </c>
      <c r="H455" s="8" t="n">
        <f aca="false">IF(E455=0,0,F455/E455-1)</f>
        <v>0.220442410373761</v>
      </c>
      <c r="I455" s="3" t="s">
        <v>286</v>
      </c>
    </row>
    <row r="456" customFormat="false" ht="15" hidden="false" customHeight="false" outlineLevel="0" collapsed="false">
      <c r="A456" s="3" t="s">
        <v>533</v>
      </c>
      <c r="B456" s="3" t="s">
        <v>23</v>
      </c>
      <c r="C456" s="3" t="s">
        <v>24</v>
      </c>
      <c r="D456" s="3" t="n">
        <v>1</v>
      </c>
      <c r="E456" s="6" t="n">
        <v>249.99</v>
      </c>
      <c r="F456" s="6" t="n">
        <v>305</v>
      </c>
      <c r="G456" s="7" t="n">
        <f aca="false">F456-E456</f>
        <v>55.01</v>
      </c>
      <c r="H456" s="8" t="n">
        <f aca="false">IF(E456=0,0,F456/E456-1)</f>
        <v>0.220048801952078</v>
      </c>
      <c r="I456" s="3" t="s">
        <v>27</v>
      </c>
    </row>
    <row r="457" customFormat="false" ht="15" hidden="false" customHeight="false" outlineLevel="0" collapsed="false">
      <c r="A457" s="3" t="s">
        <v>534</v>
      </c>
      <c r="B457" s="3" t="s">
        <v>23</v>
      </c>
      <c r="C457" s="3" t="s">
        <v>24</v>
      </c>
      <c r="D457" s="3" t="n">
        <v>1</v>
      </c>
      <c r="E457" s="6" t="n">
        <v>59.99</v>
      </c>
      <c r="F457" s="6" t="n">
        <v>73.5</v>
      </c>
      <c r="G457" s="7" t="n">
        <f aca="false">F457-E457</f>
        <v>13.51</v>
      </c>
      <c r="H457" s="8" t="n">
        <f aca="false">IF(E457=0,0,F457/E457-1)</f>
        <v>0.225204200700117</v>
      </c>
      <c r="I457" s="3" t="s">
        <v>27</v>
      </c>
    </row>
    <row r="458" customFormat="false" ht="15" hidden="false" customHeight="false" outlineLevel="0" collapsed="false">
      <c r="A458" s="3" t="s">
        <v>535</v>
      </c>
      <c r="B458" s="3" t="s">
        <v>23</v>
      </c>
      <c r="C458" s="3" t="s">
        <v>24</v>
      </c>
      <c r="D458" s="3" t="n">
        <v>1</v>
      </c>
      <c r="E458" s="6" t="n">
        <v>185</v>
      </c>
      <c r="F458" s="6" t="n">
        <v>226</v>
      </c>
      <c r="G458" s="7" t="n">
        <f aca="false">F458-E458</f>
        <v>41</v>
      </c>
      <c r="H458" s="8" t="n">
        <f aca="false">IF(E458=0,0,F458/E458-1)</f>
        <v>0.221621621621622</v>
      </c>
      <c r="I458" s="3" t="s">
        <v>27</v>
      </c>
    </row>
    <row r="459" customFormat="false" ht="15" hidden="false" customHeight="false" outlineLevel="0" collapsed="false">
      <c r="A459" s="3" t="s">
        <v>536</v>
      </c>
      <c r="B459" s="3" t="s">
        <v>23</v>
      </c>
      <c r="C459" s="3" t="s">
        <v>24</v>
      </c>
      <c r="D459" s="3" t="n">
        <v>1</v>
      </c>
      <c r="E459" s="6" t="n">
        <v>169.99</v>
      </c>
      <c r="F459" s="6" t="n">
        <v>208</v>
      </c>
      <c r="G459" s="7" t="n">
        <f aca="false">F459-E459</f>
        <v>38.01</v>
      </c>
      <c r="H459" s="8" t="n">
        <f aca="false">IF(E459=0,0,F459/E459-1)</f>
        <v>0.22360138831696</v>
      </c>
      <c r="I459" s="3" t="s">
        <v>27</v>
      </c>
    </row>
    <row r="460" customFormat="false" ht="15" hidden="false" customHeight="false" outlineLevel="0" collapsed="false">
      <c r="A460" s="3" t="s">
        <v>537</v>
      </c>
      <c r="B460" s="3" t="s">
        <v>23</v>
      </c>
      <c r="C460" s="3" t="s">
        <v>24</v>
      </c>
      <c r="D460" s="3" t="n">
        <v>2</v>
      </c>
      <c r="E460" s="6" t="n">
        <v>369</v>
      </c>
      <c r="F460" s="6" t="n">
        <v>436</v>
      </c>
      <c r="G460" s="7" t="n">
        <f aca="false">F460-E460</f>
        <v>67</v>
      </c>
      <c r="H460" s="8" t="n">
        <f aca="false">IF(E460=0,0,F460/E460-1)</f>
        <v>0.181571815718157</v>
      </c>
      <c r="I460" s="3" t="s">
        <v>538</v>
      </c>
    </row>
    <row r="461" customFormat="false" ht="15" hidden="false" customHeight="false" outlineLevel="0" collapsed="false">
      <c r="A461" s="3" t="s">
        <v>539</v>
      </c>
      <c r="B461" s="3" t="s">
        <v>23</v>
      </c>
      <c r="C461" s="3" t="s">
        <v>24</v>
      </c>
      <c r="D461" s="3" t="n">
        <v>2</v>
      </c>
      <c r="E461" s="6" t="n">
        <v>399.99</v>
      </c>
      <c r="F461" s="6" t="n">
        <v>472</v>
      </c>
      <c r="G461" s="7" t="n">
        <f aca="false">F461-E461</f>
        <v>72.01</v>
      </c>
      <c r="H461" s="8" t="n">
        <f aca="false">IF(E461=0,0,F461/E461-1)</f>
        <v>0.180029500737518</v>
      </c>
      <c r="I461" s="3" t="s">
        <v>538</v>
      </c>
    </row>
    <row r="462" customFormat="false" ht="15" hidden="false" customHeight="false" outlineLevel="0" collapsed="false">
      <c r="A462" s="3" t="s">
        <v>540</v>
      </c>
      <c r="B462" s="3" t="s">
        <v>23</v>
      </c>
      <c r="C462" s="3" t="s">
        <v>24</v>
      </c>
      <c r="D462" s="3" t="n">
        <v>1</v>
      </c>
      <c r="E462" s="6" t="n">
        <v>49</v>
      </c>
      <c r="F462" s="6" t="n">
        <v>60</v>
      </c>
      <c r="G462" s="7" t="n">
        <f aca="false">F462-E462</f>
        <v>11</v>
      </c>
      <c r="H462" s="8" t="n">
        <f aca="false">IF(E462=0,0,F462/E462-1)</f>
        <v>0.224489795918367</v>
      </c>
      <c r="I462" s="3" t="s">
        <v>27</v>
      </c>
    </row>
    <row r="463" customFormat="false" ht="15" hidden="false" customHeight="false" outlineLevel="0" collapsed="false">
      <c r="A463" s="3" t="s">
        <v>541</v>
      </c>
      <c r="B463" s="3" t="s">
        <v>23</v>
      </c>
      <c r="C463" s="3" t="s">
        <v>24</v>
      </c>
      <c r="D463" s="3" t="n">
        <v>1</v>
      </c>
      <c r="E463" s="6" t="n">
        <v>79.99</v>
      </c>
      <c r="F463" s="6" t="n">
        <v>98</v>
      </c>
      <c r="G463" s="7" t="n">
        <f aca="false">F463-E463</f>
        <v>18.01</v>
      </c>
      <c r="H463" s="8" t="n">
        <f aca="false">IF(E463=0,0,F463/E463-1)</f>
        <v>0.225153144143018</v>
      </c>
      <c r="I463" s="3" t="s">
        <v>542</v>
      </c>
    </row>
    <row r="464" customFormat="false" ht="15" hidden="false" customHeight="false" outlineLevel="0" collapsed="false">
      <c r="A464" s="3" t="s">
        <v>543</v>
      </c>
      <c r="B464" s="3" t="s">
        <v>23</v>
      </c>
      <c r="C464" s="3" t="s">
        <v>24</v>
      </c>
      <c r="D464" s="3" t="n">
        <v>1</v>
      </c>
      <c r="E464" s="6" t="n">
        <v>25</v>
      </c>
      <c r="F464" s="6" t="n">
        <v>30.5</v>
      </c>
      <c r="G464" s="7" t="n">
        <f aca="false">F464-E464</f>
        <v>5.5</v>
      </c>
      <c r="H464" s="8" t="n">
        <f aca="false">IF(E464=0,0,F464/E464-1)</f>
        <v>0.22</v>
      </c>
      <c r="I464" s="3" t="s">
        <v>27</v>
      </c>
    </row>
    <row r="465" customFormat="false" ht="15" hidden="false" customHeight="false" outlineLevel="0" collapsed="false">
      <c r="A465" s="3" t="s">
        <v>544</v>
      </c>
      <c r="B465" s="3" t="s">
        <v>23</v>
      </c>
      <c r="C465" s="3" t="s">
        <v>24</v>
      </c>
      <c r="D465" s="3" t="n">
        <v>1</v>
      </c>
      <c r="E465" s="6" t="n">
        <v>99.99</v>
      </c>
      <c r="F465" s="6" t="n">
        <v>122</v>
      </c>
      <c r="G465" s="7" t="n">
        <f aca="false">F465-E465</f>
        <v>22.01</v>
      </c>
      <c r="H465" s="8" t="n">
        <f aca="false">IF(E465=0,0,F465/E465-1)</f>
        <v>0.22012201220122</v>
      </c>
      <c r="I465" s="3" t="s">
        <v>27</v>
      </c>
    </row>
    <row r="466" customFormat="false" ht="15" hidden="false" customHeight="false" outlineLevel="0" collapsed="false">
      <c r="A466" s="3" t="s">
        <v>545</v>
      </c>
      <c r="B466" s="3" t="s">
        <v>23</v>
      </c>
      <c r="C466" s="3" t="s">
        <v>24</v>
      </c>
      <c r="D466" s="3" t="n">
        <v>1</v>
      </c>
      <c r="E466" s="6" t="n">
        <v>30.4</v>
      </c>
      <c r="F466" s="6" t="n">
        <v>37.5</v>
      </c>
      <c r="G466" s="7" t="n">
        <f aca="false">F466-E466</f>
        <v>7.1</v>
      </c>
      <c r="H466" s="8" t="n">
        <f aca="false">IF(E466=0,0,F466/E466-1)</f>
        <v>0.233552631578947</v>
      </c>
      <c r="I466" s="3" t="s">
        <v>27</v>
      </c>
    </row>
    <row r="467" customFormat="false" ht="15" hidden="false" customHeight="false" outlineLevel="0" collapsed="false">
      <c r="A467" s="3" t="s">
        <v>546</v>
      </c>
      <c r="B467" s="3" t="s">
        <v>23</v>
      </c>
      <c r="C467" s="3" t="s">
        <v>24</v>
      </c>
      <c r="D467" s="3" t="n">
        <v>1</v>
      </c>
      <c r="E467" s="6" t="n">
        <v>27.24</v>
      </c>
      <c r="F467" s="6" t="n">
        <v>33.5</v>
      </c>
      <c r="G467" s="7" t="n">
        <f aca="false">F467-E467</f>
        <v>6.26</v>
      </c>
      <c r="H467" s="8" t="n">
        <f aca="false">IF(E467=0,0,F467/E467-1)</f>
        <v>0.229809104258444</v>
      </c>
      <c r="I467" s="3" t="s">
        <v>27</v>
      </c>
    </row>
    <row r="468" customFormat="false" ht="15" hidden="false" customHeight="false" outlineLevel="0" collapsed="false">
      <c r="A468" s="3" t="s">
        <v>547</v>
      </c>
      <c r="B468" s="3" t="s">
        <v>23</v>
      </c>
      <c r="C468" s="3" t="s">
        <v>24</v>
      </c>
      <c r="D468" s="3" t="n">
        <v>1</v>
      </c>
      <c r="E468" s="6" t="n">
        <v>79.99</v>
      </c>
      <c r="F468" s="6" t="n">
        <v>98</v>
      </c>
      <c r="G468" s="7" t="n">
        <f aca="false">F468-E468</f>
        <v>18.01</v>
      </c>
      <c r="H468" s="8" t="n">
        <f aca="false">IF(E468=0,0,F468/E468-1)</f>
        <v>0.225153144143018</v>
      </c>
      <c r="I468" s="3" t="s">
        <v>27</v>
      </c>
    </row>
    <row r="469" customFormat="false" ht="15" hidden="false" customHeight="false" outlineLevel="0" collapsed="false">
      <c r="A469" s="3" t="s">
        <v>548</v>
      </c>
      <c r="B469" s="3" t="s">
        <v>23</v>
      </c>
      <c r="C469" s="3" t="s">
        <v>24</v>
      </c>
      <c r="D469" s="3" t="n">
        <v>1</v>
      </c>
      <c r="E469" s="6" t="n">
        <v>229.99</v>
      </c>
      <c r="F469" s="6" t="n">
        <v>281</v>
      </c>
      <c r="G469" s="7" t="n">
        <f aca="false">F469-E469</f>
        <v>51.01</v>
      </c>
      <c r="H469" s="8" t="n">
        <f aca="false">IF(E469=0,0,F469/E469-1)</f>
        <v>0.221792251837036</v>
      </c>
      <c r="I469" s="3" t="s">
        <v>27</v>
      </c>
    </row>
    <row r="470" customFormat="false" ht="15" hidden="false" customHeight="false" outlineLevel="0" collapsed="false">
      <c r="A470" s="3" t="s">
        <v>549</v>
      </c>
      <c r="B470" s="3" t="s">
        <v>23</v>
      </c>
      <c r="C470" s="3" t="s">
        <v>24</v>
      </c>
      <c r="D470" s="3" t="n">
        <v>3</v>
      </c>
      <c r="E470" s="6" t="n">
        <v>599.99</v>
      </c>
      <c r="F470" s="6" t="n">
        <v>696</v>
      </c>
      <c r="G470" s="7" t="n">
        <f aca="false">F470-E470</f>
        <v>96.01</v>
      </c>
      <c r="H470" s="8" t="n">
        <f aca="false">IF(E470=0,0,F470/E470-1)</f>
        <v>0.160019333655561</v>
      </c>
      <c r="I470" s="3" t="s">
        <v>38</v>
      </c>
    </row>
    <row r="471" customFormat="false" ht="15" hidden="false" customHeight="false" outlineLevel="0" collapsed="false">
      <c r="A471" s="3" t="s">
        <v>550</v>
      </c>
      <c r="B471" s="3" t="s">
        <v>23</v>
      </c>
      <c r="C471" s="3" t="s">
        <v>24</v>
      </c>
      <c r="D471" s="3" t="n">
        <v>3</v>
      </c>
      <c r="E471" s="6" t="n">
        <v>350</v>
      </c>
      <c r="F471" s="6" t="n">
        <v>406</v>
      </c>
      <c r="G471" s="7" t="n">
        <f aca="false">F471-E471</f>
        <v>56</v>
      </c>
      <c r="H471" s="8" t="n">
        <f aca="false">IF(E471=0,0,F471/E471-1)</f>
        <v>0.16</v>
      </c>
      <c r="I471" s="3" t="s">
        <v>38</v>
      </c>
    </row>
    <row r="472" customFormat="false" ht="15" hidden="false" customHeight="false" outlineLevel="0" collapsed="false">
      <c r="A472" s="3" t="s">
        <v>551</v>
      </c>
      <c r="B472" s="3" t="s">
        <v>23</v>
      </c>
      <c r="C472" s="3" t="s">
        <v>24</v>
      </c>
      <c r="D472" s="3" t="n">
        <v>1</v>
      </c>
      <c r="E472" s="6" t="n">
        <v>129.99</v>
      </c>
      <c r="F472" s="6" t="n">
        <v>159</v>
      </c>
      <c r="G472" s="7" t="n">
        <f aca="false">F472-E472</f>
        <v>29.01</v>
      </c>
      <c r="H472" s="8" t="n">
        <f aca="false">IF(E472=0,0,F472/E472-1)</f>
        <v>0.223171013154858</v>
      </c>
      <c r="I472" s="3" t="s">
        <v>27</v>
      </c>
    </row>
    <row r="473" customFormat="false" ht="15" hidden="false" customHeight="false" outlineLevel="0" collapsed="false">
      <c r="A473" s="3" t="s">
        <v>552</v>
      </c>
      <c r="B473" s="3" t="s">
        <v>23</v>
      </c>
      <c r="C473" s="3" t="s">
        <v>24</v>
      </c>
      <c r="D473" s="3" t="n">
        <v>2</v>
      </c>
      <c r="E473" s="6" t="n">
        <v>399.99</v>
      </c>
      <c r="F473" s="6" t="n">
        <v>472</v>
      </c>
      <c r="G473" s="7" t="n">
        <f aca="false">F473-E473</f>
        <v>72.01</v>
      </c>
      <c r="H473" s="8" t="n">
        <f aca="false">IF(E473=0,0,F473/E473-1)</f>
        <v>0.180029500737518</v>
      </c>
      <c r="I473" s="3" t="s">
        <v>538</v>
      </c>
    </row>
    <row r="474" customFormat="false" ht="15" hidden="false" customHeight="false" outlineLevel="0" collapsed="false">
      <c r="A474" s="3" t="s">
        <v>553</v>
      </c>
      <c r="B474" s="3" t="s">
        <v>23</v>
      </c>
      <c r="C474" s="3" t="s">
        <v>24</v>
      </c>
      <c r="D474" s="3" t="n">
        <v>1</v>
      </c>
      <c r="E474" s="6" t="n">
        <v>69</v>
      </c>
      <c r="F474" s="6" t="n">
        <v>84.5</v>
      </c>
      <c r="G474" s="7" t="n">
        <f aca="false">F474-E474</f>
        <v>15.5</v>
      </c>
      <c r="H474" s="8" t="n">
        <f aca="false">IF(E474=0,0,F474/E474-1)</f>
        <v>0.22463768115942</v>
      </c>
      <c r="I474" s="3" t="s">
        <v>27</v>
      </c>
    </row>
    <row r="475" customFormat="false" ht="15" hidden="false" customHeight="false" outlineLevel="0" collapsed="false">
      <c r="A475" s="3" t="s">
        <v>554</v>
      </c>
      <c r="B475" s="3" t="s">
        <v>23</v>
      </c>
      <c r="C475" s="3" t="s">
        <v>24</v>
      </c>
      <c r="D475" s="3" t="n">
        <v>1</v>
      </c>
      <c r="E475" s="6" t="n">
        <v>64.99</v>
      </c>
      <c r="F475" s="6" t="n">
        <v>79.5</v>
      </c>
      <c r="G475" s="7" t="n">
        <f aca="false">F475-E475</f>
        <v>14.51</v>
      </c>
      <c r="H475" s="8" t="n">
        <f aca="false">IF(E475=0,0,F475/E475-1)</f>
        <v>0.223265117710417</v>
      </c>
      <c r="I475" s="3" t="s">
        <v>27</v>
      </c>
    </row>
    <row r="476" customFormat="false" ht="15" hidden="false" customHeight="false" outlineLevel="0" collapsed="false">
      <c r="A476" s="3" t="s">
        <v>555</v>
      </c>
      <c r="B476" s="3" t="s">
        <v>23</v>
      </c>
      <c r="C476" s="3" t="s">
        <v>24</v>
      </c>
      <c r="D476" s="3" t="n">
        <v>1</v>
      </c>
      <c r="E476" s="6" t="n">
        <v>369</v>
      </c>
      <c r="F476" s="6" t="n">
        <v>451</v>
      </c>
      <c r="G476" s="7" t="n">
        <f aca="false">F476-E476</f>
        <v>82</v>
      </c>
      <c r="H476" s="8" t="n">
        <f aca="false">IF(E476=0,0,F476/E476-1)</f>
        <v>0.222222222222222</v>
      </c>
      <c r="I476" s="3" t="s">
        <v>27</v>
      </c>
    </row>
    <row r="477" customFormat="false" ht="15" hidden="false" customHeight="false" outlineLevel="0" collapsed="false">
      <c r="A477" s="3" t="s">
        <v>556</v>
      </c>
      <c r="B477" s="3" t="s">
        <v>23</v>
      </c>
      <c r="C477" s="3" t="s">
        <v>24</v>
      </c>
      <c r="D477" s="3" t="n">
        <v>1</v>
      </c>
      <c r="E477" s="6" t="n">
        <v>250</v>
      </c>
      <c r="F477" s="6" t="n">
        <v>305</v>
      </c>
      <c r="G477" s="7" t="n">
        <f aca="false">F477-E477</f>
        <v>55</v>
      </c>
      <c r="H477" s="8" t="n">
        <f aca="false">IF(E477=0,0,F477/E477-1)</f>
        <v>0.22</v>
      </c>
      <c r="I477" s="3" t="s">
        <v>27</v>
      </c>
    </row>
    <row r="478" customFormat="false" ht="15" hidden="false" customHeight="false" outlineLevel="0" collapsed="false">
      <c r="A478" s="3" t="s">
        <v>557</v>
      </c>
      <c r="B478" s="3" t="s">
        <v>23</v>
      </c>
      <c r="C478" s="3" t="s">
        <v>24</v>
      </c>
      <c r="D478" s="3" t="n">
        <v>1</v>
      </c>
      <c r="E478" s="6" t="n">
        <v>220</v>
      </c>
      <c r="F478" s="6" t="n">
        <v>269</v>
      </c>
      <c r="G478" s="7" t="n">
        <f aca="false">F478-E478</f>
        <v>49</v>
      </c>
      <c r="H478" s="8" t="n">
        <f aca="false">IF(E478=0,0,F478/E478-1)</f>
        <v>0.222727272727273</v>
      </c>
      <c r="I478" s="3" t="s">
        <v>27</v>
      </c>
    </row>
    <row r="479" customFormat="false" ht="15" hidden="false" customHeight="false" outlineLevel="0" collapsed="false">
      <c r="A479" s="3" t="s">
        <v>558</v>
      </c>
      <c r="B479" s="3" t="s">
        <v>23</v>
      </c>
      <c r="C479" s="3" t="s">
        <v>179</v>
      </c>
      <c r="D479" s="3" t="n">
        <v>2</v>
      </c>
      <c r="E479" s="6" t="n">
        <v>165</v>
      </c>
      <c r="F479" s="6" t="n">
        <v>195</v>
      </c>
      <c r="G479" s="7" t="n">
        <f aca="false">F479-E479</f>
        <v>30</v>
      </c>
      <c r="H479" s="8" t="n">
        <f aca="false">IF(E479=0,0,F479/E479-1)</f>
        <v>0.181818181818182</v>
      </c>
      <c r="I479" s="3" t="s">
        <v>559</v>
      </c>
    </row>
    <row r="480" customFormat="false" ht="15" hidden="false" customHeight="false" outlineLevel="0" collapsed="false">
      <c r="A480" s="3" t="s">
        <v>560</v>
      </c>
      <c r="B480" s="3" t="s">
        <v>23</v>
      </c>
      <c r="C480" s="3" t="s">
        <v>24</v>
      </c>
      <c r="D480" s="3" t="n">
        <v>5</v>
      </c>
      <c r="E480" s="6" t="n">
        <v>900</v>
      </c>
      <c r="F480" s="6" t="n">
        <v>918</v>
      </c>
      <c r="G480" s="7" t="n">
        <f aca="false">F480-E480</f>
        <v>18</v>
      </c>
      <c r="H480" s="8" t="n">
        <f aca="false">IF(E480=0,0,F480/E480-1)</f>
        <v>0.02</v>
      </c>
      <c r="I480" s="3" t="s">
        <v>368</v>
      </c>
    </row>
    <row r="481" customFormat="false" ht="15" hidden="false" customHeight="false" outlineLevel="0" collapsed="false">
      <c r="A481" s="3" t="s">
        <v>561</v>
      </c>
      <c r="B481" s="3" t="s">
        <v>23</v>
      </c>
      <c r="C481" s="3" t="s">
        <v>24</v>
      </c>
      <c r="D481" s="3" t="n">
        <v>1</v>
      </c>
      <c r="E481" s="6" t="n">
        <v>349.99</v>
      </c>
      <c r="F481" s="6" t="n">
        <v>427</v>
      </c>
      <c r="G481" s="7" t="n">
        <f aca="false">F481-E481</f>
        <v>77.01</v>
      </c>
      <c r="H481" s="8" t="n">
        <f aca="false">IF(E481=0,0,F481/E481-1)</f>
        <v>0.220034858138804</v>
      </c>
      <c r="I481" s="3" t="s">
        <v>27</v>
      </c>
    </row>
    <row r="482" customFormat="false" ht="15" hidden="false" customHeight="false" outlineLevel="0" collapsed="false">
      <c r="A482" s="3" t="s">
        <v>562</v>
      </c>
      <c r="B482" s="3" t="s">
        <v>23</v>
      </c>
      <c r="C482" s="3" t="s">
        <v>24</v>
      </c>
      <c r="D482" s="3" t="n">
        <v>1</v>
      </c>
      <c r="E482" s="6" t="n">
        <v>90</v>
      </c>
      <c r="F482" s="6" t="n">
        <v>110</v>
      </c>
      <c r="G482" s="7" t="n">
        <f aca="false">F482-E482</f>
        <v>20</v>
      </c>
      <c r="H482" s="8" t="n">
        <f aca="false">IF(E482=0,0,F482/E482-1)</f>
        <v>0.222222222222222</v>
      </c>
      <c r="I482" s="3" t="s">
        <v>27</v>
      </c>
    </row>
    <row r="483" customFormat="false" ht="15" hidden="false" customHeight="false" outlineLevel="0" collapsed="false">
      <c r="A483" s="3" t="s">
        <v>563</v>
      </c>
      <c r="B483" s="3" t="s">
        <v>23</v>
      </c>
      <c r="C483" s="3" t="s">
        <v>24</v>
      </c>
      <c r="D483" s="3" t="n">
        <v>1</v>
      </c>
      <c r="E483" s="6" t="n">
        <v>224.99</v>
      </c>
      <c r="F483" s="6" t="n">
        <v>275</v>
      </c>
      <c r="G483" s="7" t="n">
        <f aca="false">F483-E483</f>
        <v>50.01</v>
      </c>
      <c r="H483" s="8" t="n">
        <f aca="false">IF(E483=0,0,F483/E483-1)</f>
        <v>0.22227654562425</v>
      </c>
      <c r="I483" s="3" t="s">
        <v>27</v>
      </c>
    </row>
    <row r="484" customFormat="false" ht="15" hidden="false" customHeight="false" outlineLevel="0" collapsed="false">
      <c r="A484" s="3" t="s">
        <v>564</v>
      </c>
      <c r="B484" s="3" t="s">
        <v>23</v>
      </c>
      <c r="C484" s="3" t="s">
        <v>24</v>
      </c>
      <c r="D484" s="3" t="n">
        <v>1</v>
      </c>
      <c r="E484" s="6" t="n">
        <v>79.99</v>
      </c>
      <c r="F484" s="6" t="n">
        <v>98</v>
      </c>
      <c r="G484" s="7" t="n">
        <f aca="false">F484-E484</f>
        <v>18.01</v>
      </c>
      <c r="H484" s="8" t="n">
        <f aca="false">IF(E484=0,0,F484/E484-1)</f>
        <v>0.225153144143018</v>
      </c>
      <c r="I484" s="3" t="s">
        <v>27</v>
      </c>
    </row>
    <row r="485" customFormat="false" ht="15" hidden="false" customHeight="false" outlineLevel="0" collapsed="false">
      <c r="A485" s="3" t="s">
        <v>565</v>
      </c>
      <c r="B485" s="3" t="s">
        <v>23</v>
      </c>
      <c r="C485" s="3" t="s">
        <v>24</v>
      </c>
      <c r="D485" s="3" t="n">
        <v>1</v>
      </c>
      <c r="E485" s="6" t="n">
        <v>369</v>
      </c>
      <c r="F485" s="6" t="n">
        <v>451</v>
      </c>
      <c r="G485" s="7" t="n">
        <f aca="false">F485-E485</f>
        <v>82</v>
      </c>
      <c r="H485" s="8" t="n">
        <f aca="false">IF(E485=0,0,F485/E485-1)</f>
        <v>0.222222222222222</v>
      </c>
      <c r="I485" s="3" t="s">
        <v>27</v>
      </c>
    </row>
    <row r="486" customFormat="false" ht="15" hidden="false" customHeight="false" outlineLevel="0" collapsed="false">
      <c r="A486" s="3" t="s">
        <v>566</v>
      </c>
      <c r="B486" s="3" t="s">
        <v>23</v>
      </c>
      <c r="C486" s="3" t="s">
        <v>24</v>
      </c>
      <c r="D486" s="3" t="n">
        <v>1</v>
      </c>
      <c r="E486" s="6" t="n">
        <v>120</v>
      </c>
      <c r="F486" s="6" t="n">
        <v>147</v>
      </c>
      <c r="G486" s="7" t="n">
        <f aca="false">F486-E486</f>
        <v>27</v>
      </c>
      <c r="H486" s="8" t="n">
        <f aca="false">IF(E486=0,0,F486/E486-1)</f>
        <v>0.225</v>
      </c>
      <c r="I486" s="3" t="s">
        <v>27</v>
      </c>
    </row>
    <row r="487" customFormat="false" ht="15" hidden="false" customHeight="false" outlineLevel="0" collapsed="false">
      <c r="A487" s="3" t="s">
        <v>567</v>
      </c>
      <c r="B487" s="3" t="s">
        <v>23</v>
      </c>
      <c r="C487" s="3" t="s">
        <v>24</v>
      </c>
      <c r="D487" s="3" t="n">
        <v>1</v>
      </c>
      <c r="E487" s="6" t="n">
        <v>29.99</v>
      </c>
      <c r="F487" s="6" t="n">
        <v>37</v>
      </c>
      <c r="G487" s="7" t="n">
        <f aca="false">F487-E487</f>
        <v>7.01</v>
      </c>
      <c r="H487" s="8" t="n">
        <f aca="false">IF(E487=0,0,F487/E487-1)</f>
        <v>0.233744581527176</v>
      </c>
      <c r="I487" s="3" t="s">
        <v>27</v>
      </c>
    </row>
    <row r="488" customFormat="false" ht="15" hidden="false" customHeight="false" outlineLevel="0" collapsed="false">
      <c r="A488" s="3" t="s">
        <v>568</v>
      </c>
      <c r="B488" s="3" t="s">
        <v>23</v>
      </c>
      <c r="C488" s="3" t="s">
        <v>24</v>
      </c>
      <c r="D488" s="3" t="n">
        <v>2</v>
      </c>
      <c r="E488" s="6" t="n">
        <v>399.99</v>
      </c>
      <c r="F488" s="6" t="n">
        <v>472</v>
      </c>
      <c r="G488" s="7" t="n">
        <f aca="false">F488-E488</f>
        <v>72.01</v>
      </c>
      <c r="H488" s="8" t="n">
        <f aca="false">IF(E488=0,0,F488/E488-1)</f>
        <v>0.180029500737518</v>
      </c>
      <c r="I488" s="3" t="s">
        <v>101</v>
      </c>
    </row>
    <row r="489" customFormat="false" ht="15" hidden="false" customHeight="false" outlineLevel="0" collapsed="false">
      <c r="A489" s="3" t="s">
        <v>569</v>
      </c>
      <c r="B489" s="3" t="s">
        <v>23</v>
      </c>
      <c r="C489" s="3" t="s">
        <v>24</v>
      </c>
      <c r="D489" s="3" t="n">
        <v>1</v>
      </c>
      <c r="E489" s="6" t="n">
        <v>299</v>
      </c>
      <c r="F489" s="6" t="n">
        <v>365</v>
      </c>
      <c r="G489" s="7" t="n">
        <f aca="false">F489-E489</f>
        <v>66</v>
      </c>
      <c r="H489" s="8" t="n">
        <f aca="false">IF(E489=0,0,F489/E489-1)</f>
        <v>0.220735785953177</v>
      </c>
      <c r="I489" s="3" t="s">
        <v>27</v>
      </c>
    </row>
    <row r="490" customFormat="false" ht="15" hidden="false" customHeight="false" outlineLevel="0" collapsed="false">
      <c r="A490" s="3" t="s">
        <v>570</v>
      </c>
      <c r="B490" s="3" t="s">
        <v>23</v>
      </c>
      <c r="C490" s="3" t="s">
        <v>24</v>
      </c>
      <c r="D490" s="3" t="n">
        <v>1</v>
      </c>
      <c r="E490" s="6" t="n">
        <v>59.99</v>
      </c>
      <c r="F490" s="6" t="n">
        <v>73.5</v>
      </c>
      <c r="G490" s="7" t="n">
        <f aca="false">F490-E490</f>
        <v>13.51</v>
      </c>
      <c r="H490" s="8" t="n">
        <f aca="false">IF(E490=0,0,F490/E490-1)</f>
        <v>0.225204200700117</v>
      </c>
      <c r="I490" s="3" t="s">
        <v>27</v>
      </c>
    </row>
    <row r="491" customFormat="false" ht="15" hidden="false" customHeight="false" outlineLevel="0" collapsed="false">
      <c r="A491" s="3" t="s">
        <v>571</v>
      </c>
      <c r="B491" s="3" t="s">
        <v>23</v>
      </c>
      <c r="C491" s="3" t="s">
        <v>24</v>
      </c>
      <c r="D491" s="3" t="n">
        <v>1</v>
      </c>
      <c r="E491" s="6" t="n">
        <v>24.99</v>
      </c>
      <c r="F491" s="6" t="n">
        <v>30.5</v>
      </c>
      <c r="G491" s="7" t="n">
        <f aca="false">F491-E491</f>
        <v>5.51</v>
      </c>
      <c r="H491" s="8" t="n">
        <f aca="false">IF(E491=0,0,F491/E491-1)</f>
        <v>0.220488195278111</v>
      </c>
      <c r="I491" s="3" t="s">
        <v>27</v>
      </c>
    </row>
    <row r="492" customFormat="false" ht="15" hidden="false" customHeight="false" outlineLevel="0" collapsed="false">
      <c r="A492" s="3" t="s">
        <v>572</v>
      </c>
      <c r="B492" s="3" t="s">
        <v>23</v>
      </c>
      <c r="C492" s="3" t="s">
        <v>24</v>
      </c>
      <c r="D492" s="3" t="n">
        <v>1</v>
      </c>
      <c r="E492" s="6" t="n">
        <v>25.99</v>
      </c>
      <c r="F492" s="6" t="n">
        <v>32</v>
      </c>
      <c r="G492" s="7" t="n">
        <f aca="false">F492-E492</f>
        <v>6.01</v>
      </c>
      <c r="H492" s="8" t="n">
        <f aca="false">IF(E492=0,0,F492/E492-1)</f>
        <v>0.231242785686803</v>
      </c>
      <c r="I492" s="3" t="s">
        <v>27</v>
      </c>
    </row>
    <row r="493" customFormat="false" ht="15" hidden="false" customHeight="false" outlineLevel="0" collapsed="false">
      <c r="A493" s="3" t="s">
        <v>573</v>
      </c>
      <c r="B493" s="3" t="s">
        <v>23</v>
      </c>
      <c r="C493" s="3" t="s">
        <v>24</v>
      </c>
      <c r="D493" s="3" t="n">
        <v>1</v>
      </c>
      <c r="E493" s="6" t="n">
        <v>39.99</v>
      </c>
      <c r="F493" s="6" t="n">
        <v>49</v>
      </c>
      <c r="G493" s="7" t="n">
        <f aca="false">F493-E493</f>
        <v>9.01</v>
      </c>
      <c r="H493" s="8" t="n">
        <f aca="false">IF(E493=0,0,F493/E493-1)</f>
        <v>0.225306326581645</v>
      </c>
      <c r="I493" s="3" t="s">
        <v>27</v>
      </c>
    </row>
    <row r="494" customFormat="false" ht="15" hidden="false" customHeight="false" outlineLevel="0" collapsed="false">
      <c r="A494" s="3" t="s">
        <v>574</v>
      </c>
      <c r="B494" s="3" t="s">
        <v>23</v>
      </c>
      <c r="C494" s="3" t="s">
        <v>24</v>
      </c>
      <c r="D494" s="3" t="n">
        <v>1</v>
      </c>
      <c r="E494" s="6" t="n">
        <v>79.99</v>
      </c>
      <c r="F494" s="6" t="n">
        <v>98</v>
      </c>
      <c r="G494" s="7" t="n">
        <f aca="false">F494-E494</f>
        <v>18.01</v>
      </c>
      <c r="H494" s="8" t="n">
        <f aca="false">IF(E494=0,0,F494/E494-1)</f>
        <v>0.225153144143018</v>
      </c>
      <c r="I494" s="3" t="s">
        <v>27</v>
      </c>
    </row>
    <row r="495" customFormat="false" ht="15" hidden="false" customHeight="false" outlineLevel="0" collapsed="false">
      <c r="A495" s="3" t="s">
        <v>575</v>
      </c>
      <c r="B495" s="3" t="s">
        <v>23</v>
      </c>
      <c r="C495" s="3" t="s">
        <v>24</v>
      </c>
      <c r="D495" s="3" t="n">
        <v>1</v>
      </c>
      <c r="E495" s="6" t="n">
        <v>99.99</v>
      </c>
      <c r="F495" s="6" t="n">
        <v>122</v>
      </c>
      <c r="G495" s="7" t="n">
        <f aca="false">F495-E495</f>
        <v>22.01</v>
      </c>
      <c r="H495" s="8" t="n">
        <f aca="false">IF(E495=0,0,F495/E495-1)</f>
        <v>0.22012201220122</v>
      </c>
      <c r="I495" s="3" t="s">
        <v>27</v>
      </c>
    </row>
    <row r="496" customFormat="false" ht="15" hidden="false" customHeight="false" outlineLevel="0" collapsed="false">
      <c r="A496" s="3" t="s">
        <v>576</v>
      </c>
      <c r="B496" s="3" t="s">
        <v>23</v>
      </c>
      <c r="C496" s="3" t="s">
        <v>24</v>
      </c>
      <c r="D496" s="3" t="n">
        <v>1</v>
      </c>
      <c r="E496" s="6" t="n">
        <v>64.99</v>
      </c>
      <c r="F496" s="6" t="n">
        <v>79.5</v>
      </c>
      <c r="G496" s="7" t="n">
        <f aca="false">F496-E496</f>
        <v>14.51</v>
      </c>
      <c r="H496" s="8" t="n">
        <f aca="false">IF(E496=0,0,F496/E496-1)</f>
        <v>0.223265117710417</v>
      </c>
      <c r="I496" s="3" t="s">
        <v>27</v>
      </c>
    </row>
    <row r="497" customFormat="false" ht="15" hidden="false" customHeight="false" outlineLevel="0" collapsed="false">
      <c r="A497" s="3" t="s">
        <v>577</v>
      </c>
      <c r="B497" s="3" t="s">
        <v>23</v>
      </c>
      <c r="C497" s="3" t="s">
        <v>24</v>
      </c>
      <c r="D497" s="3" t="n">
        <v>1</v>
      </c>
      <c r="E497" s="6" t="n">
        <v>44.99</v>
      </c>
      <c r="F497" s="6" t="n">
        <v>55</v>
      </c>
      <c r="G497" s="7" t="n">
        <f aca="false">F497-E497</f>
        <v>10.01</v>
      </c>
      <c r="H497" s="8" t="n">
        <f aca="false">IF(E497=0,0,F497/E497-1)</f>
        <v>0.222493887530562</v>
      </c>
      <c r="I497" s="3" t="s">
        <v>27</v>
      </c>
    </row>
    <row r="498" customFormat="false" ht="15" hidden="false" customHeight="false" outlineLevel="0" collapsed="false">
      <c r="A498" s="3" t="s">
        <v>578</v>
      </c>
      <c r="B498" s="3" t="s">
        <v>23</v>
      </c>
      <c r="C498" s="3" t="s">
        <v>24</v>
      </c>
      <c r="D498" s="3" t="n">
        <v>1</v>
      </c>
      <c r="E498" s="6" t="n">
        <v>149.99</v>
      </c>
      <c r="F498" s="6" t="n">
        <v>183</v>
      </c>
      <c r="G498" s="7" t="n">
        <f aca="false">F498-E498</f>
        <v>33.01</v>
      </c>
      <c r="H498" s="8" t="n">
        <f aca="false">IF(E498=0,0,F498/E498-1)</f>
        <v>0.220081338755917</v>
      </c>
      <c r="I498" s="3" t="s">
        <v>27</v>
      </c>
    </row>
    <row r="499" customFormat="false" ht="15" hidden="false" customHeight="false" outlineLevel="0" collapsed="false">
      <c r="A499" s="3" t="s">
        <v>579</v>
      </c>
      <c r="B499" s="3" t="s">
        <v>23</v>
      </c>
      <c r="C499" s="3" t="s">
        <v>24</v>
      </c>
      <c r="D499" s="3" t="n">
        <v>1</v>
      </c>
      <c r="E499" s="6" t="n">
        <v>110.93</v>
      </c>
      <c r="F499" s="6" t="n">
        <v>136</v>
      </c>
      <c r="G499" s="7" t="n">
        <f aca="false">F499-E499</f>
        <v>25.07</v>
      </c>
      <c r="H499" s="8" t="n">
        <f aca="false">IF(E499=0,0,F499/E499-1)</f>
        <v>0.225998377355089</v>
      </c>
      <c r="I499" s="3" t="s">
        <v>134</v>
      </c>
    </row>
    <row r="500" customFormat="false" ht="15" hidden="false" customHeight="false" outlineLevel="0" collapsed="false">
      <c r="A500" s="3" t="s">
        <v>580</v>
      </c>
      <c r="B500" s="3" t="s">
        <v>23</v>
      </c>
      <c r="C500" s="3" t="s">
        <v>24</v>
      </c>
      <c r="D500" s="3" t="n">
        <v>1</v>
      </c>
      <c r="E500" s="6" t="n">
        <v>169.99</v>
      </c>
      <c r="F500" s="6" t="n">
        <v>208</v>
      </c>
      <c r="G500" s="7" t="n">
        <f aca="false">F500-E500</f>
        <v>38.01</v>
      </c>
      <c r="H500" s="8" t="n">
        <f aca="false">IF(E500=0,0,F500/E500-1)</f>
        <v>0.22360138831696</v>
      </c>
      <c r="I500" s="3" t="s">
        <v>27</v>
      </c>
    </row>
    <row r="501" customFormat="false" ht="15" hidden="false" customHeight="false" outlineLevel="0" collapsed="false">
      <c r="A501" s="3" t="s">
        <v>581</v>
      </c>
      <c r="B501" s="3" t="s">
        <v>23</v>
      </c>
      <c r="C501" s="3" t="s">
        <v>24</v>
      </c>
      <c r="D501" s="3" t="n">
        <v>3</v>
      </c>
      <c r="E501" s="6" t="n">
        <v>499.99</v>
      </c>
      <c r="F501" s="6" t="n">
        <v>580</v>
      </c>
      <c r="G501" s="7" t="n">
        <f aca="false">F501-E501</f>
        <v>80.01</v>
      </c>
      <c r="H501" s="8" t="n">
        <f aca="false">IF(E501=0,0,F501/E501-1)</f>
        <v>0.160023200464009</v>
      </c>
      <c r="I501" s="3" t="s">
        <v>38</v>
      </c>
    </row>
    <row r="502" customFormat="false" ht="15" hidden="false" customHeight="false" outlineLevel="0" collapsed="false">
      <c r="A502" s="3" t="s">
        <v>582</v>
      </c>
      <c r="B502" s="3" t="s">
        <v>23</v>
      </c>
      <c r="C502" s="3" t="s">
        <v>24</v>
      </c>
      <c r="D502" s="3" t="n">
        <v>1</v>
      </c>
      <c r="E502" s="6" t="n">
        <v>29.99</v>
      </c>
      <c r="F502" s="6" t="n">
        <v>37</v>
      </c>
      <c r="G502" s="7" t="n">
        <f aca="false">F502-E502</f>
        <v>7.01</v>
      </c>
      <c r="H502" s="8" t="n">
        <f aca="false">IF(E502=0,0,F502/E502-1)</f>
        <v>0.233744581527176</v>
      </c>
      <c r="I502" s="3" t="s">
        <v>27</v>
      </c>
    </row>
    <row r="503" customFormat="false" ht="15" hidden="false" customHeight="false" outlineLevel="0" collapsed="false">
      <c r="A503" s="3" t="s">
        <v>583</v>
      </c>
      <c r="B503" s="3" t="s">
        <v>23</v>
      </c>
      <c r="C503" s="3" t="s">
        <v>24</v>
      </c>
      <c r="D503" s="3" t="n">
        <v>5</v>
      </c>
      <c r="E503" s="6" t="n">
        <v>350</v>
      </c>
      <c r="F503" s="6" t="n">
        <v>357</v>
      </c>
      <c r="G503" s="7" t="n">
        <f aca="false">F503-E503</f>
        <v>7</v>
      </c>
      <c r="H503" s="8" t="n">
        <f aca="false">IF(E503=0,0,F503/E503-1)</f>
        <v>0.02</v>
      </c>
      <c r="I503" s="3" t="s">
        <v>368</v>
      </c>
    </row>
    <row r="504" customFormat="false" ht="15" hidden="false" customHeight="false" outlineLevel="0" collapsed="false">
      <c r="A504" s="3" t="s">
        <v>584</v>
      </c>
      <c r="B504" s="3" t="s">
        <v>23</v>
      </c>
      <c r="C504" s="3" t="s">
        <v>179</v>
      </c>
      <c r="D504" s="3" t="n">
        <v>5</v>
      </c>
      <c r="E504" s="6" t="n">
        <v>615</v>
      </c>
      <c r="F504" s="6" t="n">
        <v>628</v>
      </c>
      <c r="G504" s="7" t="n">
        <f aca="false">F504-E504</f>
        <v>13</v>
      </c>
      <c r="H504" s="8" t="n">
        <f aca="false">IF(E504=0,0,F504/E504-1)</f>
        <v>0.0211382113821139</v>
      </c>
      <c r="I504" s="3" t="s">
        <v>585</v>
      </c>
    </row>
    <row r="505" customFormat="false" ht="15" hidden="false" customHeight="false" outlineLevel="0" collapsed="false">
      <c r="A505" s="3" t="s">
        <v>586</v>
      </c>
      <c r="B505" s="3" t="s">
        <v>23</v>
      </c>
      <c r="C505" s="3" t="s">
        <v>24</v>
      </c>
      <c r="D505" s="3" t="n">
        <v>5</v>
      </c>
      <c r="E505" s="6" t="n">
        <v>450</v>
      </c>
      <c r="F505" s="6" t="n">
        <v>459</v>
      </c>
      <c r="G505" s="7" t="n">
        <f aca="false">F505-E505</f>
        <v>9</v>
      </c>
      <c r="H505" s="8" t="n">
        <f aca="false">IF(E505=0,0,F505/E505-1)</f>
        <v>0.02</v>
      </c>
      <c r="I505" s="3" t="s">
        <v>368</v>
      </c>
    </row>
    <row r="506" customFormat="false" ht="15" hidden="false" customHeight="false" outlineLevel="0" collapsed="false">
      <c r="A506" s="3" t="s">
        <v>587</v>
      </c>
      <c r="B506" s="3" t="s">
        <v>23</v>
      </c>
      <c r="C506" s="3" t="s">
        <v>24</v>
      </c>
      <c r="D506" s="3" t="n">
        <v>1</v>
      </c>
      <c r="E506" s="6" t="n">
        <v>39.99</v>
      </c>
      <c r="F506" s="6" t="n">
        <v>49</v>
      </c>
      <c r="G506" s="7" t="n">
        <f aca="false">F506-E506</f>
        <v>9.01</v>
      </c>
      <c r="H506" s="8" t="n">
        <f aca="false">IF(E506=0,0,F506/E506-1)</f>
        <v>0.225306326581645</v>
      </c>
      <c r="I506" s="3" t="s">
        <v>27</v>
      </c>
    </row>
    <row r="507" customFormat="false" ht="15" hidden="false" customHeight="false" outlineLevel="0" collapsed="false">
      <c r="A507" s="3" t="s">
        <v>588</v>
      </c>
      <c r="B507" s="3" t="s">
        <v>23</v>
      </c>
      <c r="C507" s="3" t="s">
        <v>24</v>
      </c>
      <c r="D507" s="3" t="n">
        <v>1</v>
      </c>
      <c r="E507" s="6" t="n">
        <v>49.99</v>
      </c>
      <c r="F507" s="6" t="n">
        <v>61</v>
      </c>
      <c r="G507" s="7" t="n">
        <f aca="false">F507-E507</f>
        <v>11.01</v>
      </c>
      <c r="H507" s="8" t="n">
        <f aca="false">IF(E507=0,0,F507/E507-1)</f>
        <v>0.220244048809762</v>
      </c>
      <c r="I507" s="3" t="s">
        <v>27</v>
      </c>
    </row>
    <row r="508" customFormat="false" ht="15" hidden="false" customHeight="false" outlineLevel="0" collapsed="false">
      <c r="A508" s="3" t="s">
        <v>589</v>
      </c>
      <c r="B508" s="3" t="s">
        <v>23</v>
      </c>
      <c r="C508" s="3" t="s">
        <v>24</v>
      </c>
      <c r="D508" s="3" t="n">
        <v>1</v>
      </c>
      <c r="E508" s="6" t="n">
        <v>163.42</v>
      </c>
      <c r="F508" s="6" t="n">
        <v>200</v>
      </c>
      <c r="G508" s="7" t="n">
        <f aca="false">F508-E508</f>
        <v>36.58</v>
      </c>
      <c r="H508" s="8" t="n">
        <f aca="false">IF(E508=0,0,F508/E508-1)</f>
        <v>0.223840411210378</v>
      </c>
      <c r="I508" s="3" t="s">
        <v>27</v>
      </c>
    </row>
    <row r="509" customFormat="false" ht="15" hidden="false" customHeight="false" outlineLevel="0" collapsed="false">
      <c r="A509" s="3" t="s">
        <v>590</v>
      </c>
      <c r="B509" s="3" t="s">
        <v>23</v>
      </c>
      <c r="C509" s="3" t="s">
        <v>24</v>
      </c>
      <c r="D509" s="3" t="n">
        <v>1</v>
      </c>
      <c r="E509" s="6" t="n">
        <v>249.99</v>
      </c>
      <c r="F509" s="6" t="n">
        <v>305</v>
      </c>
      <c r="G509" s="7" t="n">
        <f aca="false">F509-E509</f>
        <v>55.01</v>
      </c>
      <c r="H509" s="8" t="n">
        <f aca="false">IF(E509=0,0,F509/E509-1)</f>
        <v>0.220048801952078</v>
      </c>
      <c r="I509" s="3" t="s">
        <v>27</v>
      </c>
    </row>
    <row r="510" customFormat="false" ht="15" hidden="false" customHeight="false" outlineLevel="0" collapsed="false">
      <c r="A510" s="3" t="s">
        <v>591</v>
      </c>
      <c r="B510" s="3" t="s">
        <v>23</v>
      </c>
      <c r="C510" s="3" t="s">
        <v>24</v>
      </c>
      <c r="D510" s="3" t="n">
        <v>1</v>
      </c>
      <c r="E510" s="6" t="n">
        <v>379.99</v>
      </c>
      <c r="F510" s="6" t="n">
        <v>464</v>
      </c>
      <c r="G510" s="7" t="n">
        <f aca="false">F510-E510</f>
        <v>84.01</v>
      </c>
      <c r="H510" s="8" t="n">
        <f aca="false">IF(E510=0,0,F510/E510-1)</f>
        <v>0.221084765388563</v>
      </c>
      <c r="I510" s="3" t="s">
        <v>486</v>
      </c>
    </row>
    <row r="511" customFormat="false" ht="15" hidden="false" customHeight="false" outlineLevel="0" collapsed="false">
      <c r="A511" s="3" t="s">
        <v>592</v>
      </c>
      <c r="B511" s="3" t="s">
        <v>23</v>
      </c>
      <c r="C511" s="3" t="s">
        <v>24</v>
      </c>
      <c r="D511" s="3" t="n">
        <v>1</v>
      </c>
      <c r="E511" s="6" t="n">
        <v>35</v>
      </c>
      <c r="F511" s="6" t="n">
        <v>43</v>
      </c>
      <c r="G511" s="7" t="n">
        <f aca="false">F511-E511</f>
        <v>8</v>
      </c>
      <c r="H511" s="8" t="n">
        <f aca="false">IF(E511=0,0,F511/E511-1)</f>
        <v>0.228571428571429</v>
      </c>
      <c r="I511" s="3" t="s">
        <v>27</v>
      </c>
    </row>
    <row r="512" customFormat="false" ht="15" hidden="false" customHeight="false" outlineLevel="0" collapsed="false">
      <c r="A512" s="3" t="s">
        <v>593</v>
      </c>
      <c r="B512" s="3" t="s">
        <v>23</v>
      </c>
      <c r="C512" s="3" t="s">
        <v>24</v>
      </c>
      <c r="D512" s="3" t="n">
        <v>2</v>
      </c>
      <c r="E512" s="6" t="n">
        <v>19.99</v>
      </c>
      <c r="F512" s="6" t="n">
        <v>24</v>
      </c>
      <c r="G512" s="7" t="n">
        <f aca="false">F512-E512</f>
        <v>4.01</v>
      </c>
      <c r="H512" s="8" t="n">
        <f aca="false">IF(E512=0,0,F512/E512-1)</f>
        <v>0.200600300150075</v>
      </c>
      <c r="I512" s="3" t="s">
        <v>305</v>
      </c>
    </row>
    <row r="513" customFormat="false" ht="15" hidden="false" customHeight="false" outlineLevel="0" collapsed="false">
      <c r="A513" s="3" t="s">
        <v>594</v>
      </c>
      <c r="B513" s="3" t="s">
        <v>23</v>
      </c>
      <c r="C513" s="3" t="s">
        <v>24</v>
      </c>
      <c r="D513" s="3" t="n">
        <v>1</v>
      </c>
      <c r="E513" s="6" t="n">
        <v>47.24</v>
      </c>
      <c r="F513" s="6" t="n">
        <v>58</v>
      </c>
      <c r="G513" s="7" t="n">
        <f aca="false">F513-E513</f>
        <v>10.76</v>
      </c>
      <c r="H513" s="8" t="n">
        <f aca="false">IF(E513=0,0,F513/E513-1)</f>
        <v>0.227773073666384</v>
      </c>
      <c r="I513" s="3" t="s">
        <v>27</v>
      </c>
    </row>
    <row r="514" customFormat="false" ht="15" hidden="false" customHeight="false" outlineLevel="0" collapsed="false">
      <c r="A514" s="3" t="s">
        <v>595</v>
      </c>
      <c r="B514" s="3" t="s">
        <v>23</v>
      </c>
      <c r="C514" s="3" t="s">
        <v>24</v>
      </c>
      <c r="D514" s="3" t="n">
        <v>1</v>
      </c>
      <c r="E514" s="6" t="n">
        <v>33</v>
      </c>
      <c r="F514" s="6" t="n">
        <v>40.5</v>
      </c>
      <c r="G514" s="7" t="n">
        <f aca="false">F514-E514</f>
        <v>7.5</v>
      </c>
      <c r="H514" s="8" t="n">
        <f aca="false">IF(E514=0,0,F514/E514-1)</f>
        <v>0.227272727272727</v>
      </c>
      <c r="I514" s="3" t="s">
        <v>27</v>
      </c>
    </row>
    <row r="515" customFormat="false" ht="15" hidden="false" customHeight="false" outlineLevel="0" collapsed="false">
      <c r="A515" s="3" t="s">
        <v>596</v>
      </c>
      <c r="B515" s="3" t="s">
        <v>23</v>
      </c>
      <c r="C515" s="3" t="s">
        <v>24</v>
      </c>
      <c r="D515" s="3" t="n">
        <v>1</v>
      </c>
      <c r="E515" s="6" t="n">
        <v>129.99</v>
      </c>
      <c r="F515" s="6" t="n">
        <v>159</v>
      </c>
      <c r="G515" s="7" t="n">
        <f aca="false">F515-E515</f>
        <v>29.01</v>
      </c>
      <c r="H515" s="8" t="n">
        <f aca="false">IF(E515=0,0,F515/E515-1)</f>
        <v>0.223171013154858</v>
      </c>
      <c r="I515" s="3" t="s">
        <v>27</v>
      </c>
    </row>
    <row r="516" customFormat="false" ht="15" hidden="false" customHeight="false" outlineLevel="0" collapsed="false">
      <c r="A516" s="3" t="s">
        <v>597</v>
      </c>
      <c r="B516" s="3" t="s">
        <v>23</v>
      </c>
      <c r="C516" s="3" t="s">
        <v>24</v>
      </c>
      <c r="D516" s="3" t="n">
        <v>1</v>
      </c>
      <c r="E516" s="6" t="n">
        <v>24.99</v>
      </c>
      <c r="F516" s="6" t="n">
        <v>30.5</v>
      </c>
      <c r="G516" s="7" t="n">
        <f aca="false">F516-E516</f>
        <v>5.51</v>
      </c>
      <c r="H516" s="8" t="n">
        <f aca="false">IF(E516=0,0,F516/E516-1)</f>
        <v>0.220488195278111</v>
      </c>
      <c r="I516" s="3" t="s">
        <v>27</v>
      </c>
    </row>
    <row r="517" customFormat="false" ht="15" hidden="false" customHeight="false" outlineLevel="0" collapsed="false">
      <c r="A517" s="3" t="s">
        <v>598</v>
      </c>
      <c r="B517" s="3" t="s">
        <v>23</v>
      </c>
      <c r="C517" s="3" t="s">
        <v>24</v>
      </c>
      <c r="D517" s="3" t="n">
        <v>1</v>
      </c>
      <c r="E517" s="6" t="n">
        <v>499.99</v>
      </c>
      <c r="F517" s="6" t="n">
        <v>610</v>
      </c>
      <c r="G517" s="7" t="n">
        <f aca="false">F517-E517</f>
        <v>110.01</v>
      </c>
      <c r="H517" s="8" t="n">
        <f aca="false">IF(E517=0,0,F517/E517-1)</f>
        <v>0.22002440048801</v>
      </c>
      <c r="I517" s="3" t="s">
        <v>486</v>
      </c>
    </row>
    <row r="518" customFormat="false" ht="15" hidden="false" customHeight="false" outlineLevel="0" collapsed="false">
      <c r="A518" s="3" t="s">
        <v>599</v>
      </c>
      <c r="B518" s="3" t="s">
        <v>23</v>
      </c>
      <c r="C518" s="3" t="s">
        <v>24</v>
      </c>
      <c r="D518" s="3" t="n">
        <v>1</v>
      </c>
      <c r="E518" s="6" t="n">
        <v>29.99</v>
      </c>
      <c r="F518" s="6" t="n">
        <v>37</v>
      </c>
      <c r="G518" s="7" t="n">
        <f aca="false">F518-E518</f>
        <v>7.01</v>
      </c>
      <c r="H518" s="8" t="n">
        <f aca="false">IF(E518=0,0,F518/E518-1)</f>
        <v>0.233744581527176</v>
      </c>
      <c r="I518" s="3" t="s">
        <v>27</v>
      </c>
    </row>
    <row r="519" customFormat="false" ht="15" hidden="false" customHeight="false" outlineLevel="0" collapsed="false">
      <c r="A519" s="3" t="s">
        <v>600</v>
      </c>
      <c r="B519" s="3" t="s">
        <v>23</v>
      </c>
      <c r="C519" s="3" t="s">
        <v>24</v>
      </c>
      <c r="D519" s="3" t="n">
        <v>1</v>
      </c>
      <c r="E519" s="6" t="n">
        <v>19.22</v>
      </c>
      <c r="F519" s="6" t="n">
        <v>23.5</v>
      </c>
      <c r="G519" s="7" t="n">
        <f aca="false">F519-E519</f>
        <v>4.28</v>
      </c>
      <c r="H519" s="8" t="n">
        <f aca="false">IF(E519=0,0,F519/E519-1)</f>
        <v>0.222684703433923</v>
      </c>
      <c r="I519" s="3" t="s">
        <v>134</v>
      </c>
    </row>
    <row r="520" customFormat="false" ht="15" hidden="false" customHeight="false" outlineLevel="0" collapsed="false">
      <c r="A520" s="3" t="s">
        <v>601</v>
      </c>
      <c r="B520" s="3" t="s">
        <v>23</v>
      </c>
      <c r="C520" s="3" t="s">
        <v>24</v>
      </c>
      <c r="D520" s="3" t="n">
        <v>1</v>
      </c>
      <c r="E520" s="6" t="n">
        <v>250</v>
      </c>
      <c r="F520" s="6" t="n">
        <v>305</v>
      </c>
      <c r="G520" s="7" t="n">
        <f aca="false">F520-E520</f>
        <v>55</v>
      </c>
      <c r="H520" s="8" t="n">
        <f aca="false">IF(E520=0,0,F520/E520-1)</f>
        <v>0.22</v>
      </c>
      <c r="I520" s="3" t="s">
        <v>27</v>
      </c>
    </row>
    <row r="521" customFormat="false" ht="15" hidden="false" customHeight="false" outlineLevel="0" collapsed="false">
      <c r="A521" s="3" t="s">
        <v>602</v>
      </c>
      <c r="B521" s="3" t="s">
        <v>23</v>
      </c>
      <c r="C521" s="3" t="s">
        <v>24</v>
      </c>
      <c r="D521" s="3" t="n">
        <v>1</v>
      </c>
      <c r="E521" s="6" t="n">
        <v>52.49</v>
      </c>
      <c r="F521" s="6" t="n">
        <v>64.5</v>
      </c>
      <c r="G521" s="7" t="n">
        <f aca="false">F521-E521</f>
        <v>12.01</v>
      </c>
      <c r="H521" s="8" t="n">
        <f aca="false">IF(E521=0,0,F521/E521-1)</f>
        <v>0.228805486759383</v>
      </c>
      <c r="I521" s="3" t="s">
        <v>27</v>
      </c>
    </row>
    <row r="522" customFormat="false" ht="15" hidden="false" customHeight="false" outlineLevel="0" collapsed="false">
      <c r="A522" s="3" t="s">
        <v>603</v>
      </c>
      <c r="B522" s="3" t="s">
        <v>23</v>
      </c>
      <c r="C522" s="3" t="s">
        <v>24</v>
      </c>
      <c r="D522" s="3" t="n">
        <v>1</v>
      </c>
      <c r="E522" s="6" t="n">
        <v>199</v>
      </c>
      <c r="F522" s="6" t="n">
        <v>243</v>
      </c>
      <c r="G522" s="7" t="n">
        <f aca="false">F522-E522</f>
        <v>44</v>
      </c>
      <c r="H522" s="8" t="n">
        <f aca="false">IF(E522=0,0,F522/E522-1)</f>
        <v>0.221105527638191</v>
      </c>
      <c r="I522" s="3" t="s">
        <v>27</v>
      </c>
    </row>
    <row r="523" customFormat="false" ht="15" hidden="false" customHeight="false" outlineLevel="0" collapsed="false">
      <c r="A523" s="3" t="s">
        <v>604</v>
      </c>
      <c r="B523" s="3" t="s">
        <v>23</v>
      </c>
      <c r="C523" s="3" t="s">
        <v>24</v>
      </c>
      <c r="D523" s="3" t="n">
        <v>1</v>
      </c>
      <c r="E523" s="6" t="n">
        <v>140.03</v>
      </c>
      <c r="F523" s="6" t="n">
        <v>171</v>
      </c>
      <c r="G523" s="7" t="n">
        <f aca="false">F523-E523</f>
        <v>30.97</v>
      </c>
      <c r="H523" s="8" t="n">
        <f aca="false">IF(E523=0,0,F523/E523-1)</f>
        <v>0.221166892808684</v>
      </c>
      <c r="I523" s="3" t="s">
        <v>333</v>
      </c>
    </row>
    <row r="524" customFormat="false" ht="15" hidden="false" customHeight="false" outlineLevel="0" collapsed="false">
      <c r="A524" s="3" t="s">
        <v>605</v>
      </c>
      <c r="B524" s="3" t="s">
        <v>23</v>
      </c>
      <c r="C524" s="3" t="s">
        <v>24</v>
      </c>
      <c r="D524" s="3" t="n">
        <v>1</v>
      </c>
      <c r="E524" s="6" t="n">
        <v>54.99</v>
      </c>
      <c r="F524" s="6" t="n">
        <v>67.5</v>
      </c>
      <c r="G524" s="7" t="n">
        <f aca="false">F524-E524</f>
        <v>12.51</v>
      </c>
      <c r="H524" s="8" t="n">
        <f aca="false">IF(E524=0,0,F524/E524-1)</f>
        <v>0.227495908346972</v>
      </c>
      <c r="I524" s="3" t="s">
        <v>27</v>
      </c>
    </row>
    <row r="525" customFormat="false" ht="15" hidden="false" customHeight="false" outlineLevel="0" collapsed="false">
      <c r="A525" s="3" t="s">
        <v>606</v>
      </c>
      <c r="B525" s="3" t="s">
        <v>23</v>
      </c>
      <c r="C525" s="3" t="s">
        <v>24</v>
      </c>
      <c r="D525" s="3" t="n">
        <v>1</v>
      </c>
      <c r="E525" s="6" t="n">
        <v>49.99</v>
      </c>
      <c r="F525" s="6" t="n">
        <v>61</v>
      </c>
      <c r="G525" s="7" t="n">
        <f aca="false">F525-E525</f>
        <v>11.01</v>
      </c>
      <c r="H525" s="8" t="n">
        <f aca="false">IF(E525=0,0,F525/E525-1)</f>
        <v>0.220244048809762</v>
      </c>
      <c r="I525" s="3" t="s">
        <v>27</v>
      </c>
    </row>
    <row r="526" customFormat="false" ht="15" hidden="false" customHeight="false" outlineLevel="0" collapsed="false">
      <c r="A526" s="3" t="s">
        <v>607</v>
      </c>
      <c r="B526" s="3" t="s">
        <v>23</v>
      </c>
      <c r="C526" s="3" t="s">
        <v>24</v>
      </c>
      <c r="D526" s="3" t="n">
        <v>1</v>
      </c>
      <c r="E526" s="6" t="n">
        <v>179.99</v>
      </c>
      <c r="F526" s="6" t="n">
        <v>220</v>
      </c>
      <c r="G526" s="7" t="n">
        <f aca="false">F526-E526</f>
        <v>40.01</v>
      </c>
      <c r="H526" s="8" t="n">
        <f aca="false">IF(E526=0,0,F526/E526-1)</f>
        <v>0.222290127229291</v>
      </c>
      <c r="I526" s="3" t="s">
        <v>27</v>
      </c>
    </row>
    <row r="527" customFormat="false" ht="15" hidden="false" customHeight="false" outlineLevel="0" collapsed="false">
      <c r="A527" s="3" t="s">
        <v>608</v>
      </c>
      <c r="B527" s="3" t="s">
        <v>23</v>
      </c>
      <c r="C527" s="3" t="s">
        <v>24</v>
      </c>
      <c r="D527" s="3" t="n">
        <v>3</v>
      </c>
      <c r="E527" s="6" t="n">
        <v>549.99</v>
      </c>
      <c r="F527" s="6" t="n">
        <v>638</v>
      </c>
      <c r="G527" s="7" t="n">
        <f aca="false">F527-E527</f>
        <v>88.01</v>
      </c>
      <c r="H527" s="8" t="n">
        <f aca="false">IF(E527=0,0,F527/E527-1)</f>
        <v>0.160021091292569</v>
      </c>
      <c r="I527" s="3" t="s">
        <v>38</v>
      </c>
    </row>
    <row r="528" customFormat="false" ht="15" hidden="false" customHeight="false" outlineLevel="0" collapsed="false">
      <c r="A528" s="3" t="s">
        <v>609</v>
      </c>
      <c r="B528" s="3" t="s">
        <v>23</v>
      </c>
      <c r="C528" s="3" t="s">
        <v>24</v>
      </c>
      <c r="D528" s="3" t="n">
        <v>1</v>
      </c>
      <c r="E528" s="6" t="n">
        <v>60</v>
      </c>
      <c r="F528" s="6" t="n">
        <v>73.5</v>
      </c>
      <c r="G528" s="7" t="n">
        <f aca="false">F528-E528</f>
        <v>13.5</v>
      </c>
      <c r="H528" s="8" t="n">
        <f aca="false">IF(E528=0,0,F528/E528-1)</f>
        <v>0.225</v>
      </c>
      <c r="I528" s="3" t="s">
        <v>27</v>
      </c>
    </row>
    <row r="529" customFormat="false" ht="15" hidden="false" customHeight="false" outlineLevel="0" collapsed="false">
      <c r="A529" s="3" t="s">
        <v>610</v>
      </c>
      <c r="B529" s="3" t="s">
        <v>23</v>
      </c>
      <c r="C529" s="3" t="s">
        <v>24</v>
      </c>
      <c r="D529" s="3" t="n">
        <v>1</v>
      </c>
      <c r="E529" s="6" t="n">
        <v>199.99</v>
      </c>
      <c r="F529" s="6" t="n">
        <v>244</v>
      </c>
      <c r="G529" s="7" t="n">
        <f aca="false">F529-E529</f>
        <v>44.01</v>
      </c>
      <c r="H529" s="8" t="n">
        <f aca="false">IF(E529=0,0,F529/E529-1)</f>
        <v>0.220061003050152</v>
      </c>
      <c r="I529" s="3" t="s">
        <v>611</v>
      </c>
    </row>
    <row r="530" customFormat="false" ht="15" hidden="false" customHeight="false" outlineLevel="0" collapsed="false">
      <c r="A530" s="3" t="s">
        <v>612</v>
      </c>
      <c r="B530" s="3" t="s">
        <v>23</v>
      </c>
      <c r="C530" s="3" t="s">
        <v>24</v>
      </c>
      <c r="D530" s="3" t="n">
        <v>1</v>
      </c>
      <c r="E530" s="6" t="n">
        <v>379.99</v>
      </c>
      <c r="F530" s="6" t="n">
        <v>464</v>
      </c>
      <c r="G530" s="7" t="n">
        <f aca="false">F530-E530</f>
        <v>84.01</v>
      </c>
      <c r="H530" s="8" t="n">
        <f aca="false">IF(E530=0,0,F530/E530-1)</f>
        <v>0.221084765388563</v>
      </c>
      <c r="I530" s="3" t="s">
        <v>486</v>
      </c>
    </row>
    <row r="531" customFormat="false" ht="15" hidden="false" customHeight="false" outlineLevel="0" collapsed="false">
      <c r="A531" s="3" t="s">
        <v>613</v>
      </c>
      <c r="B531" s="3" t="s">
        <v>23</v>
      </c>
      <c r="C531" s="3" t="s">
        <v>24</v>
      </c>
      <c r="D531" s="3" t="n">
        <v>3</v>
      </c>
      <c r="E531" s="6" t="n">
        <v>656.24</v>
      </c>
      <c r="F531" s="6" t="n">
        <v>762</v>
      </c>
      <c r="G531" s="7" t="n">
        <f aca="false">F531-E531</f>
        <v>105.76</v>
      </c>
      <c r="H531" s="8" t="n">
        <f aca="false">IF(E531=0,0,F531/E531-1)</f>
        <v>0.16116055101792</v>
      </c>
      <c r="I531" s="3" t="s">
        <v>38</v>
      </c>
    </row>
    <row r="532" customFormat="false" ht="15" hidden="false" customHeight="false" outlineLevel="0" collapsed="false">
      <c r="A532" s="3" t="s">
        <v>614</v>
      </c>
      <c r="B532" s="3" t="s">
        <v>23</v>
      </c>
      <c r="C532" s="3" t="s">
        <v>24</v>
      </c>
      <c r="D532" s="3" t="n">
        <v>1</v>
      </c>
      <c r="E532" s="6" t="n">
        <v>257.35</v>
      </c>
      <c r="F532" s="6" t="n">
        <v>314</v>
      </c>
      <c r="G532" s="7" t="n">
        <f aca="false">F532-E532</f>
        <v>56.65</v>
      </c>
      <c r="H532" s="8" t="n">
        <f aca="false">IF(E532=0,0,F532/E532-1)</f>
        <v>0.220128230036915</v>
      </c>
      <c r="I532" s="3" t="s">
        <v>134</v>
      </c>
    </row>
    <row r="533" customFormat="false" ht="15" hidden="false" customHeight="false" outlineLevel="0" collapsed="false">
      <c r="A533" s="3" t="s">
        <v>615</v>
      </c>
      <c r="B533" s="3" t="s">
        <v>23</v>
      </c>
      <c r="C533" s="3" t="s">
        <v>24</v>
      </c>
      <c r="D533" s="3" t="n">
        <v>1</v>
      </c>
      <c r="E533" s="6" t="n">
        <v>49</v>
      </c>
      <c r="F533" s="6" t="n">
        <v>60</v>
      </c>
      <c r="G533" s="7" t="n">
        <f aca="false">F533-E533</f>
        <v>11</v>
      </c>
      <c r="H533" s="8" t="n">
        <f aca="false">IF(E533=0,0,F533/E533-1)</f>
        <v>0.224489795918367</v>
      </c>
      <c r="I533" s="3" t="s">
        <v>27</v>
      </c>
    </row>
    <row r="534" customFormat="false" ht="15" hidden="false" customHeight="false" outlineLevel="0" collapsed="false">
      <c r="A534" s="3" t="s">
        <v>616</v>
      </c>
      <c r="B534" s="3" t="s">
        <v>23</v>
      </c>
      <c r="C534" s="3" t="s">
        <v>24</v>
      </c>
      <c r="D534" s="3" t="n">
        <v>1</v>
      </c>
      <c r="E534" s="6" t="n">
        <v>32.3</v>
      </c>
      <c r="F534" s="6" t="n">
        <v>39.5</v>
      </c>
      <c r="G534" s="7" t="n">
        <f aca="false">F534-E534</f>
        <v>7.2</v>
      </c>
      <c r="H534" s="8" t="n">
        <f aca="false">IF(E534=0,0,F534/E534-1)</f>
        <v>0.222910216718266</v>
      </c>
      <c r="I534" s="3" t="s">
        <v>27</v>
      </c>
    </row>
    <row r="535" customFormat="false" ht="15" hidden="false" customHeight="false" outlineLevel="0" collapsed="false">
      <c r="A535" s="3" t="s">
        <v>617</v>
      </c>
      <c r="B535" s="3" t="s">
        <v>23</v>
      </c>
      <c r="C535" s="3" t="s">
        <v>24</v>
      </c>
      <c r="D535" s="3" t="n">
        <v>1</v>
      </c>
      <c r="E535" s="6" t="n">
        <v>149.99</v>
      </c>
      <c r="F535" s="6" t="n">
        <v>183</v>
      </c>
      <c r="G535" s="7" t="n">
        <f aca="false">F535-E535</f>
        <v>33.01</v>
      </c>
      <c r="H535" s="8" t="n">
        <f aca="false">IF(E535=0,0,F535/E535-1)</f>
        <v>0.220081338755917</v>
      </c>
      <c r="I535" s="3" t="s">
        <v>27</v>
      </c>
    </row>
    <row r="536" customFormat="false" ht="15" hidden="false" customHeight="false" outlineLevel="0" collapsed="false">
      <c r="A536" s="3" t="s">
        <v>618</v>
      </c>
      <c r="B536" s="3" t="s">
        <v>23</v>
      </c>
      <c r="C536" s="3" t="s">
        <v>24</v>
      </c>
      <c r="D536" s="3" t="n">
        <v>1</v>
      </c>
      <c r="E536" s="6" t="n">
        <v>449.99</v>
      </c>
      <c r="F536" s="6" t="n">
        <v>549</v>
      </c>
      <c r="G536" s="7" t="n">
        <f aca="false">F536-E536</f>
        <v>99.01</v>
      </c>
      <c r="H536" s="8" t="n">
        <f aca="false">IF(E536=0,0,F536/E536-1)</f>
        <v>0.220027111713594</v>
      </c>
      <c r="I536" s="3" t="s">
        <v>27</v>
      </c>
    </row>
    <row r="537" customFormat="false" ht="15" hidden="false" customHeight="false" outlineLevel="0" collapsed="false">
      <c r="A537" s="3" t="s">
        <v>619</v>
      </c>
      <c r="B537" s="3" t="s">
        <v>23</v>
      </c>
      <c r="C537" s="3" t="s">
        <v>24</v>
      </c>
      <c r="D537" s="3" t="n">
        <v>1</v>
      </c>
      <c r="E537" s="6" t="n">
        <v>49.99</v>
      </c>
      <c r="F537" s="6" t="n">
        <v>61</v>
      </c>
      <c r="G537" s="7" t="n">
        <f aca="false">F537-E537</f>
        <v>11.01</v>
      </c>
      <c r="H537" s="8" t="n">
        <f aca="false">IF(E537=0,0,F537/E537-1)</f>
        <v>0.220244048809762</v>
      </c>
      <c r="I537" s="3" t="s">
        <v>27</v>
      </c>
    </row>
    <row r="538" customFormat="false" ht="15" hidden="false" customHeight="false" outlineLevel="0" collapsed="false">
      <c r="A538" s="3" t="s">
        <v>620</v>
      </c>
      <c r="B538" s="3" t="s">
        <v>23</v>
      </c>
      <c r="C538" s="3" t="s">
        <v>24</v>
      </c>
      <c r="D538" s="3" t="n">
        <v>1</v>
      </c>
      <c r="E538" s="6" t="n">
        <v>7.94</v>
      </c>
      <c r="F538" s="6" t="n">
        <v>10</v>
      </c>
      <c r="G538" s="7" t="n">
        <f aca="false">F538-E538</f>
        <v>2.06</v>
      </c>
      <c r="H538" s="8" t="n">
        <f aca="false">IF(E538=0,0,F538/E538-1)</f>
        <v>0.259445843828715</v>
      </c>
      <c r="I538" s="3" t="s">
        <v>210</v>
      </c>
    </row>
    <row r="539" customFormat="false" ht="15" hidden="false" customHeight="false" outlineLevel="0" collapsed="false">
      <c r="A539" s="3" t="s">
        <v>621</v>
      </c>
      <c r="B539" s="3" t="s">
        <v>23</v>
      </c>
      <c r="C539" s="3" t="s">
        <v>24</v>
      </c>
      <c r="D539" s="3" t="n">
        <v>1</v>
      </c>
      <c r="E539" s="6" t="n">
        <v>34.99</v>
      </c>
      <c r="F539" s="6" t="n">
        <v>43</v>
      </c>
      <c r="G539" s="7" t="n">
        <f aca="false">F539-E539</f>
        <v>8.01</v>
      </c>
      <c r="H539" s="8" t="n">
        <f aca="false">IF(E539=0,0,F539/E539-1)</f>
        <v>0.2289225492998</v>
      </c>
      <c r="I539" s="3" t="s">
        <v>27</v>
      </c>
    </row>
    <row r="540" customFormat="false" ht="15" hidden="false" customHeight="false" outlineLevel="0" collapsed="false">
      <c r="A540" s="3" t="s">
        <v>622</v>
      </c>
      <c r="B540" s="3" t="s">
        <v>23</v>
      </c>
      <c r="C540" s="3" t="s">
        <v>24</v>
      </c>
      <c r="D540" s="3" t="n">
        <v>1</v>
      </c>
      <c r="E540" s="6" t="n">
        <v>249.99</v>
      </c>
      <c r="F540" s="6" t="n">
        <v>305</v>
      </c>
      <c r="G540" s="7" t="n">
        <f aca="false">F540-E540</f>
        <v>55.01</v>
      </c>
      <c r="H540" s="8" t="n">
        <f aca="false">IF(E540=0,0,F540/E540-1)</f>
        <v>0.220048801952078</v>
      </c>
      <c r="I540" s="3" t="s">
        <v>27</v>
      </c>
    </row>
    <row r="541" customFormat="false" ht="15" hidden="false" customHeight="false" outlineLevel="0" collapsed="false">
      <c r="A541" s="3" t="s">
        <v>623</v>
      </c>
      <c r="B541" s="3" t="s">
        <v>23</v>
      </c>
      <c r="C541" s="3" t="s">
        <v>24</v>
      </c>
      <c r="D541" s="3" t="n">
        <v>4</v>
      </c>
      <c r="E541" s="6" t="n">
        <v>1850</v>
      </c>
      <c r="F541" s="6" t="n">
        <v>2130</v>
      </c>
      <c r="G541" s="7" t="n">
        <f aca="false">F541-E541</f>
        <v>280</v>
      </c>
      <c r="H541" s="8" t="n">
        <f aca="false">IF(E541=0,0,F541/E541-1)</f>
        <v>0.151351351351351</v>
      </c>
      <c r="I541" s="3" t="s">
        <v>32</v>
      </c>
    </row>
    <row r="542" customFormat="false" ht="15" hidden="false" customHeight="false" outlineLevel="0" collapsed="false">
      <c r="A542" s="3" t="s">
        <v>624</v>
      </c>
      <c r="B542" s="3" t="s">
        <v>23</v>
      </c>
      <c r="C542" s="3" t="s">
        <v>24</v>
      </c>
      <c r="D542" s="3" t="n">
        <v>1</v>
      </c>
      <c r="E542" s="6" t="n">
        <v>369</v>
      </c>
      <c r="F542" s="6" t="n">
        <v>451</v>
      </c>
      <c r="G542" s="7" t="n">
        <f aca="false">F542-E542</f>
        <v>82</v>
      </c>
      <c r="H542" s="8" t="n">
        <f aca="false">IF(E542=0,0,F542/E542-1)</f>
        <v>0.222222222222222</v>
      </c>
      <c r="I542" s="3" t="s">
        <v>27</v>
      </c>
    </row>
    <row r="543" customFormat="false" ht="15" hidden="false" customHeight="false" outlineLevel="0" collapsed="false">
      <c r="A543" s="3" t="s">
        <v>625</v>
      </c>
      <c r="B543" s="3" t="s">
        <v>23</v>
      </c>
      <c r="C543" s="3" t="s">
        <v>24</v>
      </c>
      <c r="D543" s="3" t="n">
        <v>1</v>
      </c>
      <c r="E543" s="6" t="n">
        <v>369</v>
      </c>
      <c r="F543" s="6" t="n">
        <v>451</v>
      </c>
      <c r="G543" s="7" t="n">
        <f aca="false">F543-E543</f>
        <v>82</v>
      </c>
      <c r="H543" s="8" t="n">
        <f aca="false">IF(E543=0,0,F543/E543-1)</f>
        <v>0.222222222222222</v>
      </c>
      <c r="I543" s="3" t="s">
        <v>27</v>
      </c>
    </row>
    <row r="544" customFormat="false" ht="15" hidden="false" customHeight="false" outlineLevel="0" collapsed="false">
      <c r="A544" s="3" t="s">
        <v>626</v>
      </c>
      <c r="B544" s="3" t="s">
        <v>23</v>
      </c>
      <c r="C544" s="3" t="s">
        <v>24</v>
      </c>
      <c r="D544" s="3" t="n">
        <v>1</v>
      </c>
      <c r="E544" s="6" t="n">
        <v>399.99</v>
      </c>
      <c r="F544" s="6" t="n">
        <v>488</v>
      </c>
      <c r="G544" s="7" t="n">
        <f aca="false">F544-E544</f>
        <v>88.01</v>
      </c>
      <c r="H544" s="8" t="n">
        <f aca="false">IF(E544=0,0,F544/E544-1)</f>
        <v>0.220030500762519</v>
      </c>
      <c r="I544" s="3" t="s">
        <v>27</v>
      </c>
    </row>
    <row r="545" customFormat="false" ht="15" hidden="false" customHeight="false" outlineLevel="0" collapsed="false">
      <c r="A545" s="3" t="s">
        <v>627</v>
      </c>
      <c r="B545" s="3" t="s">
        <v>23</v>
      </c>
      <c r="C545" s="3" t="s">
        <v>24</v>
      </c>
      <c r="D545" s="3" t="n">
        <v>1</v>
      </c>
      <c r="E545" s="6" t="n">
        <v>449.99</v>
      </c>
      <c r="F545" s="6" t="n">
        <v>549</v>
      </c>
      <c r="G545" s="7" t="n">
        <f aca="false">F545-E545</f>
        <v>99.01</v>
      </c>
      <c r="H545" s="8" t="n">
        <f aca="false">IF(E545=0,0,F545/E545-1)</f>
        <v>0.220027111713594</v>
      </c>
      <c r="I545" s="3" t="s">
        <v>205</v>
      </c>
    </row>
    <row r="546" customFormat="false" ht="15" hidden="false" customHeight="false" outlineLevel="0" collapsed="false">
      <c r="A546" s="3" t="s">
        <v>628</v>
      </c>
      <c r="B546" s="3" t="s">
        <v>23</v>
      </c>
      <c r="C546" s="3" t="s">
        <v>24</v>
      </c>
      <c r="D546" s="3" t="n">
        <v>1</v>
      </c>
      <c r="E546" s="6" t="n">
        <v>30.45</v>
      </c>
      <c r="F546" s="6" t="n">
        <v>37.5</v>
      </c>
      <c r="G546" s="7" t="n">
        <f aca="false">F546-E546</f>
        <v>7.05</v>
      </c>
      <c r="H546" s="8" t="n">
        <f aca="false">IF(E546=0,0,F546/E546-1)</f>
        <v>0.231527093596059</v>
      </c>
      <c r="I546" s="3" t="s">
        <v>27</v>
      </c>
    </row>
    <row r="547" customFormat="false" ht="15" hidden="false" customHeight="false" outlineLevel="0" collapsed="false">
      <c r="A547" s="3" t="s">
        <v>629</v>
      </c>
      <c r="B547" s="3" t="s">
        <v>23</v>
      </c>
      <c r="C547" s="3" t="s">
        <v>24</v>
      </c>
      <c r="D547" s="3" t="n">
        <v>2</v>
      </c>
      <c r="E547" s="6" t="n">
        <v>849.99</v>
      </c>
      <c r="F547" s="6" t="n">
        <v>1005</v>
      </c>
      <c r="G547" s="7" t="n">
        <f aca="false">F547-E547</f>
        <v>155.01</v>
      </c>
      <c r="H547" s="8" t="n">
        <f aca="false">IF(E547=0,0,F547/E547-1)</f>
        <v>0.182366851374722</v>
      </c>
      <c r="I547" s="3" t="s">
        <v>630</v>
      </c>
    </row>
    <row r="548" customFormat="false" ht="15" hidden="false" customHeight="false" outlineLevel="0" collapsed="false">
      <c r="A548" s="3" t="s">
        <v>631</v>
      </c>
      <c r="B548" s="3" t="s">
        <v>23</v>
      </c>
      <c r="C548" s="3" t="s">
        <v>24</v>
      </c>
      <c r="D548" s="3" t="n">
        <v>1</v>
      </c>
      <c r="E548" s="6" t="n">
        <v>79.99</v>
      </c>
      <c r="F548" s="6" t="n">
        <v>98</v>
      </c>
      <c r="G548" s="7" t="n">
        <f aca="false">F548-E548</f>
        <v>18.01</v>
      </c>
      <c r="H548" s="8" t="n">
        <f aca="false">IF(E548=0,0,F548/E548-1)</f>
        <v>0.225153144143018</v>
      </c>
      <c r="I548" s="3" t="s">
        <v>632</v>
      </c>
    </row>
    <row r="549" customFormat="false" ht="15" hidden="false" customHeight="false" outlineLevel="0" collapsed="false">
      <c r="A549" s="3" t="s">
        <v>633</v>
      </c>
      <c r="B549" s="3" t="s">
        <v>23</v>
      </c>
      <c r="C549" s="3" t="s">
        <v>24</v>
      </c>
      <c r="D549" s="3" t="n">
        <v>1</v>
      </c>
      <c r="E549" s="6" t="n">
        <v>89.99</v>
      </c>
      <c r="F549" s="6" t="n">
        <v>110</v>
      </c>
      <c r="G549" s="7" t="n">
        <f aca="false">F549-E549</f>
        <v>20.01</v>
      </c>
      <c r="H549" s="8" t="n">
        <f aca="false">IF(E549=0,0,F549/E549-1)</f>
        <v>0.222358039782198</v>
      </c>
      <c r="I549" s="3" t="s">
        <v>27</v>
      </c>
    </row>
    <row r="550" customFormat="false" ht="15" hidden="false" customHeight="false" outlineLevel="0" collapsed="false">
      <c r="A550" s="3" t="s">
        <v>634</v>
      </c>
      <c r="B550" s="3" t="s">
        <v>23</v>
      </c>
      <c r="C550" s="3" t="s">
        <v>24</v>
      </c>
      <c r="D550" s="3" t="n">
        <v>1</v>
      </c>
      <c r="E550" s="6" t="n">
        <v>36.56</v>
      </c>
      <c r="F550" s="6" t="n">
        <v>45</v>
      </c>
      <c r="G550" s="7" t="n">
        <f aca="false">F550-E550</f>
        <v>8.44</v>
      </c>
      <c r="H550" s="8" t="n">
        <f aca="false">IF(E550=0,0,F550/E550-1)</f>
        <v>0.230853391684901</v>
      </c>
      <c r="I550" s="3" t="s">
        <v>27</v>
      </c>
    </row>
    <row r="551" customFormat="false" ht="15" hidden="false" customHeight="false" outlineLevel="0" collapsed="false">
      <c r="A551" s="3" t="s">
        <v>635</v>
      </c>
      <c r="B551" s="3" t="s">
        <v>23</v>
      </c>
      <c r="C551" s="3" t="s">
        <v>24</v>
      </c>
      <c r="D551" s="3" t="n">
        <v>1</v>
      </c>
      <c r="E551" s="6" t="n">
        <v>19.99</v>
      </c>
      <c r="F551" s="6" t="n">
        <v>24.5</v>
      </c>
      <c r="G551" s="7" t="n">
        <f aca="false">F551-E551</f>
        <v>4.51</v>
      </c>
      <c r="H551" s="8" t="n">
        <f aca="false">IF(E551=0,0,F551/E551-1)</f>
        <v>0.225612806403202</v>
      </c>
      <c r="I551" s="3" t="s">
        <v>27</v>
      </c>
    </row>
    <row r="552" customFormat="false" ht="15" hidden="false" customHeight="false" outlineLevel="0" collapsed="false">
      <c r="A552" s="3" t="s">
        <v>636</v>
      </c>
      <c r="B552" s="3" t="s">
        <v>23</v>
      </c>
      <c r="C552" s="3" t="s">
        <v>179</v>
      </c>
      <c r="D552" s="3" t="n">
        <v>2</v>
      </c>
      <c r="E552" s="6" t="n">
        <v>1105</v>
      </c>
      <c r="F552" s="6" t="n">
        <v>1305</v>
      </c>
      <c r="G552" s="7" t="n">
        <f aca="false">F552-E552</f>
        <v>200</v>
      </c>
      <c r="H552" s="8" t="n">
        <f aca="false">IF(E552=0,0,F552/E552-1)</f>
        <v>0.180995475113122</v>
      </c>
      <c r="I552" s="3" t="s">
        <v>637</v>
      </c>
    </row>
    <row r="553" customFormat="false" ht="15" hidden="false" customHeight="false" outlineLevel="0" collapsed="false">
      <c r="A553" s="3" t="s">
        <v>638</v>
      </c>
      <c r="B553" s="3" t="s">
        <v>23</v>
      </c>
      <c r="C553" s="3" t="s">
        <v>24</v>
      </c>
      <c r="D553" s="3" t="n">
        <v>1</v>
      </c>
      <c r="E553" s="6" t="n">
        <v>64.99</v>
      </c>
      <c r="F553" s="6" t="n">
        <v>79.5</v>
      </c>
      <c r="G553" s="7" t="n">
        <f aca="false">F553-E553</f>
        <v>14.51</v>
      </c>
      <c r="H553" s="8" t="n">
        <f aca="false">IF(E553=0,0,F553/E553-1)</f>
        <v>0.223265117710417</v>
      </c>
      <c r="I553" s="3" t="s">
        <v>27</v>
      </c>
    </row>
    <row r="554" customFormat="false" ht="15" hidden="false" customHeight="false" outlineLevel="0" collapsed="false">
      <c r="A554" s="3" t="s">
        <v>639</v>
      </c>
      <c r="B554" s="3" t="s">
        <v>23</v>
      </c>
      <c r="C554" s="3" t="s">
        <v>24</v>
      </c>
      <c r="D554" s="3" t="n">
        <v>1</v>
      </c>
      <c r="E554" s="6" t="n">
        <v>119.99</v>
      </c>
      <c r="F554" s="6" t="n">
        <v>147</v>
      </c>
      <c r="G554" s="7" t="n">
        <f aca="false">F554-E554</f>
        <v>27.01</v>
      </c>
      <c r="H554" s="8" t="n">
        <f aca="false">IF(E554=0,0,F554/E554-1)</f>
        <v>0.225102091840987</v>
      </c>
      <c r="I554" s="3" t="s">
        <v>27</v>
      </c>
    </row>
    <row r="555" customFormat="false" ht="15" hidden="false" customHeight="false" outlineLevel="0" collapsed="false">
      <c r="A555" s="3" t="s">
        <v>640</v>
      </c>
      <c r="B555" s="3" t="s">
        <v>23</v>
      </c>
      <c r="C555" s="3" t="s">
        <v>24</v>
      </c>
      <c r="D555" s="3" t="n">
        <v>1</v>
      </c>
      <c r="E555" s="6" t="n">
        <v>15</v>
      </c>
      <c r="F555" s="6" t="n">
        <v>18.5</v>
      </c>
      <c r="G555" s="7" t="n">
        <f aca="false">F555-E555</f>
        <v>3.5</v>
      </c>
      <c r="H555" s="8" t="n">
        <f aca="false">IF(E555=0,0,F555/E555-1)</f>
        <v>0.233333333333333</v>
      </c>
      <c r="I555" s="3" t="s">
        <v>27</v>
      </c>
    </row>
    <row r="556" customFormat="false" ht="15" hidden="false" customHeight="false" outlineLevel="0" collapsed="false">
      <c r="A556" s="3" t="s">
        <v>641</v>
      </c>
      <c r="B556" s="3" t="s">
        <v>23</v>
      </c>
      <c r="C556" s="3" t="s">
        <v>24</v>
      </c>
      <c r="D556" s="3" t="n">
        <v>1</v>
      </c>
      <c r="E556" s="6" t="n">
        <v>163.75</v>
      </c>
      <c r="F556" s="6" t="n">
        <v>200</v>
      </c>
      <c r="G556" s="7" t="n">
        <f aca="false">F556-E556</f>
        <v>36.25</v>
      </c>
      <c r="H556" s="8" t="n">
        <f aca="false">IF(E556=0,0,F556/E556-1)</f>
        <v>0.221374045801527</v>
      </c>
      <c r="I556" s="3" t="s">
        <v>27</v>
      </c>
    </row>
    <row r="557" customFormat="false" ht="15" hidden="false" customHeight="false" outlineLevel="0" collapsed="false">
      <c r="A557" s="3" t="s">
        <v>642</v>
      </c>
      <c r="B557" s="3" t="s">
        <v>23</v>
      </c>
      <c r="C557" s="3" t="s">
        <v>24</v>
      </c>
      <c r="D557" s="3" t="n">
        <v>2</v>
      </c>
      <c r="E557" s="6" t="n">
        <v>1450</v>
      </c>
      <c r="F557" s="6" t="n">
        <v>1715</v>
      </c>
      <c r="G557" s="7" t="n">
        <f aca="false">F557-E557</f>
        <v>265</v>
      </c>
      <c r="H557" s="8" t="n">
        <f aca="false">IF(E557=0,0,F557/E557-1)</f>
        <v>0.182758620689655</v>
      </c>
      <c r="I557" s="3" t="s">
        <v>30</v>
      </c>
    </row>
    <row r="558" customFormat="false" ht="15" hidden="false" customHeight="false" outlineLevel="0" collapsed="false">
      <c r="A558" s="3" t="s">
        <v>643</v>
      </c>
      <c r="B558" s="3" t="s">
        <v>23</v>
      </c>
      <c r="C558" s="3" t="s">
        <v>24</v>
      </c>
      <c r="D558" s="3" t="n">
        <v>1</v>
      </c>
      <c r="E558" s="6" t="n">
        <v>249.99</v>
      </c>
      <c r="F558" s="6" t="n">
        <v>305</v>
      </c>
      <c r="G558" s="7" t="n">
        <f aca="false">F558-E558</f>
        <v>55.01</v>
      </c>
      <c r="H558" s="8" t="n">
        <f aca="false">IF(E558=0,0,F558/E558-1)</f>
        <v>0.220048801952078</v>
      </c>
      <c r="I558" s="3" t="s">
        <v>27</v>
      </c>
    </row>
    <row r="559" customFormat="false" ht="15" hidden="false" customHeight="false" outlineLevel="0" collapsed="false">
      <c r="A559" s="3" t="s">
        <v>644</v>
      </c>
      <c r="B559" s="3" t="s">
        <v>23</v>
      </c>
      <c r="C559" s="3" t="s">
        <v>24</v>
      </c>
      <c r="D559" s="3" t="n">
        <v>1</v>
      </c>
      <c r="E559" s="6" t="n">
        <v>329.99</v>
      </c>
      <c r="F559" s="6" t="n">
        <v>403</v>
      </c>
      <c r="G559" s="7" t="n">
        <f aca="false">F559-E559</f>
        <v>73.01</v>
      </c>
      <c r="H559" s="8" t="n">
        <f aca="false">IF(E559=0,0,F559/E559-1)</f>
        <v>0.221249128761478</v>
      </c>
      <c r="I559" s="3" t="s">
        <v>27</v>
      </c>
    </row>
    <row r="560" customFormat="false" ht="15" hidden="false" customHeight="false" outlineLevel="0" collapsed="false">
      <c r="A560" s="3" t="s">
        <v>645</v>
      </c>
      <c r="B560" s="3" t="s">
        <v>23</v>
      </c>
      <c r="C560" s="3" t="s">
        <v>24</v>
      </c>
      <c r="D560" s="3" t="n">
        <v>1</v>
      </c>
      <c r="E560" s="6" t="n">
        <v>379</v>
      </c>
      <c r="F560" s="6" t="n">
        <v>463</v>
      </c>
      <c r="G560" s="7" t="n">
        <f aca="false">F560-E560</f>
        <v>84</v>
      </c>
      <c r="H560" s="8" t="n">
        <f aca="false">IF(E560=0,0,F560/E560-1)</f>
        <v>0.221635883905013</v>
      </c>
      <c r="I560" s="3" t="s">
        <v>486</v>
      </c>
    </row>
    <row r="561" customFormat="false" ht="15" hidden="false" customHeight="false" outlineLevel="0" collapsed="false">
      <c r="A561" s="3" t="s">
        <v>646</v>
      </c>
      <c r="B561" s="3" t="s">
        <v>23</v>
      </c>
      <c r="C561" s="3" t="s">
        <v>24</v>
      </c>
      <c r="D561" s="3" t="n">
        <v>1</v>
      </c>
      <c r="E561" s="6" t="n">
        <v>59.99</v>
      </c>
      <c r="F561" s="6" t="n">
        <v>73.5</v>
      </c>
      <c r="G561" s="7" t="n">
        <f aca="false">F561-E561</f>
        <v>13.51</v>
      </c>
      <c r="H561" s="8" t="n">
        <f aca="false">IF(E561=0,0,F561/E561-1)</f>
        <v>0.225204200700117</v>
      </c>
      <c r="I561" s="3" t="s">
        <v>27</v>
      </c>
    </row>
    <row r="562" customFormat="false" ht="15" hidden="false" customHeight="false" outlineLevel="0" collapsed="false">
      <c r="A562" s="3" t="s">
        <v>647</v>
      </c>
      <c r="B562" s="3" t="s">
        <v>23</v>
      </c>
      <c r="C562" s="3" t="s">
        <v>24</v>
      </c>
      <c r="D562" s="3" t="n">
        <v>1</v>
      </c>
      <c r="E562" s="6" t="n">
        <v>89.99</v>
      </c>
      <c r="F562" s="6" t="n">
        <v>110</v>
      </c>
      <c r="G562" s="7" t="n">
        <f aca="false">F562-E562</f>
        <v>20.01</v>
      </c>
      <c r="H562" s="8" t="n">
        <f aca="false">IF(E562=0,0,F562/E562-1)</f>
        <v>0.222358039782198</v>
      </c>
      <c r="I562" s="3" t="s">
        <v>27</v>
      </c>
    </row>
    <row r="563" customFormat="false" ht="15" hidden="false" customHeight="false" outlineLevel="0" collapsed="false">
      <c r="A563" s="3" t="s">
        <v>648</v>
      </c>
      <c r="B563" s="3" t="s">
        <v>23</v>
      </c>
      <c r="C563" s="3" t="s">
        <v>24</v>
      </c>
      <c r="D563" s="3" t="n">
        <v>1</v>
      </c>
      <c r="E563" s="6" t="n">
        <v>119.99</v>
      </c>
      <c r="F563" s="6" t="n">
        <v>147</v>
      </c>
      <c r="G563" s="7" t="n">
        <f aca="false">F563-E563</f>
        <v>27.01</v>
      </c>
      <c r="H563" s="8" t="n">
        <f aca="false">IF(E563=0,0,F563/E563-1)</f>
        <v>0.225102091840987</v>
      </c>
      <c r="I563" s="3" t="s">
        <v>27</v>
      </c>
    </row>
    <row r="564" customFormat="false" ht="15" hidden="false" customHeight="false" outlineLevel="0" collapsed="false">
      <c r="A564" s="3" t="s">
        <v>649</v>
      </c>
      <c r="B564" s="3" t="s">
        <v>23</v>
      </c>
      <c r="C564" s="3" t="s">
        <v>24</v>
      </c>
      <c r="D564" s="3" t="n">
        <v>1</v>
      </c>
      <c r="E564" s="6" t="n">
        <v>49.99</v>
      </c>
      <c r="F564" s="6" t="n">
        <v>61</v>
      </c>
      <c r="G564" s="7" t="n">
        <f aca="false">F564-E564</f>
        <v>11.01</v>
      </c>
      <c r="H564" s="8" t="n">
        <f aca="false">IF(E564=0,0,F564/E564-1)</f>
        <v>0.220244048809762</v>
      </c>
      <c r="I564" s="3" t="s">
        <v>27</v>
      </c>
    </row>
    <row r="565" customFormat="false" ht="15" hidden="false" customHeight="false" outlineLevel="0" collapsed="false">
      <c r="A565" s="3" t="s">
        <v>650</v>
      </c>
      <c r="B565" s="3" t="s">
        <v>23</v>
      </c>
      <c r="C565" s="3" t="s">
        <v>24</v>
      </c>
      <c r="D565" s="3" t="n">
        <v>1</v>
      </c>
      <c r="E565" s="6" t="n">
        <v>279.99</v>
      </c>
      <c r="F565" s="6" t="n">
        <v>342</v>
      </c>
      <c r="G565" s="7" t="n">
        <f aca="false">F565-E565</f>
        <v>62.01</v>
      </c>
      <c r="H565" s="8" t="n">
        <f aca="false">IF(E565=0,0,F565/E565-1)</f>
        <v>0.221472195435551</v>
      </c>
      <c r="I565" s="3" t="s">
        <v>27</v>
      </c>
    </row>
    <row r="566" customFormat="false" ht="15" hidden="false" customHeight="false" outlineLevel="0" collapsed="false">
      <c r="A566" s="3" t="s">
        <v>651</v>
      </c>
      <c r="B566" s="3" t="s">
        <v>23</v>
      </c>
      <c r="C566" s="3" t="s">
        <v>24</v>
      </c>
      <c r="D566" s="3" t="n">
        <v>1</v>
      </c>
      <c r="E566" s="6" t="n">
        <v>29.99</v>
      </c>
      <c r="F566" s="6" t="n">
        <v>37</v>
      </c>
      <c r="G566" s="7" t="n">
        <f aca="false">F566-E566</f>
        <v>7.01</v>
      </c>
      <c r="H566" s="8" t="n">
        <f aca="false">IF(E566=0,0,F566/E566-1)</f>
        <v>0.233744581527176</v>
      </c>
      <c r="I566" s="3" t="s">
        <v>27</v>
      </c>
    </row>
    <row r="567" customFormat="false" ht="15" hidden="false" customHeight="false" outlineLevel="0" collapsed="false">
      <c r="A567" s="3" t="s">
        <v>652</v>
      </c>
      <c r="B567" s="3" t="s">
        <v>23</v>
      </c>
      <c r="C567" s="3" t="s">
        <v>24</v>
      </c>
      <c r="D567" s="3" t="n">
        <v>1</v>
      </c>
      <c r="E567" s="6" t="n">
        <v>499.99</v>
      </c>
      <c r="F567" s="6" t="n">
        <v>610</v>
      </c>
      <c r="G567" s="7" t="n">
        <f aca="false">F567-E567</f>
        <v>110.01</v>
      </c>
      <c r="H567" s="8" t="n">
        <f aca="false">IF(E567=0,0,F567/E567-1)</f>
        <v>0.22002440048801</v>
      </c>
      <c r="I567" s="3" t="s">
        <v>27</v>
      </c>
    </row>
    <row r="568" customFormat="false" ht="15" hidden="false" customHeight="false" outlineLevel="0" collapsed="false">
      <c r="A568" s="3" t="s">
        <v>653</v>
      </c>
      <c r="B568" s="3" t="s">
        <v>23</v>
      </c>
      <c r="C568" s="3" t="s">
        <v>24</v>
      </c>
      <c r="D568" s="3" t="n">
        <v>1</v>
      </c>
      <c r="E568" s="6" t="n">
        <v>44.36</v>
      </c>
      <c r="F568" s="6" t="n">
        <v>54.5</v>
      </c>
      <c r="G568" s="7" t="n">
        <f aca="false">F568-E568</f>
        <v>10.14</v>
      </c>
      <c r="H568" s="8" t="n">
        <f aca="false">IF(E568=0,0,F568/E568-1)</f>
        <v>0.22858431018936</v>
      </c>
      <c r="I568" s="3" t="s">
        <v>134</v>
      </c>
    </row>
    <row r="569" customFormat="false" ht="15" hidden="false" customHeight="false" outlineLevel="0" collapsed="false">
      <c r="A569" s="3" t="s">
        <v>654</v>
      </c>
      <c r="B569" s="3" t="s">
        <v>23</v>
      </c>
      <c r="C569" s="3" t="s">
        <v>24</v>
      </c>
      <c r="D569" s="3" t="n">
        <v>1</v>
      </c>
      <c r="E569" s="6" t="n">
        <v>14.99</v>
      </c>
      <c r="F569" s="6" t="n">
        <v>18.5</v>
      </c>
      <c r="G569" s="7" t="n">
        <f aca="false">F569-E569</f>
        <v>3.51</v>
      </c>
      <c r="H569" s="8" t="n">
        <f aca="false">IF(E569=0,0,F569/E569-1)</f>
        <v>0.23415610406938</v>
      </c>
      <c r="I569" s="3" t="s">
        <v>655</v>
      </c>
    </row>
    <row r="570" customFormat="false" ht="15" hidden="false" customHeight="false" outlineLevel="0" collapsed="false">
      <c r="A570" s="3" t="s">
        <v>656</v>
      </c>
      <c r="B570" s="3" t="s">
        <v>23</v>
      </c>
      <c r="C570" s="3" t="s">
        <v>24</v>
      </c>
      <c r="D570" s="3" t="n">
        <v>1</v>
      </c>
      <c r="E570" s="6" t="n">
        <v>249.99</v>
      </c>
      <c r="F570" s="6" t="n">
        <v>305</v>
      </c>
      <c r="G570" s="7" t="n">
        <f aca="false">F570-E570</f>
        <v>55.01</v>
      </c>
      <c r="H570" s="8" t="n">
        <f aca="false">IF(E570=0,0,F570/E570-1)</f>
        <v>0.220048801952078</v>
      </c>
      <c r="I570" s="3" t="s">
        <v>27</v>
      </c>
    </row>
    <row r="571" customFormat="false" ht="15" hidden="false" customHeight="false" outlineLevel="0" collapsed="false">
      <c r="A571" s="3" t="s">
        <v>657</v>
      </c>
      <c r="B571" s="3" t="s">
        <v>23</v>
      </c>
      <c r="C571" s="3" t="s">
        <v>24</v>
      </c>
      <c r="D571" s="3" t="n">
        <v>1</v>
      </c>
      <c r="E571" s="6" t="n">
        <v>22</v>
      </c>
      <c r="F571" s="6" t="n">
        <v>27</v>
      </c>
      <c r="G571" s="7" t="n">
        <f aca="false">F571-E571</f>
        <v>5</v>
      </c>
      <c r="H571" s="8" t="n">
        <f aca="false">IF(E571=0,0,F571/E571-1)</f>
        <v>0.227272727272727</v>
      </c>
      <c r="I571" s="3" t="s">
        <v>27</v>
      </c>
    </row>
    <row r="572" customFormat="false" ht="15" hidden="false" customHeight="false" outlineLevel="0" collapsed="false">
      <c r="A572" s="3" t="s">
        <v>658</v>
      </c>
      <c r="B572" s="3" t="s">
        <v>23</v>
      </c>
      <c r="C572" s="3" t="s">
        <v>24</v>
      </c>
      <c r="D572" s="3" t="n">
        <v>1</v>
      </c>
      <c r="E572" s="6" t="n">
        <v>39.99</v>
      </c>
      <c r="F572" s="6" t="n">
        <v>49</v>
      </c>
      <c r="G572" s="7" t="n">
        <f aca="false">F572-E572</f>
        <v>9.01</v>
      </c>
      <c r="H572" s="8" t="n">
        <f aca="false">IF(E572=0,0,F572/E572-1)</f>
        <v>0.225306326581645</v>
      </c>
      <c r="I572" s="3" t="s">
        <v>286</v>
      </c>
    </row>
    <row r="573" customFormat="false" ht="15" hidden="false" customHeight="false" outlineLevel="0" collapsed="false">
      <c r="A573" s="3" t="s">
        <v>659</v>
      </c>
      <c r="B573" s="3" t="s">
        <v>23</v>
      </c>
      <c r="C573" s="3" t="s">
        <v>24</v>
      </c>
      <c r="D573" s="3" t="n">
        <v>1</v>
      </c>
      <c r="E573" s="6" t="n">
        <v>99.99</v>
      </c>
      <c r="F573" s="6" t="n">
        <v>122</v>
      </c>
      <c r="G573" s="7" t="n">
        <f aca="false">F573-E573</f>
        <v>22.01</v>
      </c>
      <c r="H573" s="8" t="n">
        <f aca="false">IF(E573=0,0,F573/E573-1)</f>
        <v>0.22012201220122</v>
      </c>
      <c r="I573" s="3" t="s">
        <v>27</v>
      </c>
    </row>
    <row r="574" customFormat="false" ht="15" hidden="false" customHeight="false" outlineLevel="0" collapsed="false">
      <c r="A574" s="3" t="s">
        <v>660</v>
      </c>
      <c r="B574" s="3" t="s">
        <v>23</v>
      </c>
      <c r="C574" s="3" t="s">
        <v>24</v>
      </c>
      <c r="D574" s="3" t="n">
        <v>1</v>
      </c>
      <c r="E574" s="6" t="n">
        <v>29.99</v>
      </c>
      <c r="F574" s="6" t="n">
        <v>37</v>
      </c>
      <c r="G574" s="7" t="n">
        <f aca="false">F574-E574</f>
        <v>7.01</v>
      </c>
      <c r="H574" s="8" t="n">
        <f aca="false">IF(E574=0,0,F574/E574-1)</f>
        <v>0.233744581527176</v>
      </c>
      <c r="I574" s="3" t="s">
        <v>205</v>
      </c>
    </row>
    <row r="575" customFormat="false" ht="15" hidden="false" customHeight="false" outlineLevel="0" collapsed="false">
      <c r="A575" s="3" t="s">
        <v>661</v>
      </c>
      <c r="B575" s="3" t="s">
        <v>23</v>
      </c>
      <c r="C575" s="3" t="s">
        <v>24</v>
      </c>
      <c r="D575" s="3" t="n">
        <v>1</v>
      </c>
      <c r="E575" s="6" t="n">
        <v>249.99</v>
      </c>
      <c r="F575" s="6" t="n">
        <v>305</v>
      </c>
      <c r="G575" s="7" t="n">
        <f aca="false">F575-E575</f>
        <v>55.01</v>
      </c>
      <c r="H575" s="8" t="n">
        <f aca="false">IF(E575=0,0,F575/E575-1)</f>
        <v>0.220048801952078</v>
      </c>
      <c r="I575" s="3" t="s">
        <v>27</v>
      </c>
    </row>
    <row r="576" customFormat="false" ht="15" hidden="false" customHeight="false" outlineLevel="0" collapsed="false">
      <c r="A576" s="3" t="s">
        <v>662</v>
      </c>
      <c r="B576" s="3" t="s">
        <v>23</v>
      </c>
      <c r="C576" s="3" t="s">
        <v>24</v>
      </c>
      <c r="D576" s="3" t="n">
        <v>1</v>
      </c>
      <c r="E576" s="6" t="n">
        <v>79.99</v>
      </c>
      <c r="F576" s="6" t="n">
        <v>98</v>
      </c>
      <c r="G576" s="7" t="n">
        <f aca="false">F576-E576</f>
        <v>18.01</v>
      </c>
      <c r="H576" s="8" t="n">
        <f aca="false">IF(E576=0,0,F576/E576-1)</f>
        <v>0.225153144143018</v>
      </c>
      <c r="I576" s="3" t="s">
        <v>27</v>
      </c>
    </row>
    <row r="577" customFormat="false" ht="15" hidden="false" customHeight="false" outlineLevel="0" collapsed="false">
      <c r="A577" s="3" t="s">
        <v>663</v>
      </c>
      <c r="B577" s="3" t="s">
        <v>23</v>
      </c>
      <c r="C577" s="3" t="s">
        <v>24</v>
      </c>
      <c r="D577" s="3" t="n">
        <v>1</v>
      </c>
      <c r="E577" s="6" t="n">
        <v>12</v>
      </c>
      <c r="F577" s="6" t="n">
        <v>15</v>
      </c>
      <c r="G577" s="7" t="n">
        <f aca="false">F577-E577</f>
        <v>3</v>
      </c>
      <c r="H577" s="8" t="n">
        <f aca="false">IF(E577=0,0,F577/E577-1)</f>
        <v>0.25</v>
      </c>
      <c r="I577" s="3" t="s">
        <v>330</v>
      </c>
    </row>
    <row r="578" customFormat="false" ht="15" hidden="false" customHeight="false" outlineLevel="0" collapsed="false">
      <c r="A578" s="3" t="s">
        <v>664</v>
      </c>
      <c r="B578" s="3" t="s">
        <v>23</v>
      </c>
      <c r="C578" s="3" t="s">
        <v>24</v>
      </c>
      <c r="D578" s="3" t="n">
        <v>5</v>
      </c>
      <c r="E578" s="6" t="n">
        <v>199.99</v>
      </c>
      <c r="F578" s="6" t="n">
        <v>204</v>
      </c>
      <c r="G578" s="7" t="n">
        <f aca="false">F578-E578</f>
        <v>4.00999999999999</v>
      </c>
      <c r="H578" s="8" t="n">
        <f aca="false">IF(E578=0,0,F578/E578-1)</f>
        <v>0.0200510025501275</v>
      </c>
      <c r="I578" s="3" t="s">
        <v>368</v>
      </c>
    </row>
    <row r="579" customFormat="false" ht="15" hidden="false" customHeight="false" outlineLevel="0" collapsed="false">
      <c r="A579" s="3" t="s">
        <v>665</v>
      </c>
      <c r="B579" s="3" t="s">
        <v>23</v>
      </c>
      <c r="C579" s="3" t="s">
        <v>24</v>
      </c>
      <c r="D579" s="3" t="n">
        <v>1</v>
      </c>
      <c r="E579" s="6" t="n">
        <v>279</v>
      </c>
      <c r="F579" s="6" t="n">
        <v>341</v>
      </c>
      <c r="G579" s="7" t="n">
        <f aca="false">F579-E579</f>
        <v>62</v>
      </c>
      <c r="H579" s="8" t="n">
        <f aca="false">IF(E579=0,0,F579/E579-1)</f>
        <v>0.222222222222222</v>
      </c>
      <c r="I579" s="3" t="s">
        <v>27</v>
      </c>
    </row>
    <row r="580" customFormat="false" ht="15" hidden="false" customHeight="false" outlineLevel="0" collapsed="false">
      <c r="A580" s="3" t="s">
        <v>666</v>
      </c>
      <c r="B580" s="3" t="s">
        <v>23</v>
      </c>
      <c r="C580" s="3" t="s">
        <v>24</v>
      </c>
      <c r="D580" s="3" t="n">
        <v>1</v>
      </c>
      <c r="E580" s="6" t="n">
        <v>119.83</v>
      </c>
      <c r="F580" s="6" t="n">
        <v>147</v>
      </c>
      <c r="G580" s="7" t="n">
        <f aca="false">F580-E580</f>
        <v>27.17</v>
      </c>
      <c r="H580" s="8" t="n">
        <f aca="false">IF(E580=0,0,F580/E580-1)</f>
        <v>0.226737878661437</v>
      </c>
      <c r="I580" s="3" t="s">
        <v>27</v>
      </c>
    </row>
    <row r="581" customFormat="false" ht="15" hidden="false" customHeight="false" outlineLevel="0" collapsed="false">
      <c r="A581" s="3" t="s">
        <v>667</v>
      </c>
      <c r="B581" s="3" t="s">
        <v>23</v>
      </c>
      <c r="C581" s="3" t="s">
        <v>24</v>
      </c>
      <c r="D581" s="3" t="n">
        <v>1</v>
      </c>
      <c r="E581" s="6" t="n">
        <v>29.99</v>
      </c>
      <c r="F581" s="6" t="n">
        <v>37</v>
      </c>
      <c r="G581" s="7" t="n">
        <f aca="false">F581-E581</f>
        <v>7.01</v>
      </c>
      <c r="H581" s="8" t="n">
        <f aca="false">IF(E581=0,0,F581/E581-1)</f>
        <v>0.233744581527176</v>
      </c>
      <c r="I581" s="3" t="s">
        <v>27</v>
      </c>
    </row>
    <row r="582" customFormat="false" ht="15" hidden="false" customHeight="false" outlineLevel="0" collapsed="false">
      <c r="A582" s="3" t="s">
        <v>668</v>
      </c>
      <c r="B582" s="3" t="s">
        <v>23</v>
      </c>
      <c r="C582" s="3" t="s">
        <v>24</v>
      </c>
      <c r="D582" s="3" t="n">
        <v>3</v>
      </c>
      <c r="E582" s="6" t="n">
        <v>2100</v>
      </c>
      <c r="F582" s="6" t="n">
        <v>2440</v>
      </c>
      <c r="G582" s="7" t="n">
        <f aca="false">F582-E582</f>
        <v>340</v>
      </c>
      <c r="H582" s="8" t="n">
        <f aca="false">IF(E582=0,0,F582/E582-1)</f>
        <v>0.161904761904762</v>
      </c>
      <c r="I582" s="3" t="s">
        <v>38</v>
      </c>
    </row>
    <row r="583" customFormat="false" ht="15" hidden="false" customHeight="false" outlineLevel="0" collapsed="false">
      <c r="A583" s="3" t="s">
        <v>669</v>
      </c>
      <c r="B583" s="3" t="s">
        <v>23</v>
      </c>
      <c r="C583" s="3" t="s">
        <v>24</v>
      </c>
      <c r="D583" s="3" t="n">
        <v>1</v>
      </c>
      <c r="E583" s="6" t="n">
        <v>39.99</v>
      </c>
      <c r="F583" s="6" t="n">
        <v>49</v>
      </c>
      <c r="G583" s="7" t="n">
        <f aca="false">F583-E583</f>
        <v>9.01</v>
      </c>
      <c r="H583" s="8" t="n">
        <f aca="false">IF(E583=0,0,F583/E583-1)</f>
        <v>0.225306326581645</v>
      </c>
      <c r="I583" s="3" t="s">
        <v>542</v>
      </c>
    </row>
    <row r="584" customFormat="false" ht="15" hidden="false" customHeight="false" outlineLevel="0" collapsed="false">
      <c r="A584" s="3" t="s">
        <v>670</v>
      </c>
      <c r="B584" s="3" t="s">
        <v>23</v>
      </c>
      <c r="C584" s="3" t="s">
        <v>24</v>
      </c>
      <c r="D584" s="3" t="n">
        <v>1</v>
      </c>
      <c r="E584" s="6" t="n">
        <v>29.99</v>
      </c>
      <c r="F584" s="6" t="n">
        <v>37</v>
      </c>
      <c r="G584" s="7" t="n">
        <f aca="false">F584-E584</f>
        <v>7.01</v>
      </c>
      <c r="H584" s="8" t="n">
        <f aca="false">IF(E584=0,0,F584/E584-1)</f>
        <v>0.233744581527176</v>
      </c>
      <c r="I584" s="3" t="s">
        <v>671</v>
      </c>
    </row>
    <row r="585" customFormat="false" ht="15" hidden="false" customHeight="false" outlineLevel="0" collapsed="false">
      <c r="A585" s="3" t="s">
        <v>672</v>
      </c>
      <c r="B585" s="3" t="s">
        <v>23</v>
      </c>
      <c r="C585" s="3" t="s">
        <v>24</v>
      </c>
      <c r="D585" s="3" t="n">
        <v>1</v>
      </c>
      <c r="E585" s="6" t="n">
        <v>380</v>
      </c>
      <c r="F585" s="6" t="n">
        <v>464</v>
      </c>
      <c r="G585" s="7" t="n">
        <f aca="false">F585-E585</f>
        <v>84</v>
      </c>
      <c r="H585" s="8" t="n">
        <f aca="false">IF(E585=0,0,F585/E585-1)</f>
        <v>0.221052631578947</v>
      </c>
      <c r="I585" s="3" t="s">
        <v>27</v>
      </c>
    </row>
    <row r="586" customFormat="false" ht="15" hidden="false" customHeight="false" outlineLevel="0" collapsed="false">
      <c r="A586" s="3" t="s">
        <v>673</v>
      </c>
      <c r="B586" s="3" t="s">
        <v>23</v>
      </c>
      <c r="C586" s="3" t="s">
        <v>24</v>
      </c>
      <c r="D586" s="3" t="n">
        <v>1</v>
      </c>
      <c r="E586" s="6" t="n">
        <v>94.99</v>
      </c>
      <c r="F586" s="6" t="n">
        <v>116</v>
      </c>
      <c r="G586" s="7" t="n">
        <f aca="false">F586-E586</f>
        <v>21.01</v>
      </c>
      <c r="H586" s="8" t="n">
        <f aca="false">IF(E586=0,0,F586/E586-1)</f>
        <v>0.221181176965997</v>
      </c>
      <c r="I586" s="3" t="s">
        <v>27</v>
      </c>
    </row>
    <row r="587" customFormat="false" ht="15" hidden="false" customHeight="false" outlineLevel="0" collapsed="false">
      <c r="A587" s="3" t="s">
        <v>674</v>
      </c>
      <c r="B587" s="3" t="s">
        <v>23</v>
      </c>
      <c r="C587" s="3" t="s">
        <v>24</v>
      </c>
      <c r="D587" s="3" t="n">
        <v>1</v>
      </c>
      <c r="E587" s="6" t="n">
        <v>249.99</v>
      </c>
      <c r="F587" s="6" t="n">
        <v>305</v>
      </c>
      <c r="G587" s="7" t="n">
        <f aca="false">F587-E587</f>
        <v>55.01</v>
      </c>
      <c r="H587" s="8" t="n">
        <f aca="false">IF(E587=0,0,F587/E587-1)</f>
        <v>0.220048801952078</v>
      </c>
      <c r="I587" s="3" t="s">
        <v>27</v>
      </c>
    </row>
    <row r="588" customFormat="false" ht="15" hidden="false" customHeight="false" outlineLevel="0" collapsed="false">
      <c r="A588" s="3" t="s">
        <v>675</v>
      </c>
      <c r="B588" s="3" t="s">
        <v>23</v>
      </c>
      <c r="C588" s="3" t="s">
        <v>24</v>
      </c>
      <c r="D588" s="3" t="n">
        <v>1</v>
      </c>
      <c r="E588" s="6" t="n">
        <v>499.99</v>
      </c>
      <c r="F588" s="6" t="n">
        <v>610</v>
      </c>
      <c r="G588" s="7" t="n">
        <f aca="false">F588-E588</f>
        <v>110.01</v>
      </c>
      <c r="H588" s="8" t="n">
        <f aca="false">IF(E588=0,0,F588/E588-1)</f>
        <v>0.22002440048801</v>
      </c>
      <c r="I588" s="3" t="s">
        <v>27</v>
      </c>
    </row>
    <row r="589" customFormat="false" ht="15" hidden="false" customHeight="false" outlineLevel="0" collapsed="false">
      <c r="A589" s="3" t="s">
        <v>676</v>
      </c>
      <c r="B589" s="3" t="s">
        <v>23</v>
      </c>
      <c r="C589" s="3" t="s">
        <v>24</v>
      </c>
      <c r="D589" s="3" t="n">
        <v>1</v>
      </c>
      <c r="E589" s="6" t="n">
        <v>39.99</v>
      </c>
      <c r="F589" s="6" t="n">
        <v>49</v>
      </c>
      <c r="G589" s="7" t="n">
        <f aca="false">F589-E589</f>
        <v>9.01</v>
      </c>
      <c r="H589" s="8" t="n">
        <f aca="false">IF(E589=0,0,F589/E589-1)</f>
        <v>0.225306326581645</v>
      </c>
      <c r="I589" s="3" t="s">
        <v>27</v>
      </c>
    </row>
    <row r="590" customFormat="false" ht="15" hidden="false" customHeight="false" outlineLevel="0" collapsed="false">
      <c r="A590" s="3" t="s">
        <v>677</v>
      </c>
      <c r="B590" s="3" t="s">
        <v>23</v>
      </c>
      <c r="C590" s="3" t="s">
        <v>24</v>
      </c>
      <c r="D590" s="3" t="n">
        <v>1</v>
      </c>
      <c r="E590" s="6" t="n">
        <v>149.99</v>
      </c>
      <c r="F590" s="6" t="n">
        <v>183</v>
      </c>
      <c r="G590" s="7" t="n">
        <f aca="false">F590-E590</f>
        <v>33.01</v>
      </c>
      <c r="H590" s="8" t="n">
        <f aca="false">IF(E590=0,0,F590/E590-1)</f>
        <v>0.220081338755917</v>
      </c>
      <c r="I590" s="3" t="s">
        <v>678</v>
      </c>
    </row>
    <row r="591" customFormat="false" ht="15" hidden="false" customHeight="false" outlineLevel="0" collapsed="false">
      <c r="A591" s="3" t="s">
        <v>679</v>
      </c>
      <c r="B591" s="3" t="s">
        <v>23</v>
      </c>
      <c r="C591" s="3" t="s">
        <v>24</v>
      </c>
      <c r="D591" s="3" t="n">
        <v>3</v>
      </c>
      <c r="E591" s="6" t="n">
        <v>686</v>
      </c>
      <c r="F591" s="6" t="n">
        <v>796</v>
      </c>
      <c r="G591" s="7" t="n">
        <f aca="false">F591-E591</f>
        <v>110</v>
      </c>
      <c r="H591" s="8" t="n">
        <f aca="false">IF(E591=0,0,F591/E591-1)</f>
        <v>0.160349854227405</v>
      </c>
      <c r="I591" s="3" t="s">
        <v>38</v>
      </c>
    </row>
    <row r="592" customFormat="false" ht="15" hidden="false" customHeight="false" outlineLevel="0" collapsed="false">
      <c r="A592" s="3" t="s">
        <v>680</v>
      </c>
      <c r="B592" s="3" t="s">
        <v>23</v>
      </c>
      <c r="C592" s="3" t="s">
        <v>24</v>
      </c>
      <c r="D592" s="3" t="n">
        <v>1</v>
      </c>
      <c r="E592" s="6" t="n">
        <v>24.99</v>
      </c>
      <c r="F592" s="6" t="n">
        <v>30.5</v>
      </c>
      <c r="G592" s="7" t="n">
        <f aca="false">F592-E592</f>
        <v>5.51</v>
      </c>
      <c r="H592" s="8" t="n">
        <f aca="false">IF(E592=0,0,F592/E592-1)</f>
        <v>0.220488195278111</v>
      </c>
      <c r="I592" s="3" t="s">
        <v>27</v>
      </c>
    </row>
    <row r="593" customFormat="false" ht="15" hidden="false" customHeight="false" outlineLevel="0" collapsed="false">
      <c r="A593" s="3" t="s">
        <v>681</v>
      </c>
      <c r="B593" s="3" t="s">
        <v>23</v>
      </c>
      <c r="C593" s="3" t="s">
        <v>24</v>
      </c>
      <c r="D593" s="3" t="n">
        <v>1</v>
      </c>
      <c r="E593" s="6" t="n">
        <v>339.99</v>
      </c>
      <c r="F593" s="6" t="n">
        <v>415</v>
      </c>
      <c r="G593" s="7" t="n">
        <f aca="false">F593-E593</f>
        <v>75.01</v>
      </c>
      <c r="H593" s="8" t="n">
        <f aca="false">IF(E593=0,0,F593/E593-1)</f>
        <v>0.220624136004</v>
      </c>
      <c r="I593" s="3" t="s">
        <v>27</v>
      </c>
    </row>
    <row r="594" customFormat="false" ht="15" hidden="false" customHeight="false" outlineLevel="0" collapsed="false">
      <c r="A594" s="3" t="s">
        <v>682</v>
      </c>
      <c r="B594" s="3" t="s">
        <v>23</v>
      </c>
      <c r="C594" s="3" t="s">
        <v>24</v>
      </c>
      <c r="D594" s="3" t="n">
        <v>1</v>
      </c>
      <c r="E594" s="6" t="n">
        <v>179</v>
      </c>
      <c r="F594" s="6" t="n">
        <v>219</v>
      </c>
      <c r="G594" s="7" t="n">
        <f aca="false">F594-E594</f>
        <v>40</v>
      </c>
      <c r="H594" s="8" t="n">
        <f aca="false">IF(E594=0,0,F594/E594-1)</f>
        <v>0.223463687150838</v>
      </c>
      <c r="I594" s="3" t="s">
        <v>27</v>
      </c>
    </row>
    <row r="595" customFormat="false" ht="15" hidden="false" customHeight="false" outlineLevel="0" collapsed="false">
      <c r="A595" s="3" t="s">
        <v>683</v>
      </c>
      <c r="B595" s="3" t="s">
        <v>23</v>
      </c>
      <c r="C595" s="3" t="s">
        <v>179</v>
      </c>
      <c r="D595" s="3" t="n">
        <v>5</v>
      </c>
      <c r="E595" s="6" t="n">
        <v>469</v>
      </c>
      <c r="F595" s="6" t="n">
        <v>479</v>
      </c>
      <c r="G595" s="7" t="n">
        <f aca="false">F595-E595</f>
        <v>10</v>
      </c>
      <c r="H595" s="8" t="n">
        <f aca="false">IF(E595=0,0,F595/E595-1)</f>
        <v>0.0213219616204692</v>
      </c>
      <c r="I595" s="3" t="s">
        <v>684</v>
      </c>
    </row>
    <row r="596" customFormat="false" ht="15" hidden="false" customHeight="false" outlineLevel="0" collapsed="false">
      <c r="A596" s="3" t="s">
        <v>685</v>
      </c>
      <c r="B596" s="3" t="s">
        <v>23</v>
      </c>
      <c r="C596" s="3" t="s">
        <v>179</v>
      </c>
      <c r="D596" s="3" t="n">
        <v>2</v>
      </c>
      <c r="E596" s="6" t="n">
        <v>1490</v>
      </c>
      <c r="F596" s="6" t="n">
        <v>1760</v>
      </c>
      <c r="G596" s="7" t="n">
        <f aca="false">F596-E596</f>
        <v>270</v>
      </c>
      <c r="H596" s="8" t="n">
        <f aca="false">IF(E596=0,0,F596/E596-1)</f>
        <v>0.181208053691275</v>
      </c>
      <c r="I596" s="3" t="s">
        <v>686</v>
      </c>
    </row>
    <row r="597" customFormat="false" ht="15" hidden="false" customHeight="false" outlineLevel="0" collapsed="false">
      <c r="A597" s="3" t="s">
        <v>687</v>
      </c>
      <c r="B597" s="3" t="s">
        <v>23</v>
      </c>
      <c r="C597" s="3" t="s">
        <v>24</v>
      </c>
      <c r="D597" s="3" t="n">
        <v>1</v>
      </c>
      <c r="E597" s="6" t="n">
        <v>360</v>
      </c>
      <c r="F597" s="6" t="n">
        <v>440</v>
      </c>
      <c r="G597" s="7" t="n">
        <f aca="false">F597-E597</f>
        <v>80</v>
      </c>
      <c r="H597" s="8" t="n">
        <f aca="false">IF(E597=0,0,F597/E597-1)</f>
        <v>0.222222222222222</v>
      </c>
      <c r="I597" s="3" t="s">
        <v>27</v>
      </c>
    </row>
    <row r="598" customFormat="false" ht="15" hidden="false" customHeight="false" outlineLevel="0" collapsed="false">
      <c r="A598" s="3" t="s">
        <v>688</v>
      </c>
      <c r="B598" s="3" t="s">
        <v>23</v>
      </c>
      <c r="C598" s="3" t="s">
        <v>24</v>
      </c>
      <c r="D598" s="3" t="n">
        <v>1</v>
      </c>
      <c r="E598" s="6" t="n">
        <v>69.99</v>
      </c>
      <c r="F598" s="6" t="n">
        <v>85.5</v>
      </c>
      <c r="G598" s="7" t="n">
        <f aca="false">F598-E598</f>
        <v>15.51</v>
      </c>
      <c r="H598" s="8" t="n">
        <f aca="false">IF(E598=0,0,F598/E598-1)</f>
        <v>0.221603086155165</v>
      </c>
      <c r="I598" s="3" t="s">
        <v>27</v>
      </c>
    </row>
    <row r="599" customFormat="false" ht="15" hidden="false" customHeight="false" outlineLevel="0" collapsed="false">
      <c r="A599" s="3" t="s">
        <v>689</v>
      </c>
      <c r="B599" s="3" t="s">
        <v>23</v>
      </c>
      <c r="C599" s="3" t="s">
        <v>24</v>
      </c>
      <c r="D599" s="3" t="n">
        <v>1</v>
      </c>
      <c r="E599" s="6" t="n">
        <v>19.99</v>
      </c>
      <c r="F599" s="6" t="n">
        <v>24.5</v>
      </c>
      <c r="G599" s="7" t="n">
        <f aca="false">F599-E599</f>
        <v>4.51</v>
      </c>
      <c r="H599" s="8" t="n">
        <f aca="false">IF(E599=0,0,F599/E599-1)</f>
        <v>0.225612806403202</v>
      </c>
      <c r="I599" s="3" t="s">
        <v>27</v>
      </c>
    </row>
    <row r="600" customFormat="false" ht="15" hidden="false" customHeight="false" outlineLevel="0" collapsed="false">
      <c r="A600" s="3" t="s">
        <v>690</v>
      </c>
      <c r="B600" s="3" t="s">
        <v>23</v>
      </c>
      <c r="C600" s="3" t="s">
        <v>24</v>
      </c>
      <c r="D600" s="3" t="n">
        <v>1</v>
      </c>
      <c r="E600" s="6" t="n">
        <v>40.17</v>
      </c>
      <c r="F600" s="6" t="n">
        <v>49.5</v>
      </c>
      <c r="G600" s="7" t="n">
        <f aca="false">F600-E600</f>
        <v>9.33</v>
      </c>
      <c r="H600" s="8" t="n">
        <f aca="false">IF(E600=0,0,F600/E600-1)</f>
        <v>0.23226288274832</v>
      </c>
      <c r="I600" s="3" t="s">
        <v>27</v>
      </c>
    </row>
    <row r="601" customFormat="false" ht="15" hidden="false" customHeight="false" outlineLevel="0" collapsed="false">
      <c r="A601" s="3" t="s">
        <v>691</v>
      </c>
      <c r="B601" s="3" t="s">
        <v>23</v>
      </c>
      <c r="C601" s="3" t="s">
        <v>24</v>
      </c>
      <c r="D601" s="3" t="n">
        <v>1</v>
      </c>
      <c r="E601" s="6" t="n">
        <v>299</v>
      </c>
      <c r="F601" s="6" t="n">
        <v>365</v>
      </c>
      <c r="G601" s="7" t="n">
        <f aca="false">F601-E601</f>
        <v>66</v>
      </c>
      <c r="H601" s="8" t="n">
        <f aca="false">IF(E601=0,0,F601/E601-1)</f>
        <v>0.220735785953177</v>
      </c>
      <c r="I601" s="3" t="s">
        <v>692</v>
      </c>
    </row>
    <row r="602" customFormat="false" ht="15" hidden="false" customHeight="false" outlineLevel="0" collapsed="false">
      <c r="A602" s="3" t="s">
        <v>693</v>
      </c>
      <c r="B602" s="3" t="s">
        <v>23</v>
      </c>
      <c r="C602" s="3" t="s">
        <v>179</v>
      </c>
      <c r="D602" s="3" t="n">
        <v>3</v>
      </c>
      <c r="E602" s="6" t="n">
        <v>650</v>
      </c>
      <c r="F602" s="6" t="n">
        <v>754</v>
      </c>
      <c r="G602" s="7" t="n">
        <f aca="false">F602-E602</f>
        <v>104</v>
      </c>
      <c r="H602" s="8" t="n">
        <f aca="false">IF(E602=0,0,F602/E602-1)</f>
        <v>0.16</v>
      </c>
      <c r="I602" s="3" t="s">
        <v>694</v>
      </c>
    </row>
    <row r="603" customFormat="false" ht="15" hidden="false" customHeight="false" outlineLevel="0" collapsed="false">
      <c r="A603" s="3" t="s">
        <v>695</v>
      </c>
      <c r="B603" s="3" t="s">
        <v>23</v>
      </c>
      <c r="C603" s="3" t="s">
        <v>24</v>
      </c>
      <c r="D603" s="3" t="n">
        <v>1</v>
      </c>
      <c r="E603" s="6" t="n">
        <v>344.5</v>
      </c>
      <c r="F603" s="6" t="n">
        <v>421</v>
      </c>
      <c r="G603" s="7" t="n">
        <f aca="false">F603-E603</f>
        <v>76.5</v>
      </c>
      <c r="H603" s="8" t="n">
        <f aca="false">IF(E603=0,0,F603/E603-1)</f>
        <v>0.222060957910015</v>
      </c>
      <c r="I603" s="3" t="s">
        <v>27</v>
      </c>
    </row>
    <row r="604" customFormat="false" ht="15" hidden="false" customHeight="false" outlineLevel="0" collapsed="false">
      <c r="A604" s="3" t="s">
        <v>696</v>
      </c>
      <c r="B604" s="3" t="s">
        <v>23</v>
      </c>
      <c r="C604" s="3" t="s">
        <v>24</v>
      </c>
      <c r="D604" s="3" t="n">
        <v>1</v>
      </c>
      <c r="E604" s="6" t="n">
        <v>109</v>
      </c>
      <c r="F604" s="6" t="n">
        <v>133</v>
      </c>
      <c r="G604" s="7" t="n">
        <f aca="false">F604-E604</f>
        <v>24</v>
      </c>
      <c r="H604" s="8" t="n">
        <f aca="false">IF(E604=0,0,F604/E604-1)</f>
        <v>0.220183486238532</v>
      </c>
      <c r="I604" s="3" t="s">
        <v>697</v>
      </c>
    </row>
    <row r="605" customFormat="false" ht="15" hidden="false" customHeight="false" outlineLevel="0" collapsed="false">
      <c r="A605" s="3" t="s">
        <v>698</v>
      </c>
      <c r="B605" s="3" t="s">
        <v>23</v>
      </c>
      <c r="C605" s="3" t="s">
        <v>24</v>
      </c>
      <c r="D605" s="3" t="n">
        <v>1</v>
      </c>
      <c r="E605" s="6" t="n">
        <v>529.99</v>
      </c>
      <c r="F605" s="6" t="n">
        <v>647</v>
      </c>
      <c r="G605" s="7" t="n">
        <f aca="false">F605-E605</f>
        <v>117.01</v>
      </c>
      <c r="H605" s="8" t="n">
        <f aca="false">IF(E605=0,0,F605/E605-1)</f>
        <v>0.220777750523595</v>
      </c>
      <c r="I605" s="3" t="s">
        <v>27</v>
      </c>
    </row>
    <row r="606" customFormat="false" ht="15" hidden="false" customHeight="false" outlineLevel="0" collapsed="false">
      <c r="A606" s="3" t="s">
        <v>699</v>
      </c>
      <c r="B606" s="3" t="s">
        <v>23</v>
      </c>
      <c r="C606" s="3" t="s">
        <v>24</v>
      </c>
      <c r="D606" s="3" t="n">
        <v>1</v>
      </c>
      <c r="E606" s="6" t="n">
        <v>105</v>
      </c>
      <c r="F606" s="6" t="n">
        <v>129</v>
      </c>
      <c r="G606" s="7" t="n">
        <f aca="false">F606-E606</f>
        <v>24</v>
      </c>
      <c r="H606" s="8" t="n">
        <f aca="false">IF(E606=0,0,F606/E606-1)</f>
        <v>0.228571428571429</v>
      </c>
      <c r="I606" s="3" t="s">
        <v>27</v>
      </c>
    </row>
    <row r="607" customFormat="false" ht="15" hidden="false" customHeight="false" outlineLevel="0" collapsed="false">
      <c r="A607" s="3" t="s">
        <v>700</v>
      </c>
      <c r="B607" s="3" t="s">
        <v>23</v>
      </c>
      <c r="C607" s="3" t="s">
        <v>179</v>
      </c>
      <c r="D607" s="3" t="n">
        <v>3</v>
      </c>
      <c r="E607" s="6" t="n">
        <v>400</v>
      </c>
      <c r="F607" s="6" t="n">
        <v>464</v>
      </c>
      <c r="G607" s="7" t="n">
        <f aca="false">F607-E607</f>
        <v>64</v>
      </c>
      <c r="H607" s="8" t="n">
        <f aca="false">IF(E607=0,0,F607/E607-1)</f>
        <v>0.16</v>
      </c>
      <c r="I607" s="3" t="s">
        <v>701</v>
      </c>
    </row>
    <row r="608" customFormat="false" ht="15" hidden="false" customHeight="false" outlineLevel="0" collapsed="false">
      <c r="A608" s="3" t="s">
        <v>702</v>
      </c>
      <c r="B608" s="3" t="s">
        <v>23</v>
      </c>
      <c r="C608" s="3" t="s">
        <v>24</v>
      </c>
      <c r="D608" s="3" t="n">
        <v>1</v>
      </c>
      <c r="E608" s="6" t="n">
        <v>573.46</v>
      </c>
      <c r="F608" s="6" t="n">
        <v>700</v>
      </c>
      <c r="G608" s="7" t="n">
        <f aca="false">F608-E608</f>
        <v>126.54</v>
      </c>
      <c r="H608" s="8" t="n">
        <f aca="false">IF(E608=0,0,F608/E608-1)</f>
        <v>0.220660551738569</v>
      </c>
      <c r="I608" s="3" t="s">
        <v>27</v>
      </c>
    </row>
    <row r="609" customFormat="false" ht="15" hidden="false" customHeight="false" outlineLevel="0" collapsed="false">
      <c r="A609" s="3" t="s">
        <v>703</v>
      </c>
      <c r="B609" s="3" t="s">
        <v>23</v>
      </c>
      <c r="C609" s="3" t="s">
        <v>179</v>
      </c>
      <c r="D609" s="3" t="n">
        <v>1</v>
      </c>
      <c r="E609" s="6" t="n">
        <v>255</v>
      </c>
      <c r="F609" s="6" t="n">
        <v>312</v>
      </c>
      <c r="G609" s="7" t="n">
        <f aca="false">F609-E609</f>
        <v>57</v>
      </c>
      <c r="H609" s="8" t="n">
        <f aca="false">IF(E609=0,0,F609/E609-1)</f>
        <v>0.223529411764706</v>
      </c>
      <c r="I609" s="3" t="s">
        <v>704</v>
      </c>
    </row>
    <row r="610" customFormat="false" ht="15" hidden="false" customHeight="false" outlineLevel="0" collapsed="false">
      <c r="A610" s="3" t="s">
        <v>705</v>
      </c>
      <c r="B610" s="3" t="s">
        <v>23</v>
      </c>
      <c r="C610" s="3" t="s">
        <v>24</v>
      </c>
      <c r="D610" s="3" t="n">
        <v>1</v>
      </c>
      <c r="E610" s="6" t="n">
        <v>65.55</v>
      </c>
      <c r="F610" s="6" t="n">
        <v>80</v>
      </c>
      <c r="G610" s="7" t="n">
        <f aca="false">F610-E610</f>
        <v>14.45</v>
      </c>
      <c r="H610" s="8" t="n">
        <f aca="false">IF(E610=0,0,F610/E610-1)</f>
        <v>0.220442410373761</v>
      </c>
      <c r="I610" s="3" t="s">
        <v>27</v>
      </c>
    </row>
    <row r="611" customFormat="false" ht="15" hidden="false" customHeight="false" outlineLevel="0" collapsed="false">
      <c r="A611" s="3" t="s">
        <v>706</v>
      </c>
      <c r="B611" s="3" t="s">
        <v>23</v>
      </c>
      <c r="C611" s="3" t="s">
        <v>24</v>
      </c>
      <c r="D611" s="3" t="n">
        <v>1</v>
      </c>
      <c r="E611" s="6" t="n">
        <v>15</v>
      </c>
      <c r="F611" s="6" t="n">
        <v>18.5</v>
      </c>
      <c r="G611" s="7" t="n">
        <f aca="false">F611-E611</f>
        <v>3.5</v>
      </c>
      <c r="H611" s="8" t="n">
        <f aca="false">IF(E611=0,0,F611/E611-1)</f>
        <v>0.233333333333333</v>
      </c>
      <c r="I611" s="3" t="s">
        <v>27</v>
      </c>
    </row>
    <row r="612" customFormat="false" ht="15" hidden="false" customHeight="false" outlineLevel="0" collapsed="false">
      <c r="A612" s="3" t="s">
        <v>707</v>
      </c>
      <c r="B612" s="3" t="s">
        <v>23</v>
      </c>
      <c r="C612" s="3" t="s">
        <v>24</v>
      </c>
      <c r="D612" s="3" t="n">
        <v>3</v>
      </c>
      <c r="E612" s="6" t="n">
        <v>700</v>
      </c>
      <c r="F612" s="6" t="n">
        <v>812</v>
      </c>
      <c r="G612" s="7" t="n">
        <f aca="false">F612-E612</f>
        <v>112</v>
      </c>
      <c r="H612" s="8" t="n">
        <f aca="false">IF(E612=0,0,F612/E612-1)</f>
        <v>0.16</v>
      </c>
      <c r="I612" s="3" t="s">
        <v>38</v>
      </c>
    </row>
    <row r="613" customFormat="false" ht="15" hidden="false" customHeight="false" outlineLevel="0" collapsed="false">
      <c r="A613" s="3" t="s">
        <v>708</v>
      </c>
      <c r="B613" s="3" t="s">
        <v>23</v>
      </c>
      <c r="C613" s="3" t="s">
        <v>24</v>
      </c>
      <c r="D613" s="3" t="n">
        <v>1</v>
      </c>
      <c r="E613" s="6" t="n">
        <v>99.99</v>
      </c>
      <c r="F613" s="6" t="n">
        <v>122</v>
      </c>
      <c r="G613" s="7" t="n">
        <f aca="false">F613-E613</f>
        <v>22.01</v>
      </c>
      <c r="H613" s="8" t="n">
        <f aca="false">IF(E613=0,0,F613/E613-1)</f>
        <v>0.22012201220122</v>
      </c>
      <c r="I613" s="3" t="s">
        <v>27</v>
      </c>
    </row>
    <row r="614" customFormat="false" ht="15" hidden="false" customHeight="false" outlineLevel="0" collapsed="false">
      <c r="A614" s="3" t="s">
        <v>709</v>
      </c>
      <c r="B614" s="3" t="s">
        <v>23</v>
      </c>
      <c r="C614" s="3" t="s">
        <v>179</v>
      </c>
      <c r="D614" s="3" t="n">
        <v>2</v>
      </c>
      <c r="E614" s="6" t="n">
        <v>1940</v>
      </c>
      <c r="F614" s="6" t="n">
        <v>2290</v>
      </c>
      <c r="G614" s="7" t="n">
        <f aca="false">F614-E614</f>
        <v>350</v>
      </c>
      <c r="H614" s="8" t="n">
        <f aca="false">IF(E614=0,0,F614/E614-1)</f>
        <v>0.180412371134021</v>
      </c>
      <c r="I614" s="3" t="s">
        <v>710</v>
      </c>
    </row>
    <row r="615" customFormat="false" ht="15" hidden="false" customHeight="false" outlineLevel="0" collapsed="false">
      <c r="A615" s="3" t="s">
        <v>711</v>
      </c>
      <c r="B615" s="3" t="s">
        <v>23</v>
      </c>
      <c r="C615" s="3" t="s">
        <v>24</v>
      </c>
      <c r="D615" s="3" t="n">
        <v>1</v>
      </c>
      <c r="E615" s="6" t="n">
        <v>169.99</v>
      </c>
      <c r="F615" s="6" t="n">
        <v>208</v>
      </c>
      <c r="G615" s="7" t="n">
        <f aca="false">F615-E615</f>
        <v>38.01</v>
      </c>
      <c r="H615" s="8" t="n">
        <f aca="false">IF(E615=0,0,F615/E615-1)</f>
        <v>0.22360138831696</v>
      </c>
      <c r="I615" s="3" t="s">
        <v>27</v>
      </c>
    </row>
    <row r="616" customFormat="false" ht="15" hidden="false" customHeight="false" outlineLevel="0" collapsed="false">
      <c r="A616" s="3" t="s">
        <v>712</v>
      </c>
      <c r="B616" s="3" t="s">
        <v>23</v>
      </c>
      <c r="C616" s="3" t="s">
        <v>24</v>
      </c>
      <c r="D616" s="3" t="n">
        <v>1</v>
      </c>
      <c r="E616" s="6" t="n">
        <v>369</v>
      </c>
      <c r="F616" s="6" t="n">
        <v>451</v>
      </c>
      <c r="G616" s="7" t="n">
        <f aca="false">F616-E616</f>
        <v>82</v>
      </c>
      <c r="H616" s="8" t="n">
        <f aca="false">IF(E616=0,0,F616/E616-1)</f>
        <v>0.222222222222222</v>
      </c>
      <c r="I616" s="3" t="s">
        <v>27</v>
      </c>
    </row>
    <row r="617" customFormat="false" ht="15" hidden="false" customHeight="false" outlineLevel="0" collapsed="false">
      <c r="A617" s="3" t="s">
        <v>713</v>
      </c>
      <c r="B617" s="3" t="s">
        <v>23</v>
      </c>
      <c r="C617" s="3" t="s">
        <v>24</v>
      </c>
      <c r="D617" s="3" t="n">
        <v>1</v>
      </c>
      <c r="E617" s="6" t="n">
        <v>283.47</v>
      </c>
      <c r="F617" s="6" t="n">
        <v>346</v>
      </c>
      <c r="G617" s="7" t="n">
        <f aca="false">F617-E617</f>
        <v>62.53</v>
      </c>
      <c r="H617" s="8" t="n">
        <f aca="false">IF(E617=0,0,F617/E617-1)</f>
        <v>0.220587716513211</v>
      </c>
      <c r="I617" s="3" t="s">
        <v>714</v>
      </c>
    </row>
    <row r="618" customFormat="false" ht="15" hidden="false" customHeight="false" outlineLevel="0" collapsed="false">
      <c r="A618" s="3" t="s">
        <v>715</v>
      </c>
      <c r="B618" s="3" t="s">
        <v>23</v>
      </c>
      <c r="C618" s="3" t="s">
        <v>24</v>
      </c>
      <c r="D618" s="3" t="n">
        <v>1</v>
      </c>
      <c r="E618" s="6" t="n">
        <v>150</v>
      </c>
      <c r="F618" s="6" t="n">
        <v>183</v>
      </c>
      <c r="G618" s="7" t="n">
        <f aca="false">F618-E618</f>
        <v>33</v>
      </c>
      <c r="H618" s="8" t="n">
        <f aca="false">IF(E618=0,0,F618/E618-1)</f>
        <v>0.22</v>
      </c>
      <c r="I618" s="3" t="s">
        <v>27</v>
      </c>
    </row>
    <row r="619" customFormat="false" ht="15" hidden="false" customHeight="false" outlineLevel="0" collapsed="false">
      <c r="A619" s="3" t="s">
        <v>716</v>
      </c>
      <c r="B619" s="3" t="s">
        <v>23</v>
      </c>
      <c r="C619" s="3" t="s">
        <v>24</v>
      </c>
      <c r="D619" s="3" t="n">
        <v>1</v>
      </c>
      <c r="E619" s="6" t="n">
        <v>22.48</v>
      </c>
      <c r="F619" s="6" t="n">
        <v>27.5</v>
      </c>
      <c r="G619" s="7" t="n">
        <f aca="false">F619-E619</f>
        <v>5.02</v>
      </c>
      <c r="H619" s="8" t="n">
        <f aca="false">IF(E619=0,0,F619/E619-1)</f>
        <v>0.223309608540925</v>
      </c>
      <c r="I619" s="3" t="s">
        <v>134</v>
      </c>
    </row>
    <row r="620" customFormat="false" ht="15" hidden="false" customHeight="false" outlineLevel="0" collapsed="false">
      <c r="A620" s="3" t="s">
        <v>717</v>
      </c>
      <c r="B620" s="3" t="s">
        <v>23</v>
      </c>
      <c r="C620" s="3" t="s">
        <v>24</v>
      </c>
      <c r="D620" s="3" t="n">
        <v>1</v>
      </c>
      <c r="E620" s="6" t="n">
        <v>16.34</v>
      </c>
      <c r="F620" s="6" t="n">
        <v>20</v>
      </c>
      <c r="G620" s="7" t="n">
        <f aca="false">F620-E620</f>
        <v>3.66</v>
      </c>
      <c r="H620" s="8" t="n">
        <f aca="false">IF(E620=0,0,F620/E620-1)</f>
        <v>0.223990208078335</v>
      </c>
      <c r="I620" s="3" t="s">
        <v>27</v>
      </c>
    </row>
    <row r="621" customFormat="false" ht="15" hidden="false" customHeight="false" outlineLevel="0" collapsed="false">
      <c r="A621" s="3" t="s">
        <v>718</v>
      </c>
      <c r="B621" s="3" t="s">
        <v>23</v>
      </c>
      <c r="C621" s="3" t="s">
        <v>24</v>
      </c>
      <c r="D621" s="3" t="n">
        <v>1</v>
      </c>
      <c r="E621" s="6" t="n">
        <v>7.05</v>
      </c>
      <c r="F621" s="6" t="n">
        <v>9</v>
      </c>
      <c r="G621" s="7" t="n">
        <f aca="false">F621-E621</f>
        <v>1.95</v>
      </c>
      <c r="H621" s="8" t="n">
        <f aca="false">IF(E621=0,0,F621/E621-1)</f>
        <v>0.276595744680851</v>
      </c>
      <c r="I621" s="3" t="s">
        <v>27</v>
      </c>
    </row>
    <row r="622" customFormat="false" ht="15" hidden="false" customHeight="false" outlineLevel="0" collapsed="false">
      <c r="A622" s="3" t="s">
        <v>719</v>
      </c>
      <c r="B622" s="3" t="s">
        <v>23</v>
      </c>
      <c r="C622" s="3" t="s">
        <v>24</v>
      </c>
      <c r="D622" s="3" t="n">
        <v>3</v>
      </c>
      <c r="E622" s="6" t="n">
        <v>500</v>
      </c>
      <c r="F622" s="6" t="n">
        <v>580</v>
      </c>
      <c r="G622" s="7" t="n">
        <f aca="false">F622-E622</f>
        <v>80</v>
      </c>
      <c r="H622" s="8" t="n">
        <f aca="false">IF(E622=0,0,F622/E622-1)</f>
        <v>0.16</v>
      </c>
      <c r="I622" s="3" t="s">
        <v>38</v>
      </c>
    </row>
    <row r="623" customFormat="false" ht="15" hidden="false" customHeight="false" outlineLevel="0" collapsed="false">
      <c r="A623" s="3" t="s">
        <v>720</v>
      </c>
      <c r="B623" s="3" t="s">
        <v>23</v>
      </c>
      <c r="C623" s="3" t="s">
        <v>24</v>
      </c>
      <c r="D623" s="3" t="n">
        <v>1</v>
      </c>
      <c r="E623" s="6" t="n">
        <v>249.99</v>
      </c>
      <c r="F623" s="6" t="n">
        <v>305</v>
      </c>
      <c r="G623" s="7" t="n">
        <f aca="false">F623-E623</f>
        <v>55.01</v>
      </c>
      <c r="H623" s="8" t="n">
        <f aca="false">IF(E623=0,0,F623/E623-1)</f>
        <v>0.220048801952078</v>
      </c>
      <c r="I623" s="3" t="s">
        <v>27</v>
      </c>
    </row>
    <row r="624" customFormat="false" ht="15" hidden="false" customHeight="false" outlineLevel="0" collapsed="false">
      <c r="A624" s="3" t="s">
        <v>721</v>
      </c>
      <c r="B624" s="3" t="s">
        <v>23</v>
      </c>
      <c r="C624" s="3" t="s">
        <v>24</v>
      </c>
      <c r="D624" s="3" t="n">
        <v>1</v>
      </c>
      <c r="E624" s="6" t="n">
        <v>80</v>
      </c>
      <c r="F624" s="6" t="n">
        <v>98</v>
      </c>
      <c r="G624" s="7" t="n">
        <f aca="false">F624-E624</f>
        <v>18</v>
      </c>
      <c r="H624" s="8" t="n">
        <f aca="false">IF(E624=0,0,F624/E624-1)</f>
        <v>0.225</v>
      </c>
      <c r="I624" s="3" t="s">
        <v>632</v>
      </c>
    </row>
    <row r="625" customFormat="false" ht="15" hidden="false" customHeight="false" outlineLevel="0" collapsed="false">
      <c r="A625" s="3" t="s">
        <v>722</v>
      </c>
      <c r="B625" s="3" t="s">
        <v>23</v>
      </c>
      <c r="C625" s="3" t="s">
        <v>24</v>
      </c>
      <c r="D625" s="3" t="n">
        <v>1</v>
      </c>
      <c r="E625" s="6" t="n">
        <v>124.99</v>
      </c>
      <c r="F625" s="6" t="n">
        <v>153</v>
      </c>
      <c r="G625" s="7" t="n">
        <f aca="false">F625-E625</f>
        <v>28.01</v>
      </c>
      <c r="H625" s="8" t="n">
        <f aca="false">IF(E625=0,0,F625/E625-1)</f>
        <v>0.224097927834227</v>
      </c>
      <c r="I625" s="3" t="s">
        <v>27</v>
      </c>
    </row>
    <row r="626" customFormat="false" ht="15" hidden="false" customHeight="false" outlineLevel="0" collapsed="false">
      <c r="A626" s="3" t="s">
        <v>723</v>
      </c>
      <c r="B626" s="3" t="s">
        <v>23</v>
      </c>
      <c r="C626" s="3" t="s">
        <v>24</v>
      </c>
      <c r="D626" s="3" t="n">
        <v>1</v>
      </c>
      <c r="E626" s="6" t="n">
        <v>39.99</v>
      </c>
      <c r="F626" s="6" t="n">
        <v>49</v>
      </c>
      <c r="G626" s="7" t="n">
        <f aca="false">F626-E626</f>
        <v>9.01</v>
      </c>
      <c r="H626" s="8" t="n">
        <f aca="false">IF(E626=0,0,F626/E626-1)</f>
        <v>0.225306326581645</v>
      </c>
      <c r="I626" s="3" t="s">
        <v>27</v>
      </c>
    </row>
    <row r="627" customFormat="false" ht="15" hidden="false" customHeight="false" outlineLevel="0" collapsed="false">
      <c r="A627" s="3" t="s">
        <v>724</v>
      </c>
      <c r="B627" s="3" t="s">
        <v>23</v>
      </c>
      <c r="C627" s="3" t="s">
        <v>24</v>
      </c>
      <c r="D627" s="3" t="n">
        <v>1</v>
      </c>
      <c r="E627" s="6" t="n">
        <v>13.14</v>
      </c>
      <c r="F627" s="6" t="n">
        <v>16.5</v>
      </c>
      <c r="G627" s="7" t="n">
        <f aca="false">F627-E627</f>
        <v>3.36</v>
      </c>
      <c r="H627" s="8" t="n">
        <f aca="false">IF(E627=0,0,F627/E627-1)</f>
        <v>0.255707762557078</v>
      </c>
      <c r="I627" s="3" t="s">
        <v>27</v>
      </c>
    </row>
    <row r="628" customFormat="false" ht="15" hidden="false" customHeight="false" outlineLevel="0" collapsed="false">
      <c r="A628" s="3" t="s">
        <v>725</v>
      </c>
      <c r="B628" s="3" t="s">
        <v>23</v>
      </c>
      <c r="C628" s="3" t="s">
        <v>24</v>
      </c>
      <c r="D628" s="3" t="n">
        <v>1</v>
      </c>
      <c r="E628" s="6" t="n">
        <v>19</v>
      </c>
      <c r="F628" s="6" t="n">
        <v>23.5</v>
      </c>
      <c r="G628" s="7" t="n">
        <f aca="false">F628-E628</f>
        <v>4.5</v>
      </c>
      <c r="H628" s="8" t="n">
        <f aca="false">IF(E628=0,0,F628/E628-1)</f>
        <v>0.236842105263158</v>
      </c>
      <c r="I628" s="3" t="s">
        <v>27</v>
      </c>
    </row>
    <row r="629" customFormat="false" ht="15" hidden="false" customHeight="false" outlineLevel="0" collapsed="false">
      <c r="A629" s="3" t="s">
        <v>726</v>
      </c>
      <c r="B629" s="3" t="s">
        <v>23</v>
      </c>
      <c r="C629" s="3" t="s">
        <v>24</v>
      </c>
      <c r="D629" s="3" t="n">
        <v>5</v>
      </c>
      <c r="E629" s="6" t="n">
        <v>725</v>
      </c>
      <c r="F629" s="6" t="n">
        <v>740</v>
      </c>
      <c r="G629" s="7" t="n">
        <f aca="false">F629-E629</f>
        <v>15</v>
      </c>
      <c r="H629" s="8" t="n">
        <f aca="false">IF(E629=0,0,F629/E629-1)</f>
        <v>0.0206896551724138</v>
      </c>
      <c r="I629" s="3" t="s">
        <v>368</v>
      </c>
    </row>
    <row r="630" customFormat="false" ht="15" hidden="false" customHeight="false" outlineLevel="0" collapsed="false">
      <c r="A630" s="3" t="s">
        <v>727</v>
      </c>
      <c r="B630" s="3" t="s">
        <v>23</v>
      </c>
      <c r="C630" s="3" t="s">
        <v>24</v>
      </c>
      <c r="D630" s="3" t="n">
        <v>1</v>
      </c>
      <c r="E630" s="6" t="n">
        <v>19.99</v>
      </c>
      <c r="F630" s="6" t="n">
        <v>24.5</v>
      </c>
      <c r="G630" s="7" t="n">
        <f aca="false">F630-E630</f>
        <v>4.51</v>
      </c>
      <c r="H630" s="8" t="n">
        <f aca="false">IF(E630=0,0,F630/E630-1)</f>
        <v>0.225612806403202</v>
      </c>
      <c r="I630" s="3" t="s">
        <v>27</v>
      </c>
    </row>
    <row r="631" customFormat="false" ht="15" hidden="false" customHeight="false" outlineLevel="0" collapsed="false">
      <c r="A631" s="3" t="s">
        <v>728</v>
      </c>
      <c r="B631" s="3" t="s">
        <v>23</v>
      </c>
      <c r="C631" s="3" t="s">
        <v>24</v>
      </c>
      <c r="D631" s="3" t="n">
        <v>1</v>
      </c>
      <c r="E631" s="6" t="n">
        <v>59.99</v>
      </c>
      <c r="F631" s="6" t="n">
        <v>73.5</v>
      </c>
      <c r="G631" s="7" t="n">
        <f aca="false">F631-E631</f>
        <v>13.51</v>
      </c>
      <c r="H631" s="8" t="n">
        <f aca="false">IF(E631=0,0,F631/E631-1)</f>
        <v>0.225204200700117</v>
      </c>
      <c r="I631" s="3" t="s">
        <v>27</v>
      </c>
    </row>
    <row r="632" customFormat="false" ht="15" hidden="false" customHeight="false" outlineLevel="0" collapsed="false">
      <c r="A632" s="3" t="s">
        <v>729</v>
      </c>
      <c r="B632" s="3" t="s">
        <v>23</v>
      </c>
      <c r="C632" s="3" t="s">
        <v>24</v>
      </c>
      <c r="D632" s="3" t="n">
        <v>1</v>
      </c>
      <c r="E632" s="6" t="n">
        <v>379.99</v>
      </c>
      <c r="F632" s="6" t="n">
        <v>464</v>
      </c>
      <c r="G632" s="7" t="n">
        <f aca="false">F632-E632</f>
        <v>84.01</v>
      </c>
      <c r="H632" s="8" t="n">
        <f aca="false">IF(E632=0,0,F632/E632-1)</f>
        <v>0.221084765388563</v>
      </c>
      <c r="I632" s="3" t="s">
        <v>486</v>
      </c>
    </row>
    <row r="633" customFormat="false" ht="15" hidden="false" customHeight="false" outlineLevel="0" collapsed="false">
      <c r="A633" s="3" t="s">
        <v>730</v>
      </c>
      <c r="B633" s="3" t="s">
        <v>23</v>
      </c>
      <c r="C633" s="3" t="s">
        <v>24</v>
      </c>
      <c r="D633" s="3" t="n">
        <v>1</v>
      </c>
      <c r="E633" s="6" t="n">
        <v>99.99</v>
      </c>
      <c r="F633" s="6" t="n">
        <v>122</v>
      </c>
      <c r="G633" s="7" t="n">
        <f aca="false">F633-E633</f>
        <v>22.01</v>
      </c>
      <c r="H633" s="8" t="n">
        <f aca="false">IF(E633=0,0,F633/E633-1)</f>
        <v>0.22012201220122</v>
      </c>
      <c r="I633" s="3" t="s">
        <v>27</v>
      </c>
    </row>
    <row r="634" customFormat="false" ht="15" hidden="false" customHeight="false" outlineLevel="0" collapsed="false">
      <c r="A634" s="3" t="s">
        <v>731</v>
      </c>
      <c r="B634" s="3" t="s">
        <v>23</v>
      </c>
      <c r="C634" s="3" t="s">
        <v>24</v>
      </c>
      <c r="D634" s="3" t="n">
        <v>1</v>
      </c>
      <c r="E634" s="6" t="n">
        <v>26.03</v>
      </c>
      <c r="F634" s="6" t="n">
        <v>32</v>
      </c>
      <c r="G634" s="7" t="n">
        <f aca="false">F634-E634</f>
        <v>5.97</v>
      </c>
      <c r="H634" s="8" t="n">
        <f aca="false">IF(E634=0,0,F634/E634-1)</f>
        <v>0.229350749135613</v>
      </c>
      <c r="I634" s="3" t="s">
        <v>134</v>
      </c>
    </row>
    <row r="635" customFormat="false" ht="15" hidden="false" customHeight="false" outlineLevel="0" collapsed="false">
      <c r="A635" s="3" t="s">
        <v>732</v>
      </c>
      <c r="B635" s="3" t="s">
        <v>23</v>
      </c>
      <c r="C635" s="3" t="s">
        <v>24</v>
      </c>
      <c r="D635" s="3" t="n">
        <v>1</v>
      </c>
      <c r="E635" s="6" t="n">
        <v>14</v>
      </c>
      <c r="F635" s="6" t="n">
        <v>17.5</v>
      </c>
      <c r="G635" s="7" t="n">
        <f aca="false">F635-E635</f>
        <v>3.5</v>
      </c>
      <c r="H635" s="8" t="n">
        <f aca="false">IF(E635=0,0,F635/E635-1)</f>
        <v>0.25</v>
      </c>
      <c r="I635" s="3" t="s">
        <v>27</v>
      </c>
    </row>
    <row r="636" customFormat="false" ht="15" hidden="false" customHeight="false" outlineLevel="0" collapsed="false">
      <c r="A636" s="3" t="s">
        <v>733</v>
      </c>
      <c r="B636" s="3" t="s">
        <v>23</v>
      </c>
      <c r="C636" s="3" t="s">
        <v>24</v>
      </c>
      <c r="D636" s="3" t="n">
        <v>5</v>
      </c>
      <c r="E636" s="6" t="n">
        <v>99.99</v>
      </c>
      <c r="F636" s="6" t="n">
        <v>102</v>
      </c>
      <c r="G636" s="7" t="n">
        <f aca="false">F636-E636</f>
        <v>2.01000000000001</v>
      </c>
      <c r="H636" s="8" t="n">
        <f aca="false">IF(E636=0,0,F636/E636-1)</f>
        <v>0.0201020102010201</v>
      </c>
      <c r="I636" s="3" t="s">
        <v>368</v>
      </c>
    </row>
    <row r="637" customFormat="false" ht="15" hidden="false" customHeight="false" outlineLevel="0" collapsed="false">
      <c r="A637" s="3" t="s">
        <v>734</v>
      </c>
      <c r="B637" s="3" t="s">
        <v>23</v>
      </c>
      <c r="C637" s="3" t="s">
        <v>24</v>
      </c>
      <c r="D637" s="3" t="n">
        <v>1</v>
      </c>
      <c r="E637" s="6" t="n">
        <v>231</v>
      </c>
      <c r="F637" s="6" t="n">
        <v>282</v>
      </c>
      <c r="G637" s="7" t="n">
        <f aca="false">F637-E637</f>
        <v>51</v>
      </c>
      <c r="H637" s="8" t="n">
        <f aca="false">IF(E637=0,0,F637/E637-1)</f>
        <v>0.220779220779221</v>
      </c>
      <c r="I637" s="3" t="s">
        <v>27</v>
      </c>
    </row>
    <row r="638" customFormat="false" ht="15" hidden="false" customHeight="false" outlineLevel="0" collapsed="false">
      <c r="A638" s="3" t="s">
        <v>735</v>
      </c>
      <c r="B638" s="3" t="s">
        <v>23</v>
      </c>
      <c r="C638" s="3" t="s">
        <v>24</v>
      </c>
      <c r="D638" s="3" t="n">
        <v>3</v>
      </c>
      <c r="E638" s="6" t="n">
        <v>2090</v>
      </c>
      <c r="F638" s="6" t="n">
        <v>2425</v>
      </c>
      <c r="G638" s="7" t="n">
        <f aca="false">F638-E638</f>
        <v>335</v>
      </c>
      <c r="H638" s="8" t="n">
        <f aca="false">IF(E638=0,0,F638/E638-1)</f>
        <v>0.160287081339713</v>
      </c>
      <c r="I638" s="3" t="s">
        <v>38</v>
      </c>
    </row>
    <row r="639" customFormat="false" ht="15" hidden="false" customHeight="false" outlineLevel="0" collapsed="false">
      <c r="A639" s="3" t="s">
        <v>736</v>
      </c>
      <c r="B639" s="3" t="s">
        <v>23</v>
      </c>
      <c r="C639" s="3" t="s">
        <v>24</v>
      </c>
      <c r="D639" s="3" t="n">
        <v>1</v>
      </c>
      <c r="E639" s="6" t="n">
        <v>34.99</v>
      </c>
      <c r="F639" s="6" t="n">
        <v>43</v>
      </c>
      <c r="G639" s="7" t="n">
        <f aca="false">F639-E639</f>
        <v>8.01</v>
      </c>
      <c r="H639" s="8" t="n">
        <f aca="false">IF(E639=0,0,F639/E639-1)</f>
        <v>0.2289225492998</v>
      </c>
      <c r="I639" s="3" t="s">
        <v>27</v>
      </c>
    </row>
    <row r="640" customFormat="false" ht="15" hidden="false" customHeight="false" outlineLevel="0" collapsed="false">
      <c r="A640" s="3" t="s">
        <v>737</v>
      </c>
      <c r="B640" s="3" t="s">
        <v>23</v>
      </c>
      <c r="C640" s="3" t="s">
        <v>24</v>
      </c>
      <c r="D640" s="3" t="n">
        <v>1</v>
      </c>
      <c r="E640" s="6" t="n">
        <v>530</v>
      </c>
      <c r="F640" s="6" t="n">
        <v>647</v>
      </c>
      <c r="G640" s="7" t="n">
        <f aca="false">F640-E640</f>
        <v>117</v>
      </c>
      <c r="H640" s="8" t="n">
        <f aca="false">IF(E640=0,0,F640/E640-1)</f>
        <v>0.220754716981132</v>
      </c>
      <c r="I640" s="3" t="s">
        <v>27</v>
      </c>
    </row>
    <row r="641" customFormat="false" ht="15" hidden="false" customHeight="false" outlineLevel="0" collapsed="false">
      <c r="A641" s="3" t="s">
        <v>738</v>
      </c>
      <c r="B641" s="3" t="s">
        <v>23</v>
      </c>
      <c r="C641" s="3" t="s">
        <v>24</v>
      </c>
      <c r="D641" s="3" t="n">
        <v>1</v>
      </c>
      <c r="E641" s="6" t="n">
        <v>499.99</v>
      </c>
      <c r="F641" s="6" t="n">
        <v>610</v>
      </c>
      <c r="G641" s="7" t="n">
        <f aca="false">F641-E641</f>
        <v>110.01</v>
      </c>
      <c r="H641" s="8" t="n">
        <f aca="false">IF(E641=0,0,F641/E641-1)</f>
        <v>0.22002440048801</v>
      </c>
      <c r="I641" s="3" t="s">
        <v>27</v>
      </c>
    </row>
    <row r="642" customFormat="false" ht="15" hidden="false" customHeight="false" outlineLevel="0" collapsed="false">
      <c r="A642" s="3" t="s">
        <v>739</v>
      </c>
      <c r="B642" s="3" t="s">
        <v>23</v>
      </c>
      <c r="C642" s="3" t="s">
        <v>24</v>
      </c>
      <c r="D642" s="3" t="n">
        <v>1</v>
      </c>
      <c r="E642" s="6" t="n">
        <v>499.99</v>
      </c>
      <c r="F642" s="6" t="n">
        <v>610</v>
      </c>
      <c r="G642" s="7" t="n">
        <f aca="false">F642-E642</f>
        <v>110.01</v>
      </c>
      <c r="H642" s="8" t="n">
        <f aca="false">IF(E642=0,0,F642/E642-1)</f>
        <v>0.22002440048801</v>
      </c>
      <c r="I642" s="3" t="s">
        <v>27</v>
      </c>
    </row>
    <row r="643" customFormat="false" ht="15" hidden="false" customHeight="false" outlineLevel="0" collapsed="false">
      <c r="A643" s="3" t="s">
        <v>740</v>
      </c>
      <c r="B643" s="3" t="s">
        <v>23</v>
      </c>
      <c r="C643" s="3" t="s">
        <v>24</v>
      </c>
      <c r="D643" s="3" t="n">
        <v>1</v>
      </c>
      <c r="E643" s="6" t="n">
        <v>249.99</v>
      </c>
      <c r="F643" s="6" t="n">
        <v>305</v>
      </c>
      <c r="G643" s="7" t="n">
        <f aca="false">F643-E643</f>
        <v>55.01</v>
      </c>
      <c r="H643" s="8" t="n">
        <f aca="false">IF(E643=0,0,F643/E643-1)</f>
        <v>0.220048801952078</v>
      </c>
      <c r="I643" s="3" t="s">
        <v>27</v>
      </c>
    </row>
    <row r="644" customFormat="false" ht="15" hidden="false" customHeight="false" outlineLevel="0" collapsed="false">
      <c r="A644" s="3" t="s">
        <v>741</v>
      </c>
      <c r="B644" s="3" t="s">
        <v>23</v>
      </c>
      <c r="C644" s="3" t="s">
        <v>24</v>
      </c>
      <c r="D644" s="3" t="n">
        <v>1</v>
      </c>
      <c r="E644" s="6" t="n">
        <v>19.99</v>
      </c>
      <c r="F644" s="6" t="n">
        <v>24.5</v>
      </c>
      <c r="G644" s="7" t="n">
        <f aca="false">F644-E644</f>
        <v>4.51</v>
      </c>
      <c r="H644" s="8" t="n">
        <f aca="false">IF(E644=0,0,F644/E644-1)</f>
        <v>0.225612806403202</v>
      </c>
      <c r="I644" s="3" t="s">
        <v>27</v>
      </c>
    </row>
    <row r="645" customFormat="false" ht="15" hidden="false" customHeight="false" outlineLevel="0" collapsed="false">
      <c r="A645" s="3" t="s">
        <v>742</v>
      </c>
      <c r="B645" s="3" t="s">
        <v>23</v>
      </c>
      <c r="C645" s="3" t="s">
        <v>179</v>
      </c>
      <c r="D645" s="3" t="n">
        <v>2</v>
      </c>
      <c r="E645" s="6" t="n">
        <v>2700</v>
      </c>
      <c r="F645" s="6" t="n">
        <v>3190</v>
      </c>
      <c r="G645" s="7" t="n">
        <f aca="false">F645-E645</f>
        <v>490</v>
      </c>
      <c r="H645" s="8" t="n">
        <f aca="false">IF(E645=0,0,F645/E645-1)</f>
        <v>0.181481481481482</v>
      </c>
      <c r="I645" s="3" t="s">
        <v>743</v>
      </c>
    </row>
    <row r="646" customFormat="false" ht="15" hidden="false" customHeight="false" outlineLevel="0" collapsed="false">
      <c r="A646" s="3" t="s">
        <v>744</v>
      </c>
      <c r="B646" s="3" t="s">
        <v>23</v>
      </c>
      <c r="C646" s="3" t="s">
        <v>24</v>
      </c>
      <c r="D646" s="3" t="n">
        <v>3</v>
      </c>
      <c r="E646" s="6" t="n">
        <v>599.99</v>
      </c>
      <c r="F646" s="6" t="n">
        <v>696</v>
      </c>
      <c r="G646" s="7" t="n">
        <f aca="false">F646-E646</f>
        <v>96.01</v>
      </c>
      <c r="H646" s="8" t="n">
        <f aca="false">IF(E646=0,0,F646/E646-1)</f>
        <v>0.160019333655561</v>
      </c>
      <c r="I646" s="3" t="s">
        <v>38</v>
      </c>
    </row>
    <row r="647" customFormat="false" ht="15" hidden="false" customHeight="false" outlineLevel="0" collapsed="false">
      <c r="A647" s="3" t="s">
        <v>745</v>
      </c>
      <c r="B647" s="3" t="s">
        <v>23</v>
      </c>
      <c r="C647" s="3" t="s">
        <v>24</v>
      </c>
      <c r="D647" s="3" t="n">
        <v>1</v>
      </c>
      <c r="E647" s="6" t="n">
        <v>79</v>
      </c>
      <c r="F647" s="6" t="n">
        <v>96.5</v>
      </c>
      <c r="G647" s="7" t="n">
        <f aca="false">F647-E647</f>
        <v>17.5</v>
      </c>
      <c r="H647" s="8" t="n">
        <f aca="false">IF(E647=0,0,F647/E647-1)</f>
        <v>0.221518987341772</v>
      </c>
      <c r="I647" s="3" t="s">
        <v>27</v>
      </c>
    </row>
    <row r="648" customFormat="false" ht="15" hidden="false" customHeight="false" outlineLevel="0" collapsed="false">
      <c r="A648" s="3" t="s">
        <v>746</v>
      </c>
      <c r="B648" s="3" t="s">
        <v>23</v>
      </c>
      <c r="C648" s="3" t="s">
        <v>179</v>
      </c>
      <c r="D648" s="3" t="n">
        <v>3</v>
      </c>
      <c r="E648" s="6" t="n">
        <v>1125</v>
      </c>
      <c r="F648" s="6" t="n">
        <v>1305</v>
      </c>
      <c r="G648" s="7" t="n">
        <f aca="false">F648-E648</f>
        <v>180</v>
      </c>
      <c r="H648" s="8" t="n">
        <f aca="false">IF(E648=0,0,F648/E648-1)</f>
        <v>0.16</v>
      </c>
      <c r="I648" s="3" t="s">
        <v>747</v>
      </c>
    </row>
    <row r="649" customFormat="false" ht="15" hidden="false" customHeight="false" outlineLevel="0" collapsed="false">
      <c r="A649" s="3" t="s">
        <v>748</v>
      </c>
      <c r="B649" s="3" t="s">
        <v>23</v>
      </c>
      <c r="C649" s="3" t="s">
        <v>24</v>
      </c>
      <c r="D649" s="3" t="n">
        <v>1</v>
      </c>
      <c r="E649" s="6" t="n">
        <v>120</v>
      </c>
      <c r="F649" s="6" t="n">
        <v>147</v>
      </c>
      <c r="G649" s="7" t="n">
        <f aca="false">F649-E649</f>
        <v>27</v>
      </c>
      <c r="H649" s="8" t="n">
        <f aca="false">IF(E649=0,0,F649/E649-1)</f>
        <v>0.225</v>
      </c>
      <c r="I649" s="3" t="s">
        <v>27</v>
      </c>
    </row>
    <row r="650" customFormat="false" ht="15" hidden="false" customHeight="false" outlineLevel="0" collapsed="false">
      <c r="A650" s="3" t="s">
        <v>749</v>
      </c>
      <c r="B650" s="3" t="s">
        <v>23</v>
      </c>
      <c r="C650" s="3" t="s">
        <v>179</v>
      </c>
      <c r="D650" s="3" t="n">
        <v>3</v>
      </c>
      <c r="E650" s="6" t="n">
        <v>700</v>
      </c>
      <c r="F650" s="6" t="n">
        <v>812</v>
      </c>
      <c r="G650" s="7" t="n">
        <f aca="false">F650-E650</f>
        <v>112</v>
      </c>
      <c r="H650" s="8" t="n">
        <f aca="false">IF(E650=0,0,F650/E650-1)</f>
        <v>0.16</v>
      </c>
      <c r="I650" s="3" t="s">
        <v>750</v>
      </c>
    </row>
    <row r="651" customFormat="false" ht="15" hidden="false" customHeight="false" outlineLevel="0" collapsed="false">
      <c r="A651" s="3" t="s">
        <v>751</v>
      </c>
      <c r="B651" s="3" t="s">
        <v>23</v>
      </c>
      <c r="C651" s="3" t="s">
        <v>24</v>
      </c>
      <c r="D651" s="3" t="n">
        <v>1</v>
      </c>
      <c r="E651" s="6" t="n">
        <v>7.94</v>
      </c>
      <c r="F651" s="6" t="n">
        <v>10</v>
      </c>
      <c r="G651" s="7" t="n">
        <f aca="false">F651-E651</f>
        <v>2.06</v>
      </c>
      <c r="H651" s="8" t="n">
        <f aca="false">IF(E651=0,0,F651/E651-1)</f>
        <v>0.259445843828715</v>
      </c>
      <c r="I651" s="3" t="s">
        <v>210</v>
      </c>
    </row>
    <row r="652" customFormat="false" ht="15" hidden="false" customHeight="false" outlineLevel="0" collapsed="false">
      <c r="A652" s="3" t="s">
        <v>752</v>
      </c>
      <c r="B652" s="3" t="s">
        <v>23</v>
      </c>
      <c r="C652" s="3" t="s">
        <v>24</v>
      </c>
      <c r="D652" s="3" t="n">
        <v>1</v>
      </c>
      <c r="E652" s="6" t="n">
        <v>246.5</v>
      </c>
      <c r="F652" s="6" t="n">
        <v>301</v>
      </c>
      <c r="G652" s="7" t="n">
        <f aca="false">F652-E652</f>
        <v>54.5</v>
      </c>
      <c r="H652" s="8" t="n">
        <f aca="false">IF(E652=0,0,F652/E652-1)</f>
        <v>0.221095334685598</v>
      </c>
      <c r="I652" s="3" t="s">
        <v>714</v>
      </c>
    </row>
    <row r="653" customFormat="false" ht="15" hidden="false" customHeight="false" outlineLevel="0" collapsed="false">
      <c r="A653" s="3" t="s">
        <v>753</v>
      </c>
      <c r="B653" s="3" t="s">
        <v>23</v>
      </c>
      <c r="C653" s="3" t="s">
        <v>24</v>
      </c>
      <c r="D653" s="3" t="n">
        <v>1</v>
      </c>
      <c r="E653" s="6" t="n">
        <v>216.94</v>
      </c>
      <c r="F653" s="6" t="n">
        <v>265</v>
      </c>
      <c r="G653" s="7" t="n">
        <f aca="false">F653-E653</f>
        <v>48.06</v>
      </c>
      <c r="H653" s="8" t="n">
        <f aca="false">IF(E653=0,0,F653/E653-1)</f>
        <v>0.221535908546142</v>
      </c>
      <c r="I653" s="3" t="s">
        <v>27</v>
      </c>
    </row>
    <row r="654" customFormat="false" ht="15" hidden="false" customHeight="false" outlineLevel="0" collapsed="false">
      <c r="A654" s="3" t="s">
        <v>754</v>
      </c>
      <c r="B654" s="3" t="s">
        <v>23</v>
      </c>
      <c r="C654" s="3" t="s">
        <v>24</v>
      </c>
      <c r="D654" s="3" t="n">
        <v>1</v>
      </c>
      <c r="E654" s="6" t="n">
        <v>250</v>
      </c>
      <c r="F654" s="6" t="n">
        <v>305</v>
      </c>
      <c r="G654" s="7" t="n">
        <f aca="false">F654-E654</f>
        <v>55</v>
      </c>
      <c r="H654" s="8" t="n">
        <f aca="false">IF(E654=0,0,F654/E654-1)</f>
        <v>0.22</v>
      </c>
      <c r="I654" s="3" t="s">
        <v>27</v>
      </c>
    </row>
    <row r="655" customFormat="false" ht="15" hidden="false" customHeight="false" outlineLevel="0" collapsed="false">
      <c r="A655" s="3" t="s">
        <v>755</v>
      </c>
      <c r="B655" s="3" t="s">
        <v>23</v>
      </c>
      <c r="C655" s="3" t="s">
        <v>24</v>
      </c>
      <c r="D655" s="3" t="n">
        <v>1</v>
      </c>
      <c r="E655" s="6" t="n">
        <v>169</v>
      </c>
      <c r="F655" s="6" t="n">
        <v>207</v>
      </c>
      <c r="G655" s="7" t="n">
        <f aca="false">F655-E655</f>
        <v>38</v>
      </c>
      <c r="H655" s="8" t="n">
        <f aca="false">IF(E655=0,0,F655/E655-1)</f>
        <v>0.224852071005917</v>
      </c>
      <c r="I655" s="3" t="s">
        <v>27</v>
      </c>
    </row>
    <row r="656" customFormat="false" ht="15" hidden="false" customHeight="false" outlineLevel="0" collapsed="false">
      <c r="A656" s="3" t="s">
        <v>756</v>
      </c>
      <c r="B656" s="3" t="s">
        <v>23</v>
      </c>
      <c r="C656" s="3" t="s">
        <v>24</v>
      </c>
      <c r="D656" s="3" t="n">
        <v>1</v>
      </c>
      <c r="E656" s="6" t="n">
        <v>99.99</v>
      </c>
      <c r="F656" s="6" t="n">
        <v>122</v>
      </c>
      <c r="G656" s="7" t="n">
        <f aca="false">F656-E656</f>
        <v>22.01</v>
      </c>
      <c r="H656" s="8" t="n">
        <f aca="false">IF(E656=0,0,F656/E656-1)</f>
        <v>0.22012201220122</v>
      </c>
      <c r="I656" s="3" t="s">
        <v>27</v>
      </c>
    </row>
    <row r="657" customFormat="false" ht="15" hidden="false" customHeight="false" outlineLevel="0" collapsed="false">
      <c r="A657" s="3" t="s">
        <v>757</v>
      </c>
      <c r="B657" s="3" t="s">
        <v>23</v>
      </c>
      <c r="C657" s="3" t="s">
        <v>24</v>
      </c>
      <c r="D657" s="3" t="n">
        <v>3</v>
      </c>
      <c r="E657" s="6" t="n">
        <v>925</v>
      </c>
      <c r="F657" s="6" t="n">
        <v>1075</v>
      </c>
      <c r="G657" s="7" t="n">
        <f aca="false">F657-E657</f>
        <v>150</v>
      </c>
      <c r="H657" s="8" t="n">
        <f aca="false">IF(E657=0,0,F657/E657-1)</f>
        <v>0.162162162162162</v>
      </c>
      <c r="I657" s="3" t="s">
        <v>38</v>
      </c>
    </row>
    <row r="658" customFormat="false" ht="15" hidden="false" customHeight="false" outlineLevel="0" collapsed="false">
      <c r="A658" s="3" t="s">
        <v>758</v>
      </c>
      <c r="B658" s="3" t="s">
        <v>23</v>
      </c>
      <c r="C658" s="3" t="s">
        <v>24</v>
      </c>
      <c r="D658" s="3" t="n">
        <v>1</v>
      </c>
      <c r="E658" s="6" t="n">
        <v>169.99</v>
      </c>
      <c r="F658" s="6" t="n">
        <v>208</v>
      </c>
      <c r="G658" s="7" t="n">
        <f aca="false">F658-E658</f>
        <v>38.01</v>
      </c>
      <c r="H658" s="8" t="n">
        <f aca="false">IF(E658=0,0,F658/E658-1)</f>
        <v>0.22360138831696</v>
      </c>
      <c r="I658" s="3" t="s">
        <v>27</v>
      </c>
    </row>
    <row r="659" customFormat="false" ht="15" hidden="false" customHeight="false" outlineLevel="0" collapsed="false">
      <c r="A659" s="3" t="s">
        <v>759</v>
      </c>
      <c r="B659" s="3" t="s">
        <v>23</v>
      </c>
      <c r="C659" s="3" t="s">
        <v>24</v>
      </c>
      <c r="D659" s="3" t="n">
        <v>1</v>
      </c>
      <c r="E659" s="6" t="n">
        <v>379.99</v>
      </c>
      <c r="F659" s="6" t="n">
        <v>464</v>
      </c>
      <c r="G659" s="7" t="n">
        <f aca="false">F659-E659</f>
        <v>84.01</v>
      </c>
      <c r="H659" s="8" t="n">
        <f aca="false">IF(E659=0,0,F659/E659-1)</f>
        <v>0.221084765388563</v>
      </c>
      <c r="I659" s="3" t="s">
        <v>486</v>
      </c>
    </row>
    <row r="660" customFormat="false" ht="15" hidden="false" customHeight="false" outlineLevel="0" collapsed="false">
      <c r="A660" s="3" t="s">
        <v>760</v>
      </c>
      <c r="B660" s="3" t="s">
        <v>23</v>
      </c>
      <c r="C660" s="3" t="s">
        <v>24</v>
      </c>
      <c r="D660" s="3" t="n">
        <v>1</v>
      </c>
      <c r="E660" s="6" t="n">
        <v>189.99</v>
      </c>
      <c r="F660" s="6" t="n">
        <v>232</v>
      </c>
      <c r="G660" s="7" t="n">
        <f aca="false">F660-E660</f>
        <v>42.01</v>
      </c>
      <c r="H660" s="8" t="n">
        <f aca="false">IF(E660=0,0,F660/E660-1)</f>
        <v>0.22111690088952</v>
      </c>
      <c r="I660" s="3" t="s">
        <v>27</v>
      </c>
    </row>
    <row r="661" customFormat="false" ht="15" hidden="false" customHeight="false" outlineLevel="0" collapsed="false">
      <c r="A661" s="3" t="s">
        <v>761</v>
      </c>
      <c r="B661" s="3" t="s">
        <v>23</v>
      </c>
      <c r="C661" s="3" t="s">
        <v>24</v>
      </c>
      <c r="D661" s="3" t="n">
        <v>5</v>
      </c>
      <c r="E661" s="6" t="n">
        <v>950</v>
      </c>
      <c r="F661" s="6" t="n">
        <v>969</v>
      </c>
      <c r="G661" s="7" t="n">
        <f aca="false">F661-E661</f>
        <v>19</v>
      </c>
      <c r="H661" s="8" t="n">
        <f aca="false">IF(E661=0,0,F661/E661-1)</f>
        <v>0.02</v>
      </c>
      <c r="I661" s="3" t="s">
        <v>368</v>
      </c>
    </row>
    <row r="662" customFormat="false" ht="15" hidden="false" customHeight="false" outlineLevel="0" collapsed="false">
      <c r="A662" s="3" t="s">
        <v>762</v>
      </c>
      <c r="B662" s="3" t="s">
        <v>23</v>
      </c>
      <c r="C662" s="3" t="s">
        <v>24</v>
      </c>
      <c r="D662" s="3" t="n">
        <v>1</v>
      </c>
      <c r="E662" s="6" t="n">
        <v>169.99</v>
      </c>
      <c r="F662" s="6" t="n">
        <v>208</v>
      </c>
      <c r="G662" s="7" t="n">
        <f aca="false">F662-E662</f>
        <v>38.01</v>
      </c>
      <c r="H662" s="8" t="n">
        <f aca="false">IF(E662=0,0,F662/E662-1)</f>
        <v>0.22360138831696</v>
      </c>
      <c r="I662" s="3" t="s">
        <v>27</v>
      </c>
    </row>
    <row r="663" customFormat="false" ht="15" hidden="false" customHeight="false" outlineLevel="0" collapsed="false">
      <c r="A663" s="3" t="s">
        <v>763</v>
      </c>
      <c r="B663" s="3" t="s">
        <v>23</v>
      </c>
      <c r="C663" s="3" t="s">
        <v>24</v>
      </c>
      <c r="D663" s="3" t="n">
        <v>1</v>
      </c>
      <c r="E663" s="6" t="n">
        <v>59.16</v>
      </c>
      <c r="F663" s="6" t="n">
        <v>72.5</v>
      </c>
      <c r="G663" s="7" t="n">
        <f aca="false">F663-E663</f>
        <v>13.34</v>
      </c>
      <c r="H663" s="8" t="n">
        <f aca="false">IF(E663=0,0,F663/E663-1)</f>
        <v>0.225490196078431</v>
      </c>
      <c r="I663" s="3" t="s">
        <v>714</v>
      </c>
    </row>
    <row r="664" customFormat="false" ht="15" hidden="false" customHeight="false" outlineLevel="0" collapsed="false">
      <c r="A664" s="3" t="s">
        <v>764</v>
      </c>
      <c r="B664" s="3" t="s">
        <v>23</v>
      </c>
      <c r="C664" s="3" t="s">
        <v>24</v>
      </c>
      <c r="D664" s="3" t="n">
        <v>1</v>
      </c>
      <c r="E664" s="6" t="n">
        <v>44.99</v>
      </c>
      <c r="F664" s="6" t="n">
        <v>55</v>
      </c>
      <c r="G664" s="7" t="n">
        <f aca="false">F664-E664</f>
        <v>10.01</v>
      </c>
      <c r="H664" s="8" t="n">
        <f aca="false">IF(E664=0,0,F664/E664-1)</f>
        <v>0.222493887530562</v>
      </c>
      <c r="I664" s="3" t="s">
        <v>27</v>
      </c>
    </row>
    <row r="665" customFormat="false" ht="15" hidden="false" customHeight="false" outlineLevel="0" collapsed="false">
      <c r="A665" s="3" t="s">
        <v>765</v>
      </c>
      <c r="B665" s="3" t="s">
        <v>23</v>
      </c>
      <c r="C665" s="3" t="s">
        <v>24</v>
      </c>
      <c r="D665" s="3" t="n">
        <v>1</v>
      </c>
      <c r="E665" s="6" t="n">
        <v>28.49</v>
      </c>
      <c r="F665" s="6" t="n">
        <v>35</v>
      </c>
      <c r="G665" s="7" t="n">
        <f aca="false">F665-E665</f>
        <v>6.51</v>
      </c>
      <c r="H665" s="8" t="n">
        <f aca="false">IF(E665=0,0,F665/E665-1)</f>
        <v>0.228501228501229</v>
      </c>
      <c r="I665" s="3" t="s">
        <v>27</v>
      </c>
    </row>
    <row r="666" customFormat="false" ht="15" hidden="false" customHeight="false" outlineLevel="0" collapsed="false">
      <c r="A666" s="3" t="s">
        <v>766</v>
      </c>
      <c r="B666" s="3" t="s">
        <v>23</v>
      </c>
      <c r="C666" s="3" t="s">
        <v>24</v>
      </c>
      <c r="D666" s="3" t="n">
        <v>1</v>
      </c>
      <c r="E666" s="6" t="n">
        <v>449.99</v>
      </c>
      <c r="F666" s="6" t="n">
        <v>549</v>
      </c>
      <c r="G666" s="7" t="n">
        <f aca="false">F666-E666</f>
        <v>99.01</v>
      </c>
      <c r="H666" s="8" t="n">
        <f aca="false">IF(E666=0,0,F666/E666-1)</f>
        <v>0.220027111713594</v>
      </c>
      <c r="I666" s="3" t="s">
        <v>27</v>
      </c>
    </row>
    <row r="667" customFormat="false" ht="15" hidden="false" customHeight="false" outlineLevel="0" collapsed="false">
      <c r="A667" s="3" t="s">
        <v>767</v>
      </c>
      <c r="B667" s="3" t="s">
        <v>23</v>
      </c>
      <c r="C667" s="3" t="s">
        <v>24</v>
      </c>
      <c r="D667" s="3" t="n">
        <v>1</v>
      </c>
      <c r="E667" s="6" t="n">
        <v>179.99</v>
      </c>
      <c r="F667" s="6" t="n">
        <v>220</v>
      </c>
      <c r="G667" s="7" t="n">
        <f aca="false">F667-E667</f>
        <v>40.01</v>
      </c>
      <c r="H667" s="8" t="n">
        <f aca="false">IF(E667=0,0,F667/E667-1)</f>
        <v>0.222290127229291</v>
      </c>
      <c r="I667" s="3" t="s">
        <v>27</v>
      </c>
    </row>
    <row r="668" customFormat="false" ht="15" hidden="false" customHeight="false" outlineLevel="0" collapsed="false">
      <c r="A668" s="3" t="s">
        <v>768</v>
      </c>
      <c r="B668" s="3" t="s">
        <v>23</v>
      </c>
      <c r="C668" s="3" t="s">
        <v>24</v>
      </c>
      <c r="D668" s="3" t="n">
        <v>3</v>
      </c>
      <c r="E668" s="6" t="n">
        <v>1599</v>
      </c>
      <c r="F668" s="6" t="n">
        <v>1855</v>
      </c>
      <c r="G668" s="7" t="n">
        <f aca="false">F668-E668</f>
        <v>256</v>
      </c>
      <c r="H668" s="8" t="n">
        <f aca="false">IF(E668=0,0,F668/E668-1)</f>
        <v>0.160100062539087</v>
      </c>
      <c r="I668" s="3" t="s">
        <v>38</v>
      </c>
    </row>
    <row r="669" customFormat="false" ht="15" hidden="false" customHeight="false" outlineLevel="0" collapsed="false">
      <c r="A669" s="3" t="s">
        <v>769</v>
      </c>
      <c r="B669" s="3" t="s">
        <v>23</v>
      </c>
      <c r="C669" s="3" t="s">
        <v>24</v>
      </c>
      <c r="D669" s="3" t="n">
        <v>1</v>
      </c>
      <c r="E669" s="6" t="n">
        <v>249.99</v>
      </c>
      <c r="F669" s="6" t="n">
        <v>305</v>
      </c>
      <c r="G669" s="7" t="n">
        <f aca="false">F669-E669</f>
        <v>55.01</v>
      </c>
      <c r="H669" s="8" t="n">
        <f aca="false">IF(E669=0,0,F669/E669-1)</f>
        <v>0.220048801952078</v>
      </c>
      <c r="I669" s="3" t="s">
        <v>27</v>
      </c>
    </row>
    <row r="670" customFormat="false" ht="15" hidden="false" customHeight="false" outlineLevel="0" collapsed="false">
      <c r="A670" s="3" t="s">
        <v>770</v>
      </c>
      <c r="B670" s="3" t="s">
        <v>23</v>
      </c>
      <c r="C670" s="3" t="s">
        <v>24</v>
      </c>
      <c r="D670" s="3" t="n">
        <v>1</v>
      </c>
      <c r="E670" s="6" t="n">
        <v>123.49</v>
      </c>
      <c r="F670" s="6" t="n">
        <v>151</v>
      </c>
      <c r="G670" s="7" t="n">
        <f aca="false">F670-E670</f>
        <v>27.51</v>
      </c>
      <c r="H670" s="8" t="n">
        <f aca="false">IF(E670=0,0,F670/E670-1)</f>
        <v>0.222771074580938</v>
      </c>
      <c r="I670" s="3" t="s">
        <v>27</v>
      </c>
    </row>
    <row r="671" customFormat="false" ht="15" hidden="false" customHeight="false" outlineLevel="0" collapsed="false">
      <c r="A671" s="3" t="s">
        <v>771</v>
      </c>
      <c r="B671" s="3" t="s">
        <v>23</v>
      </c>
      <c r="C671" s="3" t="s">
        <v>24</v>
      </c>
      <c r="D671" s="3" t="n">
        <v>1</v>
      </c>
      <c r="E671" s="6" t="n">
        <v>349.99</v>
      </c>
      <c r="F671" s="6" t="n">
        <v>427</v>
      </c>
      <c r="G671" s="7" t="n">
        <f aca="false">F671-E671</f>
        <v>77.01</v>
      </c>
      <c r="H671" s="8" t="n">
        <f aca="false">IF(E671=0,0,F671/E671-1)</f>
        <v>0.220034858138804</v>
      </c>
      <c r="I671" s="3" t="s">
        <v>27</v>
      </c>
    </row>
    <row r="672" customFormat="false" ht="15" hidden="false" customHeight="false" outlineLevel="0" collapsed="false">
      <c r="A672" s="3" t="s">
        <v>772</v>
      </c>
      <c r="B672" s="3" t="s">
        <v>23</v>
      </c>
      <c r="C672" s="3" t="s">
        <v>24</v>
      </c>
      <c r="D672" s="3" t="n">
        <v>1</v>
      </c>
      <c r="E672" s="6" t="n">
        <v>150</v>
      </c>
      <c r="F672" s="6" t="n">
        <v>183</v>
      </c>
      <c r="G672" s="7" t="n">
        <f aca="false">F672-E672</f>
        <v>33</v>
      </c>
      <c r="H672" s="8" t="n">
        <f aca="false">IF(E672=0,0,F672/E672-1)</f>
        <v>0.22</v>
      </c>
      <c r="I672" s="3" t="s">
        <v>27</v>
      </c>
    </row>
    <row r="673" customFormat="false" ht="15" hidden="false" customHeight="false" outlineLevel="0" collapsed="false">
      <c r="A673" s="3" t="s">
        <v>773</v>
      </c>
      <c r="B673" s="3" t="s">
        <v>23</v>
      </c>
      <c r="C673" s="3" t="s">
        <v>24</v>
      </c>
      <c r="D673" s="3" t="n">
        <v>2</v>
      </c>
      <c r="E673" s="6" t="n">
        <v>5350</v>
      </c>
      <c r="F673" s="6" t="n">
        <v>6315</v>
      </c>
      <c r="G673" s="7" t="n">
        <f aca="false">F673-E673</f>
        <v>965</v>
      </c>
      <c r="H673" s="8" t="n">
        <f aca="false">IF(E673=0,0,F673/E673-1)</f>
        <v>0.180373831775701</v>
      </c>
      <c r="I673" s="3" t="s">
        <v>276</v>
      </c>
    </row>
    <row r="674" customFormat="false" ht="15" hidden="false" customHeight="false" outlineLevel="0" collapsed="false">
      <c r="A674" s="3" t="s">
        <v>774</v>
      </c>
      <c r="B674" s="3" t="s">
        <v>23</v>
      </c>
      <c r="C674" s="3" t="s">
        <v>179</v>
      </c>
      <c r="D674" s="3" t="n">
        <v>3</v>
      </c>
      <c r="E674" s="6" t="n">
        <v>660</v>
      </c>
      <c r="F674" s="6" t="n">
        <v>766</v>
      </c>
      <c r="G674" s="7" t="n">
        <f aca="false">F674-E674</f>
        <v>106</v>
      </c>
      <c r="H674" s="8" t="n">
        <f aca="false">IF(E674=0,0,F674/E674-1)</f>
        <v>0.160606060606061</v>
      </c>
      <c r="I674" s="3" t="s">
        <v>775</v>
      </c>
    </row>
    <row r="675" customFormat="false" ht="15" hidden="false" customHeight="false" outlineLevel="0" collapsed="false">
      <c r="A675" s="3" t="s">
        <v>776</v>
      </c>
      <c r="B675" s="3" t="s">
        <v>23</v>
      </c>
      <c r="C675" s="3" t="s">
        <v>24</v>
      </c>
      <c r="D675" s="3" t="n">
        <v>1</v>
      </c>
      <c r="E675" s="6" t="n">
        <v>149.99</v>
      </c>
      <c r="F675" s="6" t="n">
        <v>183</v>
      </c>
      <c r="G675" s="7" t="n">
        <f aca="false">F675-E675</f>
        <v>33.01</v>
      </c>
      <c r="H675" s="8" t="n">
        <f aca="false">IF(E675=0,0,F675/E675-1)</f>
        <v>0.220081338755917</v>
      </c>
      <c r="I675" s="3" t="s">
        <v>27</v>
      </c>
    </row>
    <row r="676" customFormat="false" ht="15" hidden="false" customHeight="false" outlineLevel="0" collapsed="false">
      <c r="A676" s="3" t="s">
        <v>777</v>
      </c>
      <c r="B676" s="3" t="s">
        <v>23</v>
      </c>
      <c r="C676" s="3" t="s">
        <v>24</v>
      </c>
      <c r="D676" s="3" t="n">
        <v>1</v>
      </c>
      <c r="E676" s="6" t="n">
        <v>39.99</v>
      </c>
      <c r="F676" s="6" t="n">
        <v>49</v>
      </c>
      <c r="G676" s="7" t="n">
        <f aca="false">F676-E676</f>
        <v>9.01</v>
      </c>
      <c r="H676" s="8" t="n">
        <f aca="false">IF(E676=0,0,F676/E676-1)</f>
        <v>0.225306326581645</v>
      </c>
      <c r="I676" s="3" t="s">
        <v>27</v>
      </c>
    </row>
    <row r="677" customFormat="false" ht="15" hidden="false" customHeight="false" outlineLevel="0" collapsed="false">
      <c r="A677" s="3" t="s">
        <v>778</v>
      </c>
      <c r="B677" s="3" t="s">
        <v>23</v>
      </c>
      <c r="C677" s="3" t="s">
        <v>24</v>
      </c>
      <c r="D677" s="3" t="n">
        <v>1</v>
      </c>
      <c r="E677" s="6" t="n">
        <v>639</v>
      </c>
      <c r="F677" s="6" t="n">
        <v>780</v>
      </c>
      <c r="G677" s="7" t="n">
        <f aca="false">F677-E677</f>
        <v>141</v>
      </c>
      <c r="H677" s="8" t="n">
        <f aca="false">IF(E677=0,0,F677/E677-1)</f>
        <v>0.220657276995305</v>
      </c>
      <c r="I677" s="3" t="s">
        <v>27</v>
      </c>
    </row>
    <row r="678" customFormat="false" ht="15" hidden="false" customHeight="false" outlineLevel="0" collapsed="false">
      <c r="A678" s="3" t="s">
        <v>779</v>
      </c>
      <c r="B678" s="3" t="s">
        <v>23</v>
      </c>
      <c r="C678" s="3" t="s">
        <v>24</v>
      </c>
      <c r="D678" s="3" t="n">
        <v>1</v>
      </c>
      <c r="E678" s="6" t="n">
        <v>169.99</v>
      </c>
      <c r="F678" s="6" t="n">
        <v>208</v>
      </c>
      <c r="G678" s="7" t="n">
        <f aca="false">F678-E678</f>
        <v>38.01</v>
      </c>
      <c r="H678" s="8" t="n">
        <f aca="false">IF(E678=0,0,F678/E678-1)</f>
        <v>0.22360138831696</v>
      </c>
      <c r="I678" s="3" t="s">
        <v>27</v>
      </c>
    </row>
    <row r="679" customFormat="false" ht="15" hidden="false" customHeight="false" outlineLevel="0" collapsed="false">
      <c r="A679" s="3" t="s">
        <v>780</v>
      </c>
      <c r="B679" s="3" t="s">
        <v>23</v>
      </c>
      <c r="C679" s="3" t="s">
        <v>24</v>
      </c>
      <c r="D679" s="3" t="n">
        <v>1</v>
      </c>
      <c r="E679" s="6" t="n">
        <v>379.99</v>
      </c>
      <c r="F679" s="6" t="n">
        <v>464</v>
      </c>
      <c r="G679" s="7" t="n">
        <f aca="false">F679-E679</f>
        <v>84.01</v>
      </c>
      <c r="H679" s="8" t="n">
        <f aca="false">IF(E679=0,0,F679/E679-1)</f>
        <v>0.221084765388563</v>
      </c>
      <c r="I679" s="3" t="s">
        <v>486</v>
      </c>
    </row>
    <row r="680" customFormat="false" ht="15" hidden="false" customHeight="false" outlineLevel="0" collapsed="false">
      <c r="A680" s="3" t="s">
        <v>781</v>
      </c>
      <c r="B680" s="3" t="s">
        <v>23</v>
      </c>
      <c r="C680" s="3" t="s">
        <v>24</v>
      </c>
      <c r="D680" s="3" t="n">
        <v>1</v>
      </c>
      <c r="E680" s="6" t="n">
        <v>33</v>
      </c>
      <c r="F680" s="6" t="n">
        <v>40.5</v>
      </c>
      <c r="G680" s="7" t="n">
        <f aca="false">F680-E680</f>
        <v>7.5</v>
      </c>
      <c r="H680" s="8" t="n">
        <f aca="false">IF(E680=0,0,F680/E680-1)</f>
        <v>0.227272727272727</v>
      </c>
      <c r="I680" s="3" t="s">
        <v>782</v>
      </c>
    </row>
    <row r="681" customFormat="false" ht="15" hidden="false" customHeight="false" outlineLevel="0" collapsed="false">
      <c r="A681" s="3" t="s">
        <v>783</v>
      </c>
      <c r="B681" s="3" t="s">
        <v>23</v>
      </c>
      <c r="C681" s="3" t="s">
        <v>24</v>
      </c>
      <c r="D681" s="3" t="n">
        <v>1</v>
      </c>
      <c r="E681" s="6" t="n">
        <v>499.99</v>
      </c>
      <c r="F681" s="6" t="n">
        <v>610</v>
      </c>
      <c r="G681" s="7" t="n">
        <f aca="false">F681-E681</f>
        <v>110.01</v>
      </c>
      <c r="H681" s="8" t="n">
        <f aca="false">IF(E681=0,0,F681/E681-1)</f>
        <v>0.22002440048801</v>
      </c>
      <c r="I681" s="3" t="s">
        <v>27</v>
      </c>
    </row>
    <row r="682" customFormat="false" ht="15" hidden="false" customHeight="false" outlineLevel="0" collapsed="false">
      <c r="A682" s="3" t="s">
        <v>784</v>
      </c>
      <c r="B682" s="3" t="s">
        <v>23</v>
      </c>
      <c r="C682" s="3" t="s">
        <v>179</v>
      </c>
      <c r="D682" s="3" t="n">
        <v>1</v>
      </c>
      <c r="E682" s="6" t="n">
        <v>625</v>
      </c>
      <c r="F682" s="6" t="n">
        <v>763</v>
      </c>
      <c r="G682" s="7" t="n">
        <f aca="false">F682-E682</f>
        <v>138</v>
      </c>
      <c r="H682" s="8" t="n">
        <f aca="false">IF(E682=0,0,F682/E682-1)</f>
        <v>0.2208</v>
      </c>
      <c r="I682" s="3" t="s">
        <v>785</v>
      </c>
    </row>
    <row r="683" customFormat="false" ht="15" hidden="false" customHeight="false" outlineLevel="0" collapsed="false">
      <c r="A683" s="3" t="s">
        <v>786</v>
      </c>
      <c r="B683" s="3" t="s">
        <v>23</v>
      </c>
      <c r="C683" s="3" t="s">
        <v>24</v>
      </c>
      <c r="D683" s="3" t="n">
        <v>1</v>
      </c>
      <c r="E683" s="6" t="n">
        <v>400</v>
      </c>
      <c r="F683" s="6" t="n">
        <v>488</v>
      </c>
      <c r="G683" s="7" t="n">
        <f aca="false">F683-E683</f>
        <v>88</v>
      </c>
      <c r="H683" s="8" t="n">
        <f aca="false">IF(E683=0,0,F683/E683-1)</f>
        <v>0.22</v>
      </c>
      <c r="I683" s="3" t="s">
        <v>787</v>
      </c>
    </row>
    <row r="684" customFormat="false" ht="15" hidden="false" customHeight="false" outlineLevel="0" collapsed="false">
      <c r="A684" s="3" t="s">
        <v>788</v>
      </c>
      <c r="B684" s="3" t="s">
        <v>23</v>
      </c>
      <c r="C684" s="3" t="s">
        <v>24</v>
      </c>
      <c r="D684" s="3" t="n">
        <v>1</v>
      </c>
      <c r="E684" s="6" t="n">
        <v>9</v>
      </c>
      <c r="F684" s="6" t="n">
        <v>11</v>
      </c>
      <c r="G684" s="7" t="n">
        <f aca="false">F684-E684</f>
        <v>2</v>
      </c>
      <c r="H684" s="8" t="n">
        <f aca="false">IF(E684=0,0,F684/E684-1)</f>
        <v>0.222222222222222</v>
      </c>
      <c r="I684" s="3" t="s">
        <v>27</v>
      </c>
    </row>
    <row r="685" customFormat="false" ht="15" hidden="false" customHeight="false" outlineLevel="0" collapsed="false">
      <c r="A685" s="3" t="s">
        <v>789</v>
      </c>
      <c r="B685" s="3" t="s">
        <v>23</v>
      </c>
      <c r="C685" s="3" t="s">
        <v>24</v>
      </c>
      <c r="D685" s="3" t="n">
        <v>1</v>
      </c>
      <c r="E685" s="6" t="n">
        <v>42.75</v>
      </c>
      <c r="F685" s="6" t="n">
        <v>52.5</v>
      </c>
      <c r="G685" s="7" t="n">
        <f aca="false">F685-E685</f>
        <v>9.75</v>
      </c>
      <c r="H685" s="8" t="n">
        <f aca="false">IF(E685=0,0,F685/E685-1)</f>
        <v>0.228070175438597</v>
      </c>
      <c r="I685" s="3" t="s">
        <v>27</v>
      </c>
    </row>
    <row r="686" customFormat="false" ht="15" hidden="false" customHeight="false" outlineLevel="0" collapsed="false">
      <c r="A686" s="3" t="s">
        <v>790</v>
      </c>
      <c r="B686" s="3" t="s">
        <v>23</v>
      </c>
      <c r="C686" s="3" t="s">
        <v>24</v>
      </c>
      <c r="D686" s="3" t="n">
        <v>1</v>
      </c>
      <c r="E686" s="6" t="n">
        <v>289</v>
      </c>
      <c r="F686" s="6" t="n">
        <v>353</v>
      </c>
      <c r="G686" s="7" t="n">
        <f aca="false">F686-E686</f>
        <v>64</v>
      </c>
      <c r="H686" s="8" t="n">
        <f aca="false">IF(E686=0,0,F686/E686-1)</f>
        <v>0.221453287197232</v>
      </c>
      <c r="I686" s="3" t="s">
        <v>27</v>
      </c>
    </row>
    <row r="687" customFormat="false" ht="15" hidden="false" customHeight="false" outlineLevel="0" collapsed="false">
      <c r="A687" s="3" t="s">
        <v>791</v>
      </c>
      <c r="B687" s="3" t="s">
        <v>23</v>
      </c>
      <c r="C687" s="3" t="s">
        <v>24</v>
      </c>
      <c r="D687" s="3" t="n">
        <v>1</v>
      </c>
      <c r="E687" s="6" t="n">
        <v>249.99</v>
      </c>
      <c r="F687" s="6" t="n">
        <v>305</v>
      </c>
      <c r="G687" s="7" t="n">
        <f aca="false">F687-E687</f>
        <v>55.01</v>
      </c>
      <c r="H687" s="8" t="n">
        <f aca="false">IF(E687=0,0,F687/E687-1)</f>
        <v>0.220048801952078</v>
      </c>
      <c r="I687" s="3" t="s">
        <v>27</v>
      </c>
    </row>
    <row r="688" customFormat="false" ht="15" hidden="false" customHeight="false" outlineLevel="0" collapsed="false">
      <c r="A688" s="3" t="s">
        <v>792</v>
      </c>
      <c r="B688" s="3" t="s">
        <v>23</v>
      </c>
      <c r="C688" s="3" t="s">
        <v>24</v>
      </c>
      <c r="D688" s="3" t="n">
        <v>1</v>
      </c>
      <c r="E688" s="6" t="n">
        <v>99.99</v>
      </c>
      <c r="F688" s="6" t="n">
        <v>122</v>
      </c>
      <c r="G688" s="7" t="n">
        <f aca="false">F688-E688</f>
        <v>22.01</v>
      </c>
      <c r="H688" s="8" t="n">
        <f aca="false">IF(E688=0,0,F688/E688-1)</f>
        <v>0.22012201220122</v>
      </c>
      <c r="I688" s="3" t="s">
        <v>27</v>
      </c>
    </row>
    <row r="689" customFormat="false" ht="15" hidden="false" customHeight="false" outlineLevel="0" collapsed="false">
      <c r="A689" s="3" t="s">
        <v>793</v>
      </c>
      <c r="B689" s="3" t="s">
        <v>23</v>
      </c>
      <c r="C689" s="3" t="s">
        <v>24</v>
      </c>
      <c r="D689" s="3" t="n">
        <v>1</v>
      </c>
      <c r="E689" s="6" t="n">
        <v>349.99</v>
      </c>
      <c r="F689" s="6" t="n">
        <v>427</v>
      </c>
      <c r="G689" s="7" t="n">
        <f aca="false">F689-E689</f>
        <v>77.01</v>
      </c>
      <c r="H689" s="8" t="n">
        <f aca="false">IF(E689=0,0,F689/E689-1)</f>
        <v>0.220034858138804</v>
      </c>
      <c r="I689" s="3" t="s">
        <v>27</v>
      </c>
    </row>
    <row r="690" customFormat="false" ht="15" hidden="false" customHeight="false" outlineLevel="0" collapsed="false">
      <c r="A690" s="3" t="s">
        <v>794</v>
      </c>
      <c r="B690" s="3" t="s">
        <v>23</v>
      </c>
      <c r="C690" s="3" t="s">
        <v>24</v>
      </c>
      <c r="D690" s="3" t="n">
        <v>1</v>
      </c>
      <c r="E690" s="6" t="n">
        <v>124.33</v>
      </c>
      <c r="F690" s="6" t="n">
        <v>152</v>
      </c>
      <c r="G690" s="7" t="n">
        <f aca="false">F690-E690</f>
        <v>27.67</v>
      </c>
      <c r="H690" s="8" t="n">
        <f aca="false">IF(E690=0,0,F690/E690-1)</f>
        <v>0.222552883455321</v>
      </c>
      <c r="I690" s="3" t="s">
        <v>27</v>
      </c>
    </row>
    <row r="691" customFormat="false" ht="15" hidden="false" customHeight="false" outlineLevel="0" collapsed="false">
      <c r="A691" s="3" t="s">
        <v>795</v>
      </c>
      <c r="B691" s="3" t="s">
        <v>23</v>
      </c>
      <c r="C691" s="3" t="s">
        <v>24</v>
      </c>
      <c r="D691" s="3" t="n">
        <v>1</v>
      </c>
      <c r="E691" s="6" t="n">
        <v>225</v>
      </c>
      <c r="F691" s="6" t="n">
        <v>275</v>
      </c>
      <c r="G691" s="7" t="n">
        <f aca="false">F691-E691</f>
        <v>50</v>
      </c>
      <c r="H691" s="8" t="n">
        <f aca="false">IF(E691=0,0,F691/E691-1)</f>
        <v>0.222222222222222</v>
      </c>
      <c r="I691" s="3" t="s">
        <v>27</v>
      </c>
    </row>
    <row r="692" customFormat="false" ht="15" hidden="false" customHeight="false" outlineLevel="0" collapsed="false">
      <c r="A692" s="3" t="s">
        <v>796</v>
      </c>
      <c r="B692" s="3" t="s">
        <v>23</v>
      </c>
      <c r="C692" s="3" t="s">
        <v>24</v>
      </c>
      <c r="D692" s="3" t="n">
        <v>1</v>
      </c>
      <c r="E692" s="6" t="n">
        <v>219.99</v>
      </c>
      <c r="F692" s="6" t="n">
        <v>269</v>
      </c>
      <c r="G692" s="7" t="n">
        <f aca="false">F692-E692</f>
        <v>49.01</v>
      </c>
      <c r="H692" s="8" t="n">
        <f aca="false">IF(E692=0,0,F692/E692-1)</f>
        <v>0.22278285376608</v>
      </c>
      <c r="I692" s="3" t="s">
        <v>27</v>
      </c>
    </row>
    <row r="693" customFormat="false" ht="15" hidden="false" customHeight="false" outlineLevel="0" collapsed="false">
      <c r="A693" s="3" t="s">
        <v>797</v>
      </c>
      <c r="B693" s="3" t="s">
        <v>23</v>
      </c>
      <c r="C693" s="3" t="s">
        <v>24</v>
      </c>
      <c r="D693" s="3" t="n">
        <v>1</v>
      </c>
      <c r="E693" s="6" t="n">
        <v>23</v>
      </c>
      <c r="F693" s="6" t="n">
        <v>28.5</v>
      </c>
      <c r="G693" s="7" t="n">
        <f aca="false">F693-E693</f>
        <v>5.5</v>
      </c>
      <c r="H693" s="8" t="n">
        <f aca="false">IF(E693=0,0,F693/E693-1)</f>
        <v>0.239130434782609</v>
      </c>
      <c r="I693" s="3" t="s">
        <v>27</v>
      </c>
    </row>
    <row r="694" customFormat="false" ht="15" hidden="false" customHeight="false" outlineLevel="0" collapsed="false">
      <c r="A694" s="3" t="s">
        <v>798</v>
      </c>
      <c r="B694" s="3" t="s">
        <v>23</v>
      </c>
      <c r="C694" s="3" t="s">
        <v>24</v>
      </c>
      <c r="D694" s="3" t="n">
        <v>1</v>
      </c>
      <c r="E694" s="6" t="n">
        <v>449.99</v>
      </c>
      <c r="F694" s="6" t="n">
        <v>549</v>
      </c>
      <c r="G694" s="7" t="n">
        <f aca="false">F694-E694</f>
        <v>99.01</v>
      </c>
      <c r="H694" s="8" t="n">
        <f aca="false">IF(E694=0,0,F694/E694-1)</f>
        <v>0.220027111713594</v>
      </c>
      <c r="I694" s="3" t="s">
        <v>27</v>
      </c>
    </row>
    <row r="695" customFormat="false" ht="15" hidden="false" customHeight="false" outlineLevel="0" collapsed="false">
      <c r="A695" s="3" t="s">
        <v>799</v>
      </c>
      <c r="B695" s="3" t="s">
        <v>23</v>
      </c>
      <c r="C695" s="3" t="s">
        <v>179</v>
      </c>
      <c r="D695" s="3" t="n">
        <v>3</v>
      </c>
      <c r="E695" s="6" t="n">
        <v>560</v>
      </c>
      <c r="F695" s="6" t="n">
        <v>650</v>
      </c>
      <c r="G695" s="7" t="n">
        <f aca="false">F695-E695</f>
        <v>90</v>
      </c>
      <c r="H695" s="8" t="n">
        <f aca="false">IF(E695=0,0,F695/E695-1)</f>
        <v>0.160714285714286</v>
      </c>
      <c r="I695" s="3" t="s">
        <v>800</v>
      </c>
    </row>
    <row r="696" customFormat="false" ht="15" hidden="false" customHeight="false" outlineLevel="0" collapsed="false">
      <c r="A696" s="3" t="s">
        <v>801</v>
      </c>
      <c r="B696" s="3" t="s">
        <v>23</v>
      </c>
      <c r="C696" s="3" t="s">
        <v>24</v>
      </c>
      <c r="D696" s="3" t="n">
        <v>1</v>
      </c>
      <c r="E696" s="6" t="n">
        <v>39.99</v>
      </c>
      <c r="F696" s="6" t="n">
        <v>49</v>
      </c>
      <c r="G696" s="7" t="n">
        <f aca="false">F696-E696</f>
        <v>9.01</v>
      </c>
      <c r="H696" s="8" t="n">
        <f aca="false">IF(E696=0,0,F696/E696-1)</f>
        <v>0.225306326581645</v>
      </c>
      <c r="I696" s="3" t="s">
        <v>27</v>
      </c>
    </row>
    <row r="697" customFormat="false" ht="15" hidden="false" customHeight="false" outlineLevel="0" collapsed="false">
      <c r="A697" s="3" t="s">
        <v>802</v>
      </c>
      <c r="B697" s="3" t="s">
        <v>23</v>
      </c>
      <c r="C697" s="3" t="s">
        <v>24</v>
      </c>
      <c r="D697" s="3" t="n">
        <v>1</v>
      </c>
      <c r="E697" s="6" t="n">
        <v>99.99</v>
      </c>
      <c r="F697" s="6" t="n">
        <v>122</v>
      </c>
      <c r="G697" s="7" t="n">
        <f aca="false">F697-E697</f>
        <v>22.01</v>
      </c>
      <c r="H697" s="8" t="n">
        <f aca="false">IF(E697=0,0,F697/E697-1)</f>
        <v>0.22012201220122</v>
      </c>
      <c r="I697" s="3" t="s">
        <v>27</v>
      </c>
    </row>
    <row r="698" customFormat="false" ht="15" hidden="false" customHeight="false" outlineLevel="0" collapsed="false">
      <c r="A698" s="3" t="s">
        <v>803</v>
      </c>
      <c r="B698" s="3" t="s">
        <v>23</v>
      </c>
      <c r="C698" s="3" t="s">
        <v>24</v>
      </c>
      <c r="D698" s="3" t="n">
        <v>1</v>
      </c>
      <c r="E698" s="6" t="n">
        <v>29.99</v>
      </c>
      <c r="F698" s="6" t="n">
        <v>37</v>
      </c>
      <c r="G698" s="7" t="n">
        <f aca="false">F698-E698</f>
        <v>7.01</v>
      </c>
      <c r="H698" s="8" t="n">
        <f aca="false">IF(E698=0,0,F698/E698-1)</f>
        <v>0.233744581527176</v>
      </c>
      <c r="I698" s="3" t="s">
        <v>27</v>
      </c>
    </row>
    <row r="699" customFormat="false" ht="15" hidden="false" customHeight="false" outlineLevel="0" collapsed="false">
      <c r="A699" s="3" t="s">
        <v>804</v>
      </c>
      <c r="B699" s="3" t="s">
        <v>23</v>
      </c>
      <c r="C699" s="3" t="s">
        <v>24</v>
      </c>
      <c r="D699" s="3" t="n">
        <v>3</v>
      </c>
      <c r="E699" s="6" t="n">
        <v>1280</v>
      </c>
      <c r="F699" s="6" t="n">
        <v>1485</v>
      </c>
      <c r="G699" s="7" t="n">
        <f aca="false">F699-E699</f>
        <v>205</v>
      </c>
      <c r="H699" s="8" t="n">
        <f aca="false">IF(E699=0,0,F699/E699-1)</f>
        <v>0.16015625</v>
      </c>
      <c r="I699" s="3" t="s">
        <v>38</v>
      </c>
    </row>
    <row r="700" customFormat="false" ht="15" hidden="false" customHeight="false" outlineLevel="0" collapsed="false">
      <c r="A700" s="3" t="s">
        <v>805</v>
      </c>
      <c r="B700" s="3" t="s">
        <v>23</v>
      </c>
      <c r="C700" s="3" t="s">
        <v>24</v>
      </c>
      <c r="D700" s="3" t="n">
        <v>1</v>
      </c>
      <c r="E700" s="6" t="n">
        <v>119.99</v>
      </c>
      <c r="F700" s="6" t="n">
        <v>147</v>
      </c>
      <c r="G700" s="7" t="n">
        <f aca="false">F700-E700</f>
        <v>27.01</v>
      </c>
      <c r="H700" s="8" t="n">
        <f aca="false">IF(E700=0,0,F700/E700-1)</f>
        <v>0.225102091840987</v>
      </c>
      <c r="I700" s="3" t="s">
        <v>542</v>
      </c>
    </row>
    <row r="701" customFormat="false" ht="15" hidden="false" customHeight="false" outlineLevel="0" collapsed="false">
      <c r="A701" s="3" t="s">
        <v>806</v>
      </c>
      <c r="B701" s="3" t="s">
        <v>23</v>
      </c>
      <c r="C701" s="3" t="s">
        <v>24</v>
      </c>
      <c r="D701" s="3" t="n">
        <v>1</v>
      </c>
      <c r="E701" s="6" t="n">
        <v>24.99</v>
      </c>
      <c r="F701" s="6" t="n">
        <v>30.5</v>
      </c>
      <c r="G701" s="7" t="n">
        <f aca="false">F701-E701</f>
        <v>5.51</v>
      </c>
      <c r="H701" s="8" t="n">
        <f aca="false">IF(E701=0,0,F701/E701-1)</f>
        <v>0.220488195278111</v>
      </c>
      <c r="I701" s="3" t="s">
        <v>27</v>
      </c>
    </row>
    <row r="702" customFormat="false" ht="15" hidden="false" customHeight="false" outlineLevel="0" collapsed="false">
      <c r="A702" s="3" t="s">
        <v>807</v>
      </c>
      <c r="B702" s="3" t="s">
        <v>23</v>
      </c>
      <c r="C702" s="3" t="s">
        <v>24</v>
      </c>
      <c r="D702" s="3" t="n">
        <v>1</v>
      </c>
      <c r="E702" s="6" t="n">
        <v>699.99</v>
      </c>
      <c r="F702" s="6" t="n">
        <v>854</v>
      </c>
      <c r="G702" s="7" t="n">
        <f aca="false">F702-E702</f>
        <v>154.01</v>
      </c>
      <c r="H702" s="8" t="n">
        <f aca="false">IF(E702=0,0,F702/E702-1)</f>
        <v>0.220017428820412</v>
      </c>
      <c r="I702" s="3" t="s">
        <v>27</v>
      </c>
    </row>
    <row r="703" customFormat="false" ht="15" hidden="false" customHeight="false" outlineLevel="0" collapsed="false">
      <c r="A703" s="3" t="s">
        <v>808</v>
      </c>
      <c r="B703" s="3" t="s">
        <v>23</v>
      </c>
      <c r="C703" s="3" t="s">
        <v>24</v>
      </c>
      <c r="D703" s="3" t="n">
        <v>5</v>
      </c>
      <c r="E703" s="6" t="n">
        <v>399.99</v>
      </c>
      <c r="F703" s="6" t="n">
        <v>408</v>
      </c>
      <c r="G703" s="7" t="n">
        <f aca="false">F703-E703</f>
        <v>8.00999999999999</v>
      </c>
      <c r="H703" s="8" t="n">
        <f aca="false">IF(E703=0,0,F703/E703-1)</f>
        <v>0.0200255006375158</v>
      </c>
      <c r="I703" s="3" t="s">
        <v>368</v>
      </c>
    </row>
    <row r="704" customFormat="false" ht="15" hidden="false" customHeight="false" outlineLevel="0" collapsed="false">
      <c r="A704" s="3" t="s">
        <v>809</v>
      </c>
      <c r="B704" s="3" t="s">
        <v>23</v>
      </c>
      <c r="C704" s="3" t="s">
        <v>24</v>
      </c>
      <c r="D704" s="3" t="n">
        <v>1</v>
      </c>
      <c r="E704" s="6" t="n">
        <v>149.99</v>
      </c>
      <c r="F704" s="6" t="n">
        <v>183</v>
      </c>
      <c r="G704" s="7" t="n">
        <f aca="false">F704-E704</f>
        <v>33.01</v>
      </c>
      <c r="H704" s="8" t="n">
        <f aca="false">IF(E704=0,0,F704/E704-1)</f>
        <v>0.220081338755917</v>
      </c>
      <c r="I704" s="3" t="s">
        <v>27</v>
      </c>
    </row>
    <row r="705" customFormat="false" ht="15" hidden="false" customHeight="false" outlineLevel="0" collapsed="false">
      <c r="A705" s="3" t="s">
        <v>810</v>
      </c>
      <c r="B705" s="3" t="s">
        <v>23</v>
      </c>
      <c r="C705" s="3" t="s">
        <v>24</v>
      </c>
      <c r="D705" s="3" t="n">
        <v>1</v>
      </c>
      <c r="E705" s="6" t="n">
        <v>29.99</v>
      </c>
      <c r="F705" s="6" t="n">
        <v>37</v>
      </c>
      <c r="G705" s="7" t="n">
        <f aca="false">F705-E705</f>
        <v>7.01</v>
      </c>
      <c r="H705" s="8" t="n">
        <f aca="false">IF(E705=0,0,F705/E705-1)</f>
        <v>0.233744581527176</v>
      </c>
      <c r="I705" s="3" t="s">
        <v>27</v>
      </c>
    </row>
    <row r="706" customFormat="false" ht="15" hidden="false" customHeight="false" outlineLevel="0" collapsed="false">
      <c r="A706" s="3" t="s">
        <v>811</v>
      </c>
      <c r="B706" s="3" t="s">
        <v>23</v>
      </c>
      <c r="C706" s="3" t="s">
        <v>24</v>
      </c>
      <c r="D706" s="3" t="n">
        <v>1</v>
      </c>
      <c r="E706" s="6" t="n">
        <v>700</v>
      </c>
      <c r="F706" s="6" t="n">
        <v>854</v>
      </c>
      <c r="G706" s="7" t="n">
        <f aca="false">F706-E706</f>
        <v>154</v>
      </c>
      <c r="H706" s="8" t="n">
        <f aca="false">IF(E706=0,0,F706/E706-1)</f>
        <v>0.22</v>
      </c>
      <c r="I706" s="3" t="s">
        <v>27</v>
      </c>
    </row>
    <row r="707" customFormat="false" ht="15" hidden="false" customHeight="false" outlineLevel="0" collapsed="false">
      <c r="A707" s="3" t="s">
        <v>812</v>
      </c>
      <c r="B707" s="3" t="s">
        <v>23</v>
      </c>
      <c r="C707" s="3" t="s">
        <v>24</v>
      </c>
      <c r="D707" s="3" t="n">
        <v>1</v>
      </c>
      <c r="E707" s="6" t="n">
        <v>24.99</v>
      </c>
      <c r="F707" s="6" t="n">
        <v>30.5</v>
      </c>
      <c r="G707" s="7" t="n">
        <f aca="false">F707-E707</f>
        <v>5.51</v>
      </c>
      <c r="H707" s="8" t="n">
        <f aca="false">IF(E707=0,0,F707/E707-1)</f>
        <v>0.220488195278111</v>
      </c>
      <c r="I707" s="3" t="s">
        <v>27</v>
      </c>
    </row>
    <row r="708" customFormat="false" ht="15" hidden="false" customHeight="false" outlineLevel="0" collapsed="false">
      <c r="A708" s="3" t="s">
        <v>813</v>
      </c>
      <c r="B708" s="3" t="s">
        <v>23</v>
      </c>
      <c r="C708" s="3" t="s">
        <v>24</v>
      </c>
      <c r="D708" s="3" t="n">
        <v>1</v>
      </c>
      <c r="E708" s="6" t="n">
        <v>29.99</v>
      </c>
      <c r="F708" s="6" t="n">
        <v>37</v>
      </c>
      <c r="G708" s="7" t="n">
        <f aca="false">F708-E708</f>
        <v>7.01</v>
      </c>
      <c r="H708" s="8" t="n">
        <f aca="false">IF(E708=0,0,F708/E708-1)</f>
        <v>0.233744581527176</v>
      </c>
      <c r="I708" s="3" t="s">
        <v>27</v>
      </c>
    </row>
    <row r="709" customFormat="false" ht="15" hidden="false" customHeight="false" outlineLevel="0" collapsed="false">
      <c r="A709" s="3" t="s">
        <v>814</v>
      </c>
      <c r="B709" s="3" t="s">
        <v>23</v>
      </c>
      <c r="C709" s="3" t="s">
        <v>24</v>
      </c>
      <c r="D709" s="3" t="n">
        <v>1</v>
      </c>
      <c r="E709" s="6" t="n">
        <v>449.99</v>
      </c>
      <c r="F709" s="6" t="n">
        <v>549</v>
      </c>
      <c r="G709" s="7" t="n">
        <f aca="false">F709-E709</f>
        <v>99.01</v>
      </c>
      <c r="H709" s="8" t="n">
        <f aca="false">IF(E709=0,0,F709/E709-1)</f>
        <v>0.220027111713594</v>
      </c>
      <c r="I709" s="3" t="s">
        <v>205</v>
      </c>
    </row>
    <row r="710" customFormat="false" ht="15" hidden="false" customHeight="false" outlineLevel="0" collapsed="false">
      <c r="A710" s="3" t="s">
        <v>815</v>
      </c>
      <c r="B710" s="3" t="s">
        <v>23</v>
      </c>
      <c r="C710" s="3" t="s">
        <v>24</v>
      </c>
      <c r="D710" s="3" t="n">
        <v>1</v>
      </c>
      <c r="E710" s="6" t="n">
        <v>174.99</v>
      </c>
      <c r="F710" s="6" t="n">
        <v>214</v>
      </c>
      <c r="G710" s="7" t="n">
        <f aca="false">F710-E710</f>
        <v>39.01</v>
      </c>
      <c r="H710" s="8" t="n">
        <f aca="false">IF(E710=0,0,F710/E710-1)</f>
        <v>0.222927024401394</v>
      </c>
      <c r="I710" s="3" t="s">
        <v>134</v>
      </c>
    </row>
    <row r="711" customFormat="false" ht="15" hidden="false" customHeight="false" outlineLevel="0" collapsed="false">
      <c r="A711" s="3" t="s">
        <v>816</v>
      </c>
      <c r="B711" s="3" t="s">
        <v>23</v>
      </c>
      <c r="C711" s="3" t="s">
        <v>24</v>
      </c>
      <c r="D711" s="3" t="n">
        <v>1</v>
      </c>
      <c r="E711" s="6" t="n">
        <v>225</v>
      </c>
      <c r="F711" s="6" t="n">
        <v>275</v>
      </c>
      <c r="G711" s="7" t="n">
        <f aca="false">F711-E711</f>
        <v>50</v>
      </c>
      <c r="H711" s="8" t="n">
        <f aca="false">IF(E711=0,0,F711/E711-1)</f>
        <v>0.222222222222222</v>
      </c>
      <c r="I711" s="3" t="s">
        <v>27</v>
      </c>
    </row>
    <row r="712" customFormat="false" ht="15" hidden="false" customHeight="false" outlineLevel="0" collapsed="false">
      <c r="A712" s="3" t="s">
        <v>817</v>
      </c>
      <c r="B712" s="3" t="s">
        <v>23</v>
      </c>
      <c r="C712" s="3" t="s">
        <v>179</v>
      </c>
      <c r="D712" s="3" t="n">
        <v>3</v>
      </c>
      <c r="E712" s="6" t="n">
        <v>540</v>
      </c>
      <c r="F712" s="6" t="n">
        <v>627</v>
      </c>
      <c r="G712" s="7" t="n">
        <f aca="false">F712-E712</f>
        <v>87</v>
      </c>
      <c r="H712" s="8" t="n">
        <f aca="false">IF(E712=0,0,F712/E712-1)</f>
        <v>0.161111111111111</v>
      </c>
      <c r="I712" s="3" t="s">
        <v>818</v>
      </c>
    </row>
    <row r="713" customFormat="false" ht="15" hidden="false" customHeight="false" outlineLevel="0" collapsed="false">
      <c r="A713" s="3" t="s">
        <v>819</v>
      </c>
      <c r="B713" s="3" t="s">
        <v>23</v>
      </c>
      <c r="C713" s="3" t="s">
        <v>24</v>
      </c>
      <c r="D713" s="3" t="n">
        <v>3</v>
      </c>
      <c r="E713" s="6" t="n">
        <v>1970</v>
      </c>
      <c r="F713" s="6" t="n">
        <v>2290</v>
      </c>
      <c r="G713" s="7" t="n">
        <f aca="false">F713-E713</f>
        <v>320</v>
      </c>
      <c r="H713" s="8" t="n">
        <f aca="false">IF(E713=0,0,F713/E713-1)</f>
        <v>0.16243654822335</v>
      </c>
      <c r="I713" s="3" t="s">
        <v>38</v>
      </c>
    </row>
    <row r="714" customFormat="false" ht="15" hidden="false" customHeight="false" outlineLevel="0" collapsed="false">
      <c r="A714" s="3" t="s">
        <v>820</v>
      </c>
      <c r="B714" s="3" t="s">
        <v>23</v>
      </c>
      <c r="C714" s="3" t="s">
        <v>24</v>
      </c>
      <c r="D714" s="3" t="n">
        <v>1</v>
      </c>
      <c r="E714" s="6" t="n">
        <v>53.99</v>
      </c>
      <c r="F714" s="6" t="n">
        <v>66</v>
      </c>
      <c r="G714" s="7" t="n">
        <f aca="false">F714-E714</f>
        <v>12.01</v>
      </c>
      <c r="H714" s="8" t="n">
        <f aca="false">IF(E714=0,0,F714/E714-1)</f>
        <v>0.222448601592887</v>
      </c>
      <c r="I714" s="3" t="s">
        <v>27</v>
      </c>
    </row>
    <row r="715" customFormat="false" ht="15" hidden="false" customHeight="false" outlineLevel="0" collapsed="false">
      <c r="A715" s="3" t="s">
        <v>821</v>
      </c>
      <c r="B715" s="3" t="s">
        <v>23</v>
      </c>
      <c r="C715" s="3" t="s">
        <v>179</v>
      </c>
      <c r="D715" s="3" t="n">
        <v>3</v>
      </c>
      <c r="E715" s="6" t="n">
        <v>1390</v>
      </c>
      <c r="F715" s="6" t="n">
        <v>1615</v>
      </c>
      <c r="G715" s="7" t="n">
        <f aca="false">F715-E715</f>
        <v>225</v>
      </c>
      <c r="H715" s="8" t="n">
        <f aca="false">IF(E715=0,0,F715/E715-1)</f>
        <v>0.161870503597122</v>
      </c>
      <c r="I715" s="3" t="s">
        <v>822</v>
      </c>
    </row>
    <row r="716" customFormat="false" ht="15" hidden="false" customHeight="false" outlineLevel="0" collapsed="false">
      <c r="A716" s="3" t="s">
        <v>823</v>
      </c>
      <c r="B716" s="3" t="s">
        <v>23</v>
      </c>
      <c r="C716" s="3" t="s">
        <v>24</v>
      </c>
      <c r="D716" s="3" t="n">
        <v>1</v>
      </c>
      <c r="E716" s="6" t="n">
        <v>119.99</v>
      </c>
      <c r="F716" s="6" t="n">
        <v>147</v>
      </c>
      <c r="G716" s="7" t="n">
        <f aca="false">F716-E716</f>
        <v>27.01</v>
      </c>
      <c r="H716" s="8" t="n">
        <f aca="false">IF(E716=0,0,F716/E716-1)</f>
        <v>0.225102091840987</v>
      </c>
      <c r="I716" s="3" t="s">
        <v>27</v>
      </c>
    </row>
    <row r="717" customFormat="false" ht="15" hidden="false" customHeight="false" outlineLevel="0" collapsed="false">
      <c r="A717" s="3" t="s">
        <v>824</v>
      </c>
      <c r="B717" s="3" t="s">
        <v>23</v>
      </c>
      <c r="C717" s="3" t="s">
        <v>24</v>
      </c>
      <c r="D717" s="3" t="n">
        <v>1</v>
      </c>
      <c r="E717" s="6" t="n">
        <v>45</v>
      </c>
      <c r="F717" s="6" t="n">
        <v>55</v>
      </c>
      <c r="G717" s="7" t="n">
        <f aca="false">F717-E717</f>
        <v>10</v>
      </c>
      <c r="H717" s="8" t="n">
        <f aca="false">IF(E717=0,0,F717/E717-1)</f>
        <v>0.222222222222222</v>
      </c>
      <c r="I717" s="3" t="s">
        <v>27</v>
      </c>
    </row>
    <row r="718" customFormat="false" ht="15" hidden="false" customHeight="false" outlineLevel="0" collapsed="false">
      <c r="A718" s="3" t="s">
        <v>825</v>
      </c>
      <c r="B718" s="3" t="s">
        <v>23</v>
      </c>
      <c r="C718" s="3" t="s">
        <v>24</v>
      </c>
      <c r="D718" s="3" t="n">
        <v>1</v>
      </c>
      <c r="E718" s="6" t="n">
        <v>39.99</v>
      </c>
      <c r="F718" s="6" t="n">
        <v>49</v>
      </c>
      <c r="G718" s="7" t="n">
        <f aca="false">F718-E718</f>
        <v>9.01</v>
      </c>
      <c r="H718" s="8" t="n">
        <f aca="false">IF(E718=0,0,F718/E718-1)</f>
        <v>0.225306326581645</v>
      </c>
      <c r="I718" s="3" t="s">
        <v>27</v>
      </c>
    </row>
    <row r="719" customFormat="false" ht="15" hidden="false" customHeight="false" outlineLevel="0" collapsed="false">
      <c r="A719" s="3" t="s">
        <v>826</v>
      </c>
      <c r="B719" s="3" t="s">
        <v>23</v>
      </c>
      <c r="C719" s="3" t="s">
        <v>24</v>
      </c>
      <c r="D719" s="3" t="n">
        <v>1</v>
      </c>
      <c r="E719" s="6" t="n">
        <v>45</v>
      </c>
      <c r="F719" s="6" t="n">
        <v>55</v>
      </c>
      <c r="G719" s="7" t="n">
        <f aca="false">F719-E719</f>
        <v>10</v>
      </c>
      <c r="H719" s="8" t="n">
        <f aca="false">IF(E719=0,0,F719/E719-1)</f>
        <v>0.222222222222222</v>
      </c>
      <c r="I719" s="3" t="s">
        <v>27</v>
      </c>
    </row>
    <row r="720" customFormat="false" ht="15" hidden="false" customHeight="false" outlineLevel="0" collapsed="false">
      <c r="A720" s="3" t="s">
        <v>827</v>
      </c>
      <c r="B720" s="3" t="s">
        <v>23</v>
      </c>
      <c r="C720" s="3" t="s">
        <v>179</v>
      </c>
      <c r="D720" s="3" t="n">
        <v>3</v>
      </c>
      <c r="E720" s="6" t="n">
        <v>1225</v>
      </c>
      <c r="F720" s="6" t="n">
        <v>1425</v>
      </c>
      <c r="G720" s="7" t="n">
        <f aca="false">F720-E720</f>
        <v>200</v>
      </c>
      <c r="H720" s="8" t="n">
        <f aca="false">IF(E720=0,0,F720/E720-1)</f>
        <v>0.163265306122449</v>
      </c>
      <c r="I720" s="3" t="s">
        <v>828</v>
      </c>
    </row>
    <row r="721" customFormat="false" ht="15" hidden="false" customHeight="false" outlineLevel="0" collapsed="false">
      <c r="A721" s="3" t="s">
        <v>829</v>
      </c>
      <c r="B721" s="3" t="s">
        <v>23</v>
      </c>
      <c r="C721" s="3" t="s">
        <v>24</v>
      </c>
      <c r="D721" s="3" t="n">
        <v>1</v>
      </c>
      <c r="E721" s="6" t="n">
        <v>34.99</v>
      </c>
      <c r="F721" s="6" t="n">
        <v>43</v>
      </c>
      <c r="G721" s="7" t="n">
        <f aca="false">F721-E721</f>
        <v>8.01</v>
      </c>
      <c r="H721" s="8" t="n">
        <f aca="false">IF(E721=0,0,F721/E721-1)</f>
        <v>0.2289225492998</v>
      </c>
      <c r="I721" s="3" t="s">
        <v>27</v>
      </c>
    </row>
    <row r="722" customFormat="false" ht="15" hidden="false" customHeight="false" outlineLevel="0" collapsed="false">
      <c r="A722" s="3" t="s">
        <v>830</v>
      </c>
      <c r="B722" s="3" t="s">
        <v>23</v>
      </c>
      <c r="C722" s="3" t="s">
        <v>24</v>
      </c>
      <c r="D722" s="3" t="n">
        <v>1</v>
      </c>
      <c r="E722" s="6" t="n">
        <v>79.99</v>
      </c>
      <c r="F722" s="6" t="n">
        <v>98</v>
      </c>
      <c r="G722" s="7" t="n">
        <f aca="false">F722-E722</f>
        <v>18.01</v>
      </c>
      <c r="H722" s="8" t="n">
        <f aca="false">IF(E722=0,0,F722/E722-1)</f>
        <v>0.225153144143018</v>
      </c>
      <c r="I722" s="3" t="s">
        <v>27</v>
      </c>
    </row>
    <row r="723" customFormat="false" ht="15" hidden="false" customHeight="false" outlineLevel="0" collapsed="false">
      <c r="A723" s="3" t="s">
        <v>831</v>
      </c>
      <c r="B723" s="3" t="s">
        <v>23</v>
      </c>
      <c r="C723" s="3" t="s">
        <v>24</v>
      </c>
      <c r="D723" s="3" t="n">
        <v>1</v>
      </c>
      <c r="E723" s="6" t="n">
        <v>249.99</v>
      </c>
      <c r="F723" s="6" t="n">
        <v>305</v>
      </c>
      <c r="G723" s="7" t="n">
        <f aca="false">F723-E723</f>
        <v>55.01</v>
      </c>
      <c r="H723" s="8" t="n">
        <f aca="false">IF(E723=0,0,F723/E723-1)</f>
        <v>0.220048801952078</v>
      </c>
      <c r="I723" s="3" t="s">
        <v>27</v>
      </c>
    </row>
    <row r="724" customFormat="false" ht="15" hidden="false" customHeight="false" outlineLevel="0" collapsed="false">
      <c r="A724" s="3" t="s">
        <v>832</v>
      </c>
      <c r="B724" s="3" t="s">
        <v>23</v>
      </c>
      <c r="C724" s="3" t="s">
        <v>24</v>
      </c>
      <c r="D724" s="3" t="n">
        <v>1</v>
      </c>
      <c r="E724" s="6" t="n">
        <v>169.99</v>
      </c>
      <c r="F724" s="6" t="n">
        <v>208</v>
      </c>
      <c r="G724" s="7" t="n">
        <f aca="false">F724-E724</f>
        <v>38.01</v>
      </c>
      <c r="H724" s="8" t="n">
        <f aca="false">IF(E724=0,0,F724/E724-1)</f>
        <v>0.22360138831696</v>
      </c>
      <c r="I724" s="3" t="s">
        <v>27</v>
      </c>
    </row>
    <row r="725" customFormat="false" ht="15" hidden="false" customHeight="false" outlineLevel="0" collapsed="false">
      <c r="A725" s="3" t="s">
        <v>833</v>
      </c>
      <c r="B725" s="3" t="s">
        <v>23</v>
      </c>
      <c r="C725" s="3" t="s">
        <v>24</v>
      </c>
      <c r="D725" s="3" t="n">
        <v>1</v>
      </c>
      <c r="E725" s="6" t="n">
        <v>369</v>
      </c>
      <c r="F725" s="6" t="n">
        <v>451</v>
      </c>
      <c r="G725" s="7" t="n">
        <f aca="false">F725-E725</f>
        <v>82</v>
      </c>
      <c r="H725" s="8" t="n">
        <f aca="false">IF(E725=0,0,F725/E725-1)</f>
        <v>0.222222222222222</v>
      </c>
      <c r="I725" s="3" t="s">
        <v>27</v>
      </c>
    </row>
    <row r="726" customFormat="false" ht="15" hidden="false" customHeight="false" outlineLevel="0" collapsed="false">
      <c r="A726" s="3" t="s">
        <v>834</v>
      </c>
      <c r="B726" s="3" t="s">
        <v>23</v>
      </c>
      <c r="C726" s="3" t="s">
        <v>24</v>
      </c>
      <c r="D726" s="3" t="n">
        <v>1</v>
      </c>
      <c r="E726" s="6" t="n">
        <v>379</v>
      </c>
      <c r="F726" s="6" t="n">
        <v>463</v>
      </c>
      <c r="G726" s="7" t="n">
        <f aca="false">F726-E726</f>
        <v>84</v>
      </c>
      <c r="H726" s="8" t="n">
        <f aca="false">IF(E726=0,0,F726/E726-1)</f>
        <v>0.221635883905013</v>
      </c>
      <c r="I726" s="3" t="s">
        <v>27</v>
      </c>
    </row>
    <row r="727" customFormat="false" ht="15" hidden="false" customHeight="false" outlineLevel="0" collapsed="false">
      <c r="A727" s="3" t="s">
        <v>835</v>
      </c>
      <c r="B727" s="3" t="s">
        <v>23</v>
      </c>
      <c r="C727" s="3" t="s">
        <v>24</v>
      </c>
      <c r="D727" s="3" t="n">
        <v>1</v>
      </c>
      <c r="E727" s="6" t="n">
        <v>14.99</v>
      </c>
      <c r="F727" s="6" t="n">
        <v>18.5</v>
      </c>
      <c r="G727" s="7" t="n">
        <f aca="false">F727-E727</f>
        <v>3.51</v>
      </c>
      <c r="H727" s="8" t="n">
        <f aca="false">IF(E727=0,0,F727/E727-1)</f>
        <v>0.23415610406938</v>
      </c>
      <c r="I727" s="3" t="s">
        <v>196</v>
      </c>
    </row>
    <row r="728" customFormat="false" ht="15" hidden="false" customHeight="false" outlineLevel="0" collapsed="false">
      <c r="A728" s="3" t="s">
        <v>836</v>
      </c>
      <c r="B728" s="3" t="s">
        <v>23</v>
      </c>
      <c r="C728" s="3" t="s">
        <v>24</v>
      </c>
      <c r="D728" s="3" t="n">
        <v>4</v>
      </c>
      <c r="E728" s="6" t="n">
        <v>3400</v>
      </c>
      <c r="F728" s="6" t="n">
        <v>3910</v>
      </c>
      <c r="G728" s="7" t="n">
        <f aca="false">F728-E728</f>
        <v>510</v>
      </c>
      <c r="H728" s="8" t="n">
        <f aca="false">IF(E728=0,0,F728/E728-1)</f>
        <v>0.15</v>
      </c>
      <c r="I728" s="3" t="s">
        <v>32</v>
      </c>
    </row>
    <row r="729" customFormat="false" ht="15" hidden="false" customHeight="false" outlineLevel="0" collapsed="false">
      <c r="A729" s="3" t="s">
        <v>837</v>
      </c>
      <c r="B729" s="3" t="s">
        <v>23</v>
      </c>
      <c r="C729" s="3" t="s">
        <v>24</v>
      </c>
      <c r="D729" s="3" t="n">
        <v>1</v>
      </c>
      <c r="E729" s="6" t="n">
        <v>149.99</v>
      </c>
      <c r="F729" s="6" t="n">
        <v>183</v>
      </c>
      <c r="G729" s="7" t="n">
        <f aca="false">F729-E729</f>
        <v>33.01</v>
      </c>
      <c r="H729" s="8" t="n">
        <f aca="false">IF(E729=0,0,F729/E729-1)</f>
        <v>0.220081338755917</v>
      </c>
      <c r="I729" s="3" t="s">
        <v>27</v>
      </c>
    </row>
    <row r="730" customFormat="false" ht="15" hidden="false" customHeight="false" outlineLevel="0" collapsed="false">
      <c r="A730" s="3" t="s">
        <v>838</v>
      </c>
      <c r="B730" s="3" t="s">
        <v>23</v>
      </c>
      <c r="C730" s="3" t="s">
        <v>24</v>
      </c>
      <c r="D730" s="3" t="n">
        <v>1</v>
      </c>
      <c r="E730" s="6" t="n">
        <v>7.05</v>
      </c>
      <c r="F730" s="6" t="n">
        <v>9</v>
      </c>
      <c r="G730" s="7" t="n">
        <f aca="false">F730-E730</f>
        <v>1.95</v>
      </c>
      <c r="H730" s="8" t="n">
        <f aca="false">IF(E730=0,0,F730/E730-1)</f>
        <v>0.276595744680851</v>
      </c>
      <c r="I730" s="3" t="s">
        <v>27</v>
      </c>
    </row>
    <row r="731" customFormat="false" ht="15" hidden="false" customHeight="false" outlineLevel="0" collapsed="false">
      <c r="A731" s="3" t="s">
        <v>839</v>
      </c>
      <c r="B731" s="3" t="s">
        <v>23</v>
      </c>
      <c r="C731" s="3" t="s">
        <v>24</v>
      </c>
      <c r="D731" s="3" t="n">
        <v>1</v>
      </c>
      <c r="E731" s="6" t="n">
        <v>44.99</v>
      </c>
      <c r="F731" s="6" t="n">
        <v>55</v>
      </c>
      <c r="G731" s="7" t="n">
        <f aca="false">F731-E731</f>
        <v>10.01</v>
      </c>
      <c r="H731" s="8" t="n">
        <f aca="false">IF(E731=0,0,F731/E731-1)</f>
        <v>0.222493887530562</v>
      </c>
      <c r="I731" s="3" t="s">
        <v>678</v>
      </c>
    </row>
    <row r="732" customFormat="false" ht="15" hidden="false" customHeight="false" outlineLevel="0" collapsed="false">
      <c r="A732" s="3" t="s">
        <v>840</v>
      </c>
      <c r="B732" s="3" t="s">
        <v>23</v>
      </c>
      <c r="C732" s="3" t="s">
        <v>24</v>
      </c>
      <c r="D732" s="3" t="n">
        <v>1</v>
      </c>
      <c r="E732" s="6" t="n">
        <v>28.2</v>
      </c>
      <c r="F732" s="6" t="n">
        <v>34.5</v>
      </c>
      <c r="G732" s="7" t="n">
        <f aca="false">F732-E732</f>
        <v>6.3</v>
      </c>
      <c r="H732" s="8" t="n">
        <f aca="false">IF(E732=0,0,F732/E732-1)</f>
        <v>0.223404255319149</v>
      </c>
      <c r="I732" s="3" t="s">
        <v>27</v>
      </c>
    </row>
    <row r="733" customFormat="false" ht="15" hidden="false" customHeight="false" outlineLevel="0" collapsed="false">
      <c r="A733" s="3" t="s">
        <v>841</v>
      </c>
      <c r="B733" s="3" t="s">
        <v>23</v>
      </c>
      <c r="C733" s="3" t="s">
        <v>24</v>
      </c>
      <c r="D733" s="3" t="n">
        <v>1</v>
      </c>
      <c r="E733" s="6" t="n">
        <v>49.05</v>
      </c>
      <c r="F733" s="6" t="n">
        <v>60</v>
      </c>
      <c r="G733" s="7" t="n">
        <f aca="false">F733-E733</f>
        <v>10.95</v>
      </c>
      <c r="H733" s="8" t="n">
        <f aca="false">IF(E733=0,0,F733/E733-1)</f>
        <v>0.223241590214067</v>
      </c>
      <c r="I733" s="3" t="s">
        <v>27</v>
      </c>
    </row>
    <row r="734" customFormat="false" ht="15" hidden="false" customHeight="false" outlineLevel="0" collapsed="false">
      <c r="A734" s="3" t="s">
        <v>842</v>
      </c>
      <c r="B734" s="3" t="s">
        <v>23</v>
      </c>
      <c r="C734" s="3" t="s">
        <v>24</v>
      </c>
      <c r="D734" s="3" t="n">
        <v>1</v>
      </c>
      <c r="E734" s="6" t="n">
        <v>619</v>
      </c>
      <c r="F734" s="6" t="n">
        <v>756</v>
      </c>
      <c r="G734" s="7" t="n">
        <f aca="false">F734-E734</f>
        <v>137</v>
      </c>
      <c r="H734" s="8" t="n">
        <f aca="false">IF(E734=0,0,F734/E734-1)</f>
        <v>0.221324717285945</v>
      </c>
      <c r="I734" s="3" t="s">
        <v>27</v>
      </c>
    </row>
    <row r="735" customFormat="false" ht="15" hidden="false" customHeight="false" outlineLevel="0" collapsed="false">
      <c r="A735" s="3" t="s">
        <v>843</v>
      </c>
      <c r="B735" s="3" t="s">
        <v>23</v>
      </c>
      <c r="C735" s="3" t="s">
        <v>24</v>
      </c>
      <c r="D735" s="3" t="n">
        <v>1</v>
      </c>
      <c r="E735" s="6" t="n">
        <v>349.99</v>
      </c>
      <c r="F735" s="6" t="n">
        <v>427</v>
      </c>
      <c r="G735" s="7" t="n">
        <f aca="false">F735-E735</f>
        <v>77.01</v>
      </c>
      <c r="H735" s="8" t="n">
        <f aca="false">IF(E735=0,0,F735/E735-1)</f>
        <v>0.220034858138804</v>
      </c>
      <c r="I735" s="3" t="s">
        <v>844</v>
      </c>
    </row>
    <row r="736" customFormat="false" ht="15" hidden="false" customHeight="false" outlineLevel="0" collapsed="false">
      <c r="A736" s="3" t="s">
        <v>845</v>
      </c>
      <c r="B736" s="3" t="s">
        <v>23</v>
      </c>
      <c r="C736" s="3" t="s">
        <v>24</v>
      </c>
      <c r="D736" s="3" t="n">
        <v>1</v>
      </c>
      <c r="E736" s="6" t="n">
        <v>79.99</v>
      </c>
      <c r="F736" s="6" t="n">
        <v>98</v>
      </c>
      <c r="G736" s="7" t="n">
        <f aca="false">F736-E736</f>
        <v>18.01</v>
      </c>
      <c r="H736" s="8" t="n">
        <f aca="false">IF(E736=0,0,F736/E736-1)</f>
        <v>0.225153144143018</v>
      </c>
      <c r="I736" s="3" t="s">
        <v>225</v>
      </c>
    </row>
    <row r="737" customFormat="false" ht="15" hidden="false" customHeight="false" outlineLevel="0" collapsed="false">
      <c r="A737" s="3" t="s">
        <v>846</v>
      </c>
      <c r="B737" s="3" t="s">
        <v>23</v>
      </c>
      <c r="C737" s="3" t="s">
        <v>24</v>
      </c>
      <c r="D737" s="3" t="n">
        <v>1</v>
      </c>
      <c r="E737" s="6" t="n">
        <v>139</v>
      </c>
      <c r="F737" s="6" t="n">
        <v>170</v>
      </c>
      <c r="G737" s="7" t="n">
        <f aca="false">F737-E737</f>
        <v>31</v>
      </c>
      <c r="H737" s="8" t="n">
        <f aca="false">IF(E737=0,0,F737/E737-1)</f>
        <v>0.223021582733813</v>
      </c>
      <c r="I737" s="3" t="s">
        <v>27</v>
      </c>
    </row>
    <row r="738" customFormat="false" ht="15" hidden="false" customHeight="false" outlineLevel="0" collapsed="false">
      <c r="A738" s="3" t="s">
        <v>847</v>
      </c>
      <c r="B738" s="3" t="s">
        <v>23</v>
      </c>
      <c r="C738" s="3" t="s">
        <v>24</v>
      </c>
      <c r="D738" s="3" t="n">
        <v>1</v>
      </c>
      <c r="E738" s="6" t="n">
        <v>29.99</v>
      </c>
      <c r="F738" s="6" t="n">
        <v>37</v>
      </c>
      <c r="G738" s="7" t="n">
        <f aca="false">F738-E738</f>
        <v>7.01</v>
      </c>
      <c r="H738" s="8" t="n">
        <f aca="false">IF(E738=0,0,F738/E738-1)</f>
        <v>0.233744581527176</v>
      </c>
      <c r="I738" s="3" t="s">
        <v>27</v>
      </c>
    </row>
    <row r="739" customFormat="false" ht="15" hidden="false" customHeight="false" outlineLevel="0" collapsed="false">
      <c r="A739" s="3" t="s">
        <v>848</v>
      </c>
      <c r="B739" s="3" t="s">
        <v>23</v>
      </c>
      <c r="C739" s="3" t="s">
        <v>24</v>
      </c>
      <c r="D739" s="3" t="n">
        <v>2</v>
      </c>
      <c r="E739" s="6" t="n">
        <v>1012</v>
      </c>
      <c r="F739" s="6" t="n">
        <v>1195</v>
      </c>
      <c r="G739" s="7" t="n">
        <f aca="false">F739-E739</f>
        <v>183</v>
      </c>
      <c r="H739" s="8" t="n">
        <f aca="false">IF(E739=0,0,F739/E739-1)</f>
        <v>0.180830039525692</v>
      </c>
      <c r="I739" s="3" t="s">
        <v>185</v>
      </c>
    </row>
    <row r="740" customFormat="false" ht="15" hidden="false" customHeight="false" outlineLevel="0" collapsed="false">
      <c r="A740" s="3" t="s">
        <v>849</v>
      </c>
      <c r="B740" s="3" t="s">
        <v>23</v>
      </c>
      <c r="C740" s="3" t="s">
        <v>24</v>
      </c>
      <c r="D740" s="3" t="n">
        <v>2</v>
      </c>
      <c r="E740" s="6" t="n">
        <v>34.99</v>
      </c>
      <c r="F740" s="6" t="n">
        <v>41.5</v>
      </c>
      <c r="G740" s="7" t="n">
        <f aca="false">F740-E740</f>
        <v>6.51</v>
      </c>
      <c r="H740" s="8" t="n">
        <f aca="false">IF(E740=0,0,F740/E740-1)</f>
        <v>0.186053158045156</v>
      </c>
      <c r="I740" s="3" t="s">
        <v>305</v>
      </c>
    </row>
    <row r="741" customFormat="false" ht="15" hidden="false" customHeight="false" outlineLevel="0" collapsed="false">
      <c r="A741" s="3" t="s">
        <v>850</v>
      </c>
      <c r="B741" s="3" t="s">
        <v>23</v>
      </c>
      <c r="C741" s="3" t="s">
        <v>24</v>
      </c>
      <c r="D741" s="3" t="n">
        <v>1</v>
      </c>
      <c r="E741" s="6" t="n">
        <v>264.99</v>
      </c>
      <c r="F741" s="6" t="n">
        <v>324</v>
      </c>
      <c r="G741" s="7" t="n">
        <f aca="false">F741-E741</f>
        <v>59.01</v>
      </c>
      <c r="H741" s="8" t="n">
        <f aca="false">IF(E741=0,0,F741/E741-1)</f>
        <v>0.222687648590513</v>
      </c>
      <c r="I741" s="3" t="s">
        <v>27</v>
      </c>
    </row>
    <row r="742" customFormat="false" ht="15" hidden="false" customHeight="false" outlineLevel="0" collapsed="false">
      <c r="A742" s="3" t="s">
        <v>851</v>
      </c>
      <c r="B742" s="3" t="s">
        <v>23</v>
      </c>
      <c r="C742" s="3" t="s">
        <v>24</v>
      </c>
      <c r="D742" s="3" t="n">
        <v>1</v>
      </c>
      <c r="E742" s="6" t="n">
        <v>185</v>
      </c>
      <c r="F742" s="6" t="n">
        <v>226</v>
      </c>
      <c r="G742" s="7" t="n">
        <f aca="false">F742-E742</f>
        <v>41</v>
      </c>
      <c r="H742" s="8" t="n">
        <f aca="false">IF(E742=0,0,F742/E742-1)</f>
        <v>0.221621621621622</v>
      </c>
      <c r="I742" s="3" t="s">
        <v>27</v>
      </c>
    </row>
    <row r="743" customFormat="false" ht="15" hidden="false" customHeight="false" outlineLevel="0" collapsed="false">
      <c r="A743" s="3" t="s">
        <v>852</v>
      </c>
      <c r="B743" s="3" t="s">
        <v>23</v>
      </c>
      <c r="C743" s="3" t="s">
        <v>24</v>
      </c>
      <c r="D743" s="3" t="n">
        <v>1</v>
      </c>
      <c r="E743" s="6" t="n">
        <v>79.99</v>
      </c>
      <c r="F743" s="6" t="n">
        <v>98</v>
      </c>
      <c r="G743" s="7" t="n">
        <f aca="false">F743-E743</f>
        <v>18.01</v>
      </c>
      <c r="H743" s="8" t="n">
        <f aca="false">IF(E743=0,0,F743/E743-1)</f>
        <v>0.225153144143018</v>
      </c>
      <c r="I743" s="3" t="s">
        <v>27</v>
      </c>
    </row>
    <row r="744" customFormat="false" ht="15" hidden="false" customHeight="false" outlineLevel="0" collapsed="false">
      <c r="A744" s="3" t="s">
        <v>853</v>
      </c>
      <c r="B744" s="3" t="s">
        <v>23</v>
      </c>
      <c r="C744" s="3" t="s">
        <v>24</v>
      </c>
      <c r="D744" s="3" t="n">
        <v>1</v>
      </c>
      <c r="E744" s="6" t="n">
        <v>64.99</v>
      </c>
      <c r="F744" s="6" t="n">
        <v>79.5</v>
      </c>
      <c r="G744" s="7" t="n">
        <f aca="false">F744-E744</f>
        <v>14.51</v>
      </c>
      <c r="H744" s="8" t="n">
        <f aca="false">IF(E744=0,0,F744/E744-1)</f>
        <v>0.223265117710417</v>
      </c>
      <c r="I744" s="3" t="s">
        <v>27</v>
      </c>
    </row>
    <row r="745" customFormat="false" ht="15" hidden="false" customHeight="false" outlineLevel="0" collapsed="false">
      <c r="A745" s="3" t="s">
        <v>854</v>
      </c>
      <c r="B745" s="3" t="s">
        <v>23</v>
      </c>
      <c r="C745" s="3" t="s">
        <v>24</v>
      </c>
      <c r="D745" s="3" t="n">
        <v>1</v>
      </c>
      <c r="E745" s="6" t="n">
        <v>249.99</v>
      </c>
      <c r="F745" s="6" t="n">
        <v>305</v>
      </c>
      <c r="G745" s="7" t="n">
        <f aca="false">F745-E745</f>
        <v>55.01</v>
      </c>
      <c r="H745" s="8" t="n">
        <f aca="false">IF(E745=0,0,F745/E745-1)</f>
        <v>0.220048801952078</v>
      </c>
      <c r="I745" s="3" t="s">
        <v>27</v>
      </c>
    </row>
    <row r="746" customFormat="false" ht="15" hidden="false" customHeight="false" outlineLevel="0" collapsed="false">
      <c r="A746" s="3" t="s">
        <v>855</v>
      </c>
      <c r="B746" s="3" t="s">
        <v>23</v>
      </c>
      <c r="C746" s="3" t="s">
        <v>24</v>
      </c>
      <c r="D746" s="3" t="n">
        <v>1</v>
      </c>
      <c r="E746" s="6" t="n">
        <v>299</v>
      </c>
      <c r="F746" s="6" t="n">
        <v>365</v>
      </c>
      <c r="G746" s="7" t="n">
        <f aca="false">F746-E746</f>
        <v>66</v>
      </c>
      <c r="H746" s="8" t="n">
        <f aca="false">IF(E746=0,0,F746/E746-1)</f>
        <v>0.220735785953177</v>
      </c>
      <c r="I746" s="3" t="s">
        <v>856</v>
      </c>
    </row>
    <row r="747" customFormat="false" ht="15" hidden="false" customHeight="false" outlineLevel="0" collapsed="false">
      <c r="A747" s="3" t="s">
        <v>857</v>
      </c>
      <c r="B747" s="3" t="s">
        <v>23</v>
      </c>
      <c r="C747" s="3" t="s">
        <v>179</v>
      </c>
      <c r="D747" s="3" t="n">
        <v>3</v>
      </c>
      <c r="E747" s="6" t="n">
        <v>705</v>
      </c>
      <c r="F747" s="6" t="n">
        <v>818</v>
      </c>
      <c r="G747" s="7" t="n">
        <f aca="false">F747-E747</f>
        <v>113</v>
      </c>
      <c r="H747" s="8" t="n">
        <f aca="false">IF(E747=0,0,F747/E747-1)</f>
        <v>0.160283687943262</v>
      </c>
      <c r="I747" s="3" t="s">
        <v>858</v>
      </c>
    </row>
    <row r="748" customFormat="false" ht="15" hidden="false" customHeight="false" outlineLevel="0" collapsed="false">
      <c r="A748" s="3" t="s">
        <v>859</v>
      </c>
      <c r="B748" s="3" t="s">
        <v>23</v>
      </c>
      <c r="C748" s="3" t="s">
        <v>24</v>
      </c>
      <c r="D748" s="3" t="n">
        <v>2</v>
      </c>
      <c r="E748" s="6" t="n">
        <v>21</v>
      </c>
      <c r="F748" s="6" t="n">
        <v>25</v>
      </c>
      <c r="G748" s="7" t="n">
        <f aca="false">F748-E748</f>
        <v>4</v>
      </c>
      <c r="H748" s="8" t="n">
        <f aca="false">IF(E748=0,0,F748/E748-1)</f>
        <v>0.19047619047619</v>
      </c>
      <c r="I748" s="3" t="s">
        <v>305</v>
      </c>
    </row>
    <row r="749" customFormat="false" ht="15" hidden="false" customHeight="false" outlineLevel="0" collapsed="false">
      <c r="A749" s="3" t="s">
        <v>860</v>
      </c>
      <c r="B749" s="3" t="s">
        <v>23</v>
      </c>
      <c r="C749" s="3" t="s">
        <v>24</v>
      </c>
      <c r="D749" s="3" t="n">
        <v>1</v>
      </c>
      <c r="E749" s="6" t="n">
        <v>34.99</v>
      </c>
      <c r="F749" s="6" t="n">
        <v>43</v>
      </c>
      <c r="G749" s="7" t="n">
        <f aca="false">F749-E749</f>
        <v>8.01</v>
      </c>
      <c r="H749" s="8" t="n">
        <f aca="false">IF(E749=0,0,F749/E749-1)</f>
        <v>0.2289225492998</v>
      </c>
      <c r="I749" s="3" t="s">
        <v>27</v>
      </c>
    </row>
    <row r="750" customFormat="false" ht="15" hidden="false" customHeight="false" outlineLevel="0" collapsed="false">
      <c r="A750" s="3" t="s">
        <v>861</v>
      </c>
      <c r="B750" s="3" t="s">
        <v>23</v>
      </c>
      <c r="C750" s="3" t="s">
        <v>24</v>
      </c>
      <c r="D750" s="3" t="n">
        <v>1</v>
      </c>
      <c r="E750" s="6" t="n">
        <v>499.99</v>
      </c>
      <c r="F750" s="6" t="n">
        <v>610</v>
      </c>
      <c r="G750" s="7" t="n">
        <f aca="false">F750-E750</f>
        <v>110.01</v>
      </c>
      <c r="H750" s="8" t="n">
        <f aca="false">IF(E750=0,0,F750/E750-1)</f>
        <v>0.22002440048801</v>
      </c>
      <c r="I750" s="3" t="s">
        <v>27</v>
      </c>
    </row>
    <row r="751" customFormat="false" ht="15" hidden="false" customHeight="false" outlineLevel="0" collapsed="false">
      <c r="A751" s="3" t="s">
        <v>862</v>
      </c>
      <c r="B751" s="3" t="s">
        <v>23</v>
      </c>
      <c r="C751" s="3" t="s">
        <v>24</v>
      </c>
      <c r="D751" s="3" t="n">
        <v>1</v>
      </c>
      <c r="E751" s="6" t="n">
        <v>499.99</v>
      </c>
      <c r="F751" s="6" t="n">
        <v>610</v>
      </c>
      <c r="G751" s="7" t="n">
        <f aca="false">F751-E751</f>
        <v>110.01</v>
      </c>
      <c r="H751" s="8" t="n">
        <f aca="false">IF(E751=0,0,F751/E751-1)</f>
        <v>0.22002440048801</v>
      </c>
      <c r="I751" s="3" t="s">
        <v>27</v>
      </c>
    </row>
    <row r="752" customFormat="false" ht="15" hidden="false" customHeight="false" outlineLevel="0" collapsed="false">
      <c r="A752" s="3" t="s">
        <v>863</v>
      </c>
      <c r="B752" s="3" t="s">
        <v>23</v>
      </c>
      <c r="C752" s="3" t="s">
        <v>24</v>
      </c>
      <c r="D752" s="3" t="n">
        <v>1</v>
      </c>
      <c r="E752" s="6" t="n">
        <v>399.99</v>
      </c>
      <c r="F752" s="6" t="n">
        <v>488</v>
      </c>
      <c r="G752" s="7" t="n">
        <f aca="false">F752-E752</f>
        <v>88.01</v>
      </c>
      <c r="H752" s="8" t="n">
        <f aca="false">IF(E752=0,0,F752/E752-1)</f>
        <v>0.220030500762519</v>
      </c>
      <c r="I752" s="3" t="s">
        <v>27</v>
      </c>
    </row>
    <row r="753" customFormat="false" ht="15" hidden="false" customHeight="false" outlineLevel="0" collapsed="false">
      <c r="A753" s="3" t="s">
        <v>864</v>
      </c>
      <c r="B753" s="3" t="s">
        <v>23</v>
      </c>
      <c r="C753" s="3" t="s">
        <v>179</v>
      </c>
      <c r="D753" s="3" t="n">
        <v>3</v>
      </c>
      <c r="E753" s="6" t="n">
        <v>425</v>
      </c>
      <c r="F753" s="6" t="n">
        <v>493</v>
      </c>
      <c r="G753" s="7" t="n">
        <f aca="false">F753-E753</f>
        <v>68</v>
      </c>
      <c r="H753" s="8" t="n">
        <f aca="false">IF(E753=0,0,F753/E753-1)</f>
        <v>0.16</v>
      </c>
      <c r="I753" s="3" t="s">
        <v>865</v>
      </c>
    </row>
    <row r="754" customFormat="false" ht="15" hidden="false" customHeight="false" outlineLevel="0" collapsed="false">
      <c r="A754" s="3" t="s">
        <v>866</v>
      </c>
      <c r="B754" s="3" t="s">
        <v>23</v>
      </c>
      <c r="C754" s="3" t="s">
        <v>24</v>
      </c>
      <c r="D754" s="3" t="n">
        <v>1</v>
      </c>
      <c r="E754" s="6" t="n">
        <v>189.99</v>
      </c>
      <c r="F754" s="6" t="n">
        <v>232</v>
      </c>
      <c r="G754" s="7" t="n">
        <f aca="false">F754-E754</f>
        <v>42.01</v>
      </c>
      <c r="H754" s="8" t="n">
        <f aca="false">IF(E754=0,0,F754/E754-1)</f>
        <v>0.22111690088952</v>
      </c>
      <c r="I754" s="3" t="s">
        <v>27</v>
      </c>
    </row>
    <row r="755" customFormat="false" ht="15" hidden="false" customHeight="false" outlineLevel="0" collapsed="false">
      <c r="A755" s="3" t="s">
        <v>867</v>
      </c>
      <c r="B755" s="3" t="s">
        <v>23</v>
      </c>
      <c r="C755" s="3" t="s">
        <v>24</v>
      </c>
      <c r="D755" s="3" t="n">
        <v>1</v>
      </c>
      <c r="E755" s="6" t="n">
        <v>380</v>
      </c>
      <c r="F755" s="6" t="n">
        <v>464</v>
      </c>
      <c r="G755" s="7" t="n">
        <f aca="false">F755-E755</f>
        <v>84</v>
      </c>
      <c r="H755" s="8" t="n">
        <f aca="false">IF(E755=0,0,F755/E755-1)</f>
        <v>0.221052631578947</v>
      </c>
      <c r="I755" s="3" t="s">
        <v>27</v>
      </c>
    </row>
    <row r="756" customFormat="false" ht="15" hidden="false" customHeight="false" outlineLevel="0" collapsed="false">
      <c r="A756" s="3" t="s">
        <v>868</v>
      </c>
      <c r="B756" s="3" t="s">
        <v>23</v>
      </c>
      <c r="C756" s="3" t="s">
        <v>24</v>
      </c>
      <c r="D756" s="3" t="n">
        <v>1</v>
      </c>
      <c r="E756" s="6" t="n">
        <v>89.99</v>
      </c>
      <c r="F756" s="6" t="n">
        <v>110</v>
      </c>
      <c r="G756" s="7" t="n">
        <f aca="false">F756-E756</f>
        <v>20.01</v>
      </c>
      <c r="H756" s="8" t="n">
        <f aca="false">IF(E756=0,0,F756/E756-1)</f>
        <v>0.222358039782198</v>
      </c>
      <c r="I756" s="3" t="s">
        <v>27</v>
      </c>
    </row>
    <row r="757" customFormat="false" ht="15" hidden="false" customHeight="false" outlineLevel="0" collapsed="false">
      <c r="A757" s="3" t="s">
        <v>869</v>
      </c>
      <c r="B757" s="3" t="s">
        <v>23</v>
      </c>
      <c r="C757" s="3" t="s">
        <v>24</v>
      </c>
      <c r="D757" s="3" t="n">
        <v>3</v>
      </c>
      <c r="E757" s="6" t="n">
        <v>1450</v>
      </c>
      <c r="F757" s="6" t="n">
        <v>1685</v>
      </c>
      <c r="G757" s="7" t="n">
        <f aca="false">F757-E757</f>
        <v>235</v>
      </c>
      <c r="H757" s="8" t="n">
        <f aca="false">IF(E757=0,0,F757/E757-1)</f>
        <v>0.162068965517241</v>
      </c>
      <c r="I757" s="3" t="s">
        <v>38</v>
      </c>
    </row>
    <row r="758" customFormat="false" ht="15" hidden="false" customHeight="false" outlineLevel="0" collapsed="false">
      <c r="A758" s="3" t="s">
        <v>870</v>
      </c>
      <c r="B758" s="3" t="s">
        <v>23</v>
      </c>
      <c r="C758" s="3" t="s">
        <v>24</v>
      </c>
      <c r="D758" s="3" t="n">
        <v>1</v>
      </c>
      <c r="E758" s="6" t="n">
        <v>500</v>
      </c>
      <c r="F758" s="6" t="n">
        <v>610</v>
      </c>
      <c r="G758" s="7" t="n">
        <f aca="false">F758-E758</f>
        <v>110</v>
      </c>
      <c r="H758" s="8" t="n">
        <f aca="false">IF(E758=0,0,F758/E758-1)</f>
        <v>0.22</v>
      </c>
      <c r="I758" s="3" t="s">
        <v>27</v>
      </c>
    </row>
    <row r="759" customFormat="false" ht="15" hidden="false" customHeight="false" outlineLevel="0" collapsed="false">
      <c r="A759" s="3" t="s">
        <v>871</v>
      </c>
      <c r="B759" s="3" t="s">
        <v>23</v>
      </c>
      <c r="C759" s="3" t="s">
        <v>24</v>
      </c>
      <c r="D759" s="3" t="n">
        <v>1</v>
      </c>
      <c r="E759" s="6" t="n">
        <v>69</v>
      </c>
      <c r="F759" s="6" t="n">
        <v>84.5</v>
      </c>
      <c r="G759" s="7" t="n">
        <f aca="false">F759-E759</f>
        <v>15.5</v>
      </c>
      <c r="H759" s="8" t="n">
        <f aca="false">IF(E759=0,0,F759/E759-1)</f>
        <v>0.22463768115942</v>
      </c>
      <c r="I759" s="3" t="s">
        <v>27</v>
      </c>
    </row>
    <row r="760" customFormat="false" ht="15" hidden="false" customHeight="false" outlineLevel="0" collapsed="false">
      <c r="A760" s="3" t="s">
        <v>872</v>
      </c>
      <c r="B760" s="3" t="s">
        <v>23</v>
      </c>
      <c r="C760" s="3" t="s">
        <v>24</v>
      </c>
      <c r="D760" s="3" t="n">
        <v>1</v>
      </c>
      <c r="E760" s="6" t="n">
        <v>110</v>
      </c>
      <c r="F760" s="6" t="n">
        <v>135</v>
      </c>
      <c r="G760" s="7" t="n">
        <f aca="false">F760-E760</f>
        <v>25</v>
      </c>
      <c r="H760" s="8" t="n">
        <f aca="false">IF(E760=0,0,F760/E760-1)</f>
        <v>0.227272727272727</v>
      </c>
      <c r="I760" s="3" t="s">
        <v>27</v>
      </c>
    </row>
    <row r="761" customFormat="false" ht="15" hidden="false" customHeight="false" outlineLevel="0" collapsed="false">
      <c r="A761" s="3" t="s">
        <v>873</v>
      </c>
      <c r="B761" s="3" t="s">
        <v>23</v>
      </c>
      <c r="C761" s="3" t="s">
        <v>24</v>
      </c>
      <c r="D761" s="3" t="n">
        <v>1</v>
      </c>
      <c r="E761" s="6" t="n">
        <v>249.99</v>
      </c>
      <c r="F761" s="6" t="n">
        <v>305</v>
      </c>
      <c r="G761" s="7" t="n">
        <f aca="false">F761-E761</f>
        <v>55.01</v>
      </c>
      <c r="H761" s="8" t="n">
        <f aca="false">IF(E761=0,0,F761/E761-1)</f>
        <v>0.220048801952078</v>
      </c>
      <c r="I761" s="3" t="s">
        <v>27</v>
      </c>
    </row>
    <row r="762" customFormat="false" ht="15" hidden="false" customHeight="false" outlineLevel="0" collapsed="false">
      <c r="A762" s="3" t="s">
        <v>874</v>
      </c>
      <c r="B762" s="3" t="s">
        <v>23</v>
      </c>
      <c r="C762" s="3" t="s">
        <v>24</v>
      </c>
      <c r="D762" s="3" t="n">
        <v>1</v>
      </c>
      <c r="E762" s="6" t="n">
        <v>999</v>
      </c>
      <c r="F762" s="6" t="n">
        <v>1220</v>
      </c>
      <c r="G762" s="7" t="n">
        <f aca="false">F762-E762</f>
        <v>221</v>
      </c>
      <c r="H762" s="8" t="n">
        <f aca="false">IF(E762=0,0,F762/E762-1)</f>
        <v>0.221221221221221</v>
      </c>
      <c r="I762" s="3" t="s">
        <v>27</v>
      </c>
    </row>
    <row r="763" customFormat="false" ht="15" hidden="false" customHeight="false" outlineLevel="0" collapsed="false">
      <c r="A763" s="3" t="s">
        <v>875</v>
      </c>
      <c r="B763" s="3" t="s">
        <v>23</v>
      </c>
      <c r="C763" s="3" t="s">
        <v>24</v>
      </c>
      <c r="D763" s="3" t="n">
        <v>2</v>
      </c>
      <c r="E763" s="6" t="n">
        <v>1180</v>
      </c>
      <c r="F763" s="6" t="n">
        <v>1395</v>
      </c>
      <c r="G763" s="7" t="n">
        <f aca="false">F763-E763</f>
        <v>215</v>
      </c>
      <c r="H763" s="8" t="n">
        <f aca="false">IF(E763=0,0,F763/E763-1)</f>
        <v>0.182203389830508</v>
      </c>
      <c r="I763" s="3" t="s">
        <v>305</v>
      </c>
    </row>
    <row r="764" customFormat="false" ht="15" hidden="false" customHeight="false" outlineLevel="0" collapsed="false">
      <c r="A764" s="3" t="s">
        <v>876</v>
      </c>
      <c r="B764" s="3" t="s">
        <v>23</v>
      </c>
      <c r="C764" s="3" t="s">
        <v>24</v>
      </c>
      <c r="D764" s="3" t="n">
        <v>1</v>
      </c>
      <c r="E764" s="6" t="n">
        <v>369</v>
      </c>
      <c r="F764" s="6" t="n">
        <v>451</v>
      </c>
      <c r="G764" s="7" t="n">
        <f aca="false">F764-E764</f>
        <v>82</v>
      </c>
      <c r="H764" s="8" t="n">
        <f aca="false">IF(E764=0,0,F764/E764-1)</f>
        <v>0.222222222222222</v>
      </c>
      <c r="I764" s="3" t="s">
        <v>27</v>
      </c>
    </row>
    <row r="765" customFormat="false" ht="15" hidden="false" customHeight="false" outlineLevel="0" collapsed="false">
      <c r="A765" s="3" t="s">
        <v>877</v>
      </c>
      <c r="B765" s="3" t="s">
        <v>23</v>
      </c>
      <c r="C765" s="3" t="s">
        <v>24</v>
      </c>
      <c r="D765" s="3" t="n">
        <v>1</v>
      </c>
      <c r="E765" s="6" t="n">
        <v>12.49</v>
      </c>
      <c r="F765" s="6" t="n">
        <v>15.5</v>
      </c>
      <c r="G765" s="7" t="n">
        <f aca="false">F765-E765</f>
        <v>3.01</v>
      </c>
      <c r="H765" s="8" t="n">
        <f aca="false">IF(E765=0,0,F765/E765-1)</f>
        <v>0.240992794235388</v>
      </c>
      <c r="I765" s="3" t="s">
        <v>27</v>
      </c>
    </row>
    <row r="766" customFormat="false" ht="15" hidden="false" customHeight="false" outlineLevel="0" collapsed="false">
      <c r="A766" s="3" t="s">
        <v>878</v>
      </c>
      <c r="B766" s="3" t="s">
        <v>23</v>
      </c>
      <c r="C766" s="3" t="s">
        <v>24</v>
      </c>
      <c r="D766" s="3" t="n">
        <v>1</v>
      </c>
      <c r="E766" s="6" t="n">
        <v>239</v>
      </c>
      <c r="F766" s="6" t="n">
        <v>292</v>
      </c>
      <c r="G766" s="7" t="n">
        <f aca="false">F766-E766</f>
        <v>53</v>
      </c>
      <c r="H766" s="8" t="n">
        <f aca="false">IF(E766=0,0,F766/E766-1)</f>
        <v>0.221757322175732</v>
      </c>
      <c r="I766" s="3" t="s">
        <v>879</v>
      </c>
    </row>
    <row r="767" customFormat="false" ht="15" hidden="false" customHeight="false" outlineLevel="0" collapsed="false">
      <c r="A767" s="3" t="s">
        <v>880</v>
      </c>
      <c r="B767" s="3" t="s">
        <v>23</v>
      </c>
      <c r="C767" s="3" t="s">
        <v>24</v>
      </c>
      <c r="D767" s="3" t="n">
        <v>1</v>
      </c>
      <c r="E767" s="6" t="n">
        <v>19.99</v>
      </c>
      <c r="F767" s="6" t="n">
        <v>24.5</v>
      </c>
      <c r="G767" s="7" t="n">
        <f aca="false">F767-E767</f>
        <v>4.51</v>
      </c>
      <c r="H767" s="8" t="n">
        <f aca="false">IF(E767=0,0,F767/E767-1)</f>
        <v>0.225612806403202</v>
      </c>
      <c r="I767" s="3" t="s">
        <v>27</v>
      </c>
    </row>
    <row r="768" customFormat="false" ht="15" hidden="false" customHeight="false" outlineLevel="0" collapsed="false">
      <c r="A768" s="3" t="s">
        <v>881</v>
      </c>
      <c r="B768" s="3" t="s">
        <v>23</v>
      </c>
      <c r="C768" s="3" t="s">
        <v>24</v>
      </c>
      <c r="D768" s="3" t="n">
        <v>1</v>
      </c>
      <c r="E768" s="6" t="n">
        <v>329.99</v>
      </c>
      <c r="F768" s="6" t="n">
        <v>403</v>
      </c>
      <c r="G768" s="7" t="n">
        <f aca="false">F768-E768</f>
        <v>73.01</v>
      </c>
      <c r="H768" s="8" t="n">
        <f aca="false">IF(E768=0,0,F768/E768-1)</f>
        <v>0.221249128761478</v>
      </c>
      <c r="I768" s="3" t="s">
        <v>27</v>
      </c>
    </row>
    <row r="769" customFormat="false" ht="15" hidden="false" customHeight="false" outlineLevel="0" collapsed="false">
      <c r="A769" s="3" t="s">
        <v>882</v>
      </c>
      <c r="B769" s="3" t="s">
        <v>23</v>
      </c>
      <c r="C769" s="3" t="s">
        <v>24</v>
      </c>
      <c r="D769" s="3" t="n">
        <v>1</v>
      </c>
      <c r="E769" s="6" t="n">
        <v>137.3</v>
      </c>
      <c r="F769" s="6" t="n">
        <v>168</v>
      </c>
      <c r="G769" s="7" t="n">
        <f aca="false">F769-E769</f>
        <v>30.7</v>
      </c>
      <c r="H769" s="8" t="n">
        <f aca="false">IF(E769=0,0,F769/E769-1)</f>
        <v>0.223597960670066</v>
      </c>
      <c r="I769" s="3" t="s">
        <v>714</v>
      </c>
    </row>
    <row r="770" customFormat="false" ht="15" hidden="false" customHeight="false" outlineLevel="0" collapsed="false">
      <c r="A770" s="3" t="s">
        <v>883</v>
      </c>
      <c r="B770" s="3" t="s">
        <v>23</v>
      </c>
      <c r="C770" s="3" t="s">
        <v>24</v>
      </c>
      <c r="D770" s="3" t="n">
        <v>1</v>
      </c>
      <c r="E770" s="6" t="n">
        <v>6.5</v>
      </c>
      <c r="F770" s="6" t="n">
        <v>8</v>
      </c>
      <c r="G770" s="7" t="n">
        <f aca="false">F770-E770</f>
        <v>1.5</v>
      </c>
      <c r="H770" s="8" t="n">
        <f aca="false">IF(E770=0,0,F770/E770-1)</f>
        <v>0.230769230769231</v>
      </c>
      <c r="I770" s="3" t="s">
        <v>134</v>
      </c>
    </row>
    <row r="771" customFormat="false" ht="15" hidden="false" customHeight="false" outlineLevel="0" collapsed="false">
      <c r="A771" s="3" t="s">
        <v>884</v>
      </c>
      <c r="B771" s="3" t="s">
        <v>23</v>
      </c>
      <c r="C771" s="3" t="s">
        <v>24</v>
      </c>
      <c r="D771" s="3" t="n">
        <v>1</v>
      </c>
      <c r="E771" s="6" t="n">
        <v>4.26</v>
      </c>
      <c r="F771" s="6" t="n">
        <v>5.5</v>
      </c>
      <c r="G771" s="7" t="n">
        <f aca="false">F771-E771</f>
        <v>1.24</v>
      </c>
      <c r="H771" s="8" t="n">
        <f aca="false">IF(E771=0,0,F771/E771-1)</f>
        <v>0.291079812206573</v>
      </c>
      <c r="I771" s="3" t="s">
        <v>210</v>
      </c>
    </row>
    <row r="772" customFormat="false" ht="15" hidden="false" customHeight="false" outlineLevel="0" collapsed="false">
      <c r="A772" s="3" t="s">
        <v>885</v>
      </c>
      <c r="B772" s="3" t="s">
        <v>23</v>
      </c>
      <c r="C772" s="3" t="s">
        <v>24</v>
      </c>
      <c r="D772" s="3" t="n">
        <v>1</v>
      </c>
      <c r="E772" s="6" t="n">
        <v>24.99</v>
      </c>
      <c r="F772" s="6" t="n">
        <v>30.5</v>
      </c>
      <c r="G772" s="7" t="n">
        <f aca="false">F772-E772</f>
        <v>5.51</v>
      </c>
      <c r="H772" s="8" t="n">
        <f aca="false">IF(E772=0,0,F772/E772-1)</f>
        <v>0.220488195278111</v>
      </c>
      <c r="I772" s="3" t="s">
        <v>27</v>
      </c>
    </row>
    <row r="773" customFormat="false" ht="15" hidden="false" customHeight="false" outlineLevel="0" collapsed="false">
      <c r="A773" s="3" t="s">
        <v>886</v>
      </c>
      <c r="B773" s="3" t="s">
        <v>23</v>
      </c>
      <c r="C773" s="3" t="s">
        <v>24</v>
      </c>
      <c r="D773" s="3" t="n">
        <v>1</v>
      </c>
      <c r="E773" s="6" t="n">
        <v>34.99</v>
      </c>
      <c r="F773" s="6" t="n">
        <v>43</v>
      </c>
      <c r="G773" s="7" t="n">
        <f aca="false">F773-E773</f>
        <v>8.01</v>
      </c>
      <c r="H773" s="8" t="n">
        <f aca="false">IF(E773=0,0,F773/E773-1)</f>
        <v>0.2289225492998</v>
      </c>
      <c r="I773" s="3" t="s">
        <v>27</v>
      </c>
    </row>
    <row r="774" customFormat="false" ht="15" hidden="false" customHeight="false" outlineLevel="0" collapsed="false">
      <c r="A774" s="3" t="s">
        <v>887</v>
      </c>
      <c r="B774" s="3" t="s">
        <v>23</v>
      </c>
      <c r="C774" s="3" t="s">
        <v>24</v>
      </c>
      <c r="D774" s="3" t="n">
        <v>1</v>
      </c>
      <c r="E774" s="6" t="n">
        <v>38.75</v>
      </c>
      <c r="F774" s="6" t="n">
        <v>47.5</v>
      </c>
      <c r="G774" s="7" t="n">
        <f aca="false">F774-E774</f>
        <v>8.75</v>
      </c>
      <c r="H774" s="8" t="n">
        <f aca="false">IF(E774=0,0,F774/E774-1)</f>
        <v>0.225806451612903</v>
      </c>
      <c r="I774" s="3" t="s">
        <v>134</v>
      </c>
    </row>
    <row r="775" customFormat="false" ht="15" hidden="false" customHeight="false" outlineLevel="0" collapsed="false">
      <c r="A775" s="3" t="s">
        <v>888</v>
      </c>
      <c r="B775" s="3" t="s">
        <v>23</v>
      </c>
      <c r="C775" s="3" t="s">
        <v>24</v>
      </c>
      <c r="D775" s="3" t="n">
        <v>1</v>
      </c>
      <c r="E775" s="6" t="n">
        <v>19.99</v>
      </c>
      <c r="F775" s="6" t="n">
        <v>24.5</v>
      </c>
      <c r="G775" s="7" t="n">
        <f aca="false">F775-E775</f>
        <v>4.51</v>
      </c>
      <c r="H775" s="8" t="n">
        <f aca="false">IF(E775=0,0,F775/E775-1)</f>
        <v>0.225612806403202</v>
      </c>
      <c r="I775" s="3" t="s">
        <v>27</v>
      </c>
    </row>
    <row r="776" customFormat="false" ht="15" hidden="false" customHeight="false" outlineLevel="0" collapsed="false">
      <c r="A776" s="3" t="s">
        <v>889</v>
      </c>
      <c r="B776" s="3" t="s">
        <v>23</v>
      </c>
      <c r="C776" s="3" t="s">
        <v>24</v>
      </c>
      <c r="D776" s="3" t="n">
        <v>1</v>
      </c>
      <c r="E776" s="6" t="n">
        <v>199.99</v>
      </c>
      <c r="F776" s="6" t="n">
        <v>244</v>
      </c>
      <c r="G776" s="7" t="n">
        <f aca="false">F776-E776</f>
        <v>44.01</v>
      </c>
      <c r="H776" s="8" t="n">
        <f aca="false">IF(E776=0,0,F776/E776-1)</f>
        <v>0.220061003050152</v>
      </c>
      <c r="I776" s="3" t="s">
        <v>611</v>
      </c>
    </row>
    <row r="777" customFormat="false" ht="15" hidden="false" customHeight="false" outlineLevel="0" collapsed="false">
      <c r="A777" s="3" t="s">
        <v>890</v>
      </c>
      <c r="B777" s="3" t="s">
        <v>23</v>
      </c>
      <c r="C777" s="3" t="s">
        <v>179</v>
      </c>
      <c r="D777" s="3" t="n">
        <v>1</v>
      </c>
      <c r="E777" s="6" t="n">
        <v>255</v>
      </c>
      <c r="F777" s="6" t="n">
        <v>312</v>
      </c>
      <c r="G777" s="7" t="n">
        <f aca="false">F777-E777</f>
        <v>57</v>
      </c>
      <c r="H777" s="8" t="n">
        <f aca="false">IF(E777=0,0,F777/E777-1)</f>
        <v>0.223529411764706</v>
      </c>
      <c r="I777" s="3" t="s">
        <v>891</v>
      </c>
    </row>
    <row r="778" customFormat="false" ht="15" hidden="false" customHeight="false" outlineLevel="0" collapsed="false">
      <c r="A778" s="3" t="s">
        <v>892</v>
      </c>
      <c r="B778" s="3" t="s">
        <v>23</v>
      </c>
      <c r="C778" s="3" t="s">
        <v>24</v>
      </c>
      <c r="D778" s="3" t="n">
        <v>1</v>
      </c>
      <c r="E778" s="6" t="n">
        <v>139.99</v>
      </c>
      <c r="F778" s="6" t="n">
        <v>171</v>
      </c>
      <c r="G778" s="7" t="n">
        <f aca="false">F778-E778</f>
        <v>31.01</v>
      </c>
      <c r="H778" s="8" t="n">
        <f aca="false">IF(E778=0,0,F778/E778-1)</f>
        <v>0.221515822558754</v>
      </c>
      <c r="I778" s="3" t="s">
        <v>27</v>
      </c>
    </row>
    <row r="779" customFormat="false" ht="15" hidden="false" customHeight="false" outlineLevel="0" collapsed="false">
      <c r="A779" s="3" t="s">
        <v>893</v>
      </c>
      <c r="B779" s="3" t="s">
        <v>23</v>
      </c>
      <c r="C779" s="3" t="s">
        <v>24</v>
      </c>
      <c r="D779" s="3" t="n">
        <v>1</v>
      </c>
      <c r="E779" s="6" t="n">
        <v>174.33</v>
      </c>
      <c r="F779" s="6" t="n">
        <v>213</v>
      </c>
      <c r="G779" s="7" t="n">
        <f aca="false">F779-E779</f>
        <v>38.67</v>
      </c>
      <c r="H779" s="8" t="n">
        <f aca="false">IF(E779=0,0,F779/E779-1)</f>
        <v>0.221820684907933</v>
      </c>
      <c r="I779" s="3" t="s">
        <v>27</v>
      </c>
    </row>
    <row r="780" customFormat="false" ht="15" hidden="false" customHeight="false" outlineLevel="0" collapsed="false">
      <c r="A780" s="3" t="s">
        <v>894</v>
      </c>
      <c r="B780" s="3" t="s">
        <v>23</v>
      </c>
      <c r="C780" s="3" t="s">
        <v>24</v>
      </c>
      <c r="D780" s="3" t="n">
        <v>1</v>
      </c>
      <c r="E780" s="6" t="n">
        <v>69.99</v>
      </c>
      <c r="F780" s="6" t="n">
        <v>85.5</v>
      </c>
      <c r="G780" s="7" t="n">
        <f aca="false">F780-E780</f>
        <v>15.51</v>
      </c>
      <c r="H780" s="8" t="n">
        <f aca="false">IF(E780=0,0,F780/E780-1)</f>
        <v>0.221603086155165</v>
      </c>
      <c r="I780" s="3" t="s">
        <v>27</v>
      </c>
    </row>
    <row r="781" customFormat="false" ht="15" hidden="false" customHeight="false" outlineLevel="0" collapsed="false">
      <c r="A781" s="3" t="s">
        <v>895</v>
      </c>
      <c r="B781" s="3" t="s">
        <v>23</v>
      </c>
      <c r="C781" s="3" t="s">
        <v>24</v>
      </c>
      <c r="D781" s="3" t="n">
        <v>1</v>
      </c>
      <c r="E781" s="6" t="n">
        <v>69.99</v>
      </c>
      <c r="F781" s="6" t="n">
        <v>85.5</v>
      </c>
      <c r="G781" s="7" t="n">
        <f aca="false">F781-E781</f>
        <v>15.51</v>
      </c>
      <c r="H781" s="8" t="n">
        <f aca="false">IF(E781=0,0,F781/E781-1)</f>
        <v>0.221603086155165</v>
      </c>
      <c r="I781" s="3" t="s">
        <v>27</v>
      </c>
    </row>
    <row r="782" customFormat="false" ht="15" hidden="false" customHeight="false" outlineLevel="0" collapsed="false">
      <c r="A782" s="3" t="s">
        <v>896</v>
      </c>
      <c r="B782" s="3" t="s">
        <v>23</v>
      </c>
      <c r="C782" s="3" t="s">
        <v>24</v>
      </c>
      <c r="D782" s="3" t="n">
        <v>1</v>
      </c>
      <c r="E782" s="6" t="n">
        <v>720.8</v>
      </c>
      <c r="F782" s="6" t="n">
        <v>880</v>
      </c>
      <c r="G782" s="7" t="n">
        <f aca="false">F782-E782</f>
        <v>159.2</v>
      </c>
      <c r="H782" s="8" t="n">
        <f aca="false">IF(E782=0,0,F782/E782-1)</f>
        <v>0.220865704772475</v>
      </c>
      <c r="I782" s="3" t="s">
        <v>27</v>
      </c>
    </row>
    <row r="783" customFormat="false" ht="15" hidden="false" customHeight="false" outlineLevel="0" collapsed="false">
      <c r="A783" s="3" t="s">
        <v>897</v>
      </c>
      <c r="B783" s="3" t="s">
        <v>23</v>
      </c>
      <c r="C783" s="3" t="s">
        <v>24</v>
      </c>
      <c r="D783" s="3" t="n">
        <v>1</v>
      </c>
      <c r="E783" s="6" t="n">
        <v>75.99</v>
      </c>
      <c r="F783" s="6" t="n">
        <v>93</v>
      </c>
      <c r="G783" s="7" t="n">
        <f aca="false">F783-E783</f>
        <v>17.01</v>
      </c>
      <c r="H783" s="8" t="n">
        <f aca="false">IF(E783=0,0,F783/E783-1)</f>
        <v>0.223845242795105</v>
      </c>
      <c r="I783" s="3" t="s">
        <v>27</v>
      </c>
    </row>
    <row r="784" customFormat="false" ht="15" hidden="false" customHeight="false" outlineLevel="0" collapsed="false">
      <c r="A784" s="3" t="s">
        <v>898</v>
      </c>
      <c r="B784" s="3" t="s">
        <v>23</v>
      </c>
      <c r="C784" s="3" t="s">
        <v>24</v>
      </c>
      <c r="D784" s="3" t="n">
        <v>1</v>
      </c>
      <c r="E784" s="6" t="n">
        <v>69</v>
      </c>
      <c r="F784" s="6" t="n">
        <v>84.5</v>
      </c>
      <c r="G784" s="7" t="n">
        <f aca="false">F784-E784</f>
        <v>15.5</v>
      </c>
      <c r="H784" s="8" t="n">
        <f aca="false">IF(E784=0,0,F784/E784-1)</f>
        <v>0.22463768115942</v>
      </c>
      <c r="I784" s="3" t="s">
        <v>27</v>
      </c>
    </row>
    <row r="785" customFormat="false" ht="15" hidden="false" customHeight="false" outlineLevel="0" collapsed="false">
      <c r="A785" s="3" t="s">
        <v>899</v>
      </c>
      <c r="B785" s="3" t="s">
        <v>23</v>
      </c>
      <c r="C785" s="3" t="s">
        <v>24</v>
      </c>
      <c r="D785" s="3" t="n">
        <v>1</v>
      </c>
      <c r="E785" s="6" t="n">
        <v>79.55</v>
      </c>
      <c r="F785" s="6" t="n">
        <v>97.5</v>
      </c>
      <c r="G785" s="7" t="n">
        <f aca="false">F785-E785</f>
        <v>17.95</v>
      </c>
      <c r="H785" s="8" t="n">
        <f aca="false">IF(E785=0,0,F785/E785-1)</f>
        <v>0.225644248900063</v>
      </c>
      <c r="I785" s="3" t="s">
        <v>27</v>
      </c>
    </row>
    <row r="786" customFormat="false" ht="15" hidden="false" customHeight="false" outlineLevel="0" collapsed="false">
      <c r="A786" s="3" t="s">
        <v>900</v>
      </c>
      <c r="B786" s="3" t="s">
        <v>23</v>
      </c>
      <c r="C786" s="3" t="s">
        <v>24</v>
      </c>
      <c r="D786" s="3" t="n">
        <v>2</v>
      </c>
      <c r="E786" s="6" t="n">
        <v>690</v>
      </c>
      <c r="F786" s="6" t="n">
        <v>815</v>
      </c>
      <c r="G786" s="7" t="n">
        <f aca="false">F786-E786</f>
        <v>125</v>
      </c>
      <c r="H786" s="8" t="n">
        <f aca="false">IF(E786=0,0,F786/E786-1)</f>
        <v>0.181159420289855</v>
      </c>
      <c r="I786" s="3" t="s">
        <v>305</v>
      </c>
    </row>
    <row r="787" customFormat="false" ht="15" hidden="false" customHeight="false" outlineLevel="0" collapsed="false">
      <c r="A787" s="3" t="s">
        <v>901</v>
      </c>
      <c r="B787" s="3" t="s">
        <v>23</v>
      </c>
      <c r="C787" s="3" t="s">
        <v>24</v>
      </c>
      <c r="D787" s="3" t="n">
        <v>1</v>
      </c>
      <c r="E787" s="6" t="n">
        <v>124.99</v>
      </c>
      <c r="F787" s="6" t="n">
        <v>153</v>
      </c>
      <c r="G787" s="7" t="n">
        <f aca="false">F787-E787</f>
        <v>28.01</v>
      </c>
      <c r="H787" s="8" t="n">
        <f aca="false">IF(E787=0,0,F787/E787-1)</f>
        <v>0.224097927834227</v>
      </c>
      <c r="I787" s="3" t="s">
        <v>27</v>
      </c>
    </row>
    <row r="788" customFormat="false" ht="15" hidden="false" customHeight="false" outlineLevel="0" collapsed="false">
      <c r="A788" s="3" t="s">
        <v>902</v>
      </c>
      <c r="B788" s="3" t="s">
        <v>23</v>
      </c>
      <c r="C788" s="3" t="s">
        <v>24</v>
      </c>
      <c r="D788" s="3" t="n">
        <v>1</v>
      </c>
      <c r="E788" s="6" t="n">
        <v>15.07</v>
      </c>
      <c r="F788" s="6" t="n">
        <v>18.5</v>
      </c>
      <c r="G788" s="7" t="n">
        <f aca="false">F788-E788</f>
        <v>3.43</v>
      </c>
      <c r="H788" s="8" t="n">
        <f aca="false">IF(E788=0,0,F788/E788-1)</f>
        <v>0.227604512276045</v>
      </c>
      <c r="I788" s="3" t="s">
        <v>27</v>
      </c>
    </row>
    <row r="789" customFormat="false" ht="15" hidden="false" customHeight="false" outlineLevel="0" collapsed="false">
      <c r="A789" s="3" t="s">
        <v>903</v>
      </c>
      <c r="B789" s="3" t="s">
        <v>23</v>
      </c>
      <c r="C789" s="3" t="s">
        <v>24</v>
      </c>
      <c r="D789" s="3" t="n">
        <v>1</v>
      </c>
      <c r="E789" s="6" t="n">
        <v>110</v>
      </c>
      <c r="F789" s="6" t="n">
        <v>135</v>
      </c>
      <c r="G789" s="7" t="n">
        <f aca="false">F789-E789</f>
        <v>25</v>
      </c>
      <c r="H789" s="8" t="n">
        <f aca="false">IF(E789=0,0,F789/E789-1)</f>
        <v>0.227272727272727</v>
      </c>
      <c r="I789" s="3" t="s">
        <v>27</v>
      </c>
    </row>
    <row r="790" customFormat="false" ht="15" hidden="false" customHeight="false" outlineLevel="0" collapsed="false">
      <c r="A790" s="3" t="s">
        <v>904</v>
      </c>
      <c r="B790" s="3" t="s">
        <v>23</v>
      </c>
      <c r="C790" s="3" t="s">
        <v>24</v>
      </c>
      <c r="D790" s="3" t="n">
        <v>1</v>
      </c>
      <c r="E790" s="6" t="n">
        <v>19</v>
      </c>
      <c r="F790" s="6" t="n">
        <v>23.5</v>
      </c>
      <c r="G790" s="7" t="n">
        <f aca="false">F790-E790</f>
        <v>4.5</v>
      </c>
      <c r="H790" s="8" t="n">
        <f aca="false">IF(E790=0,0,F790/E790-1)</f>
        <v>0.236842105263158</v>
      </c>
      <c r="I790" s="3" t="s">
        <v>27</v>
      </c>
    </row>
    <row r="791" customFormat="false" ht="15" hidden="false" customHeight="false" outlineLevel="0" collapsed="false">
      <c r="A791" s="3" t="s">
        <v>905</v>
      </c>
      <c r="B791" s="3" t="s">
        <v>23</v>
      </c>
      <c r="C791" s="3" t="s">
        <v>24</v>
      </c>
      <c r="D791" s="3" t="n">
        <v>1</v>
      </c>
      <c r="E791" s="6" t="n">
        <v>549.99</v>
      </c>
      <c r="F791" s="6" t="n">
        <v>671</v>
      </c>
      <c r="G791" s="7" t="n">
        <f aca="false">F791-E791</f>
        <v>121.01</v>
      </c>
      <c r="H791" s="8" t="n">
        <f aca="false">IF(E791=0,0,F791/E791-1)</f>
        <v>0.220022182221495</v>
      </c>
      <c r="I791" s="3" t="s">
        <v>286</v>
      </c>
    </row>
    <row r="792" customFormat="false" ht="15" hidden="false" customHeight="false" outlineLevel="0" collapsed="false">
      <c r="A792" s="3" t="s">
        <v>906</v>
      </c>
      <c r="B792" s="3" t="s">
        <v>23</v>
      </c>
      <c r="C792" s="3" t="s">
        <v>24</v>
      </c>
      <c r="D792" s="3" t="n">
        <v>1</v>
      </c>
      <c r="E792" s="6" t="n">
        <v>189.99</v>
      </c>
      <c r="F792" s="6" t="n">
        <v>232</v>
      </c>
      <c r="G792" s="7" t="n">
        <f aca="false">F792-E792</f>
        <v>42.01</v>
      </c>
      <c r="H792" s="8" t="n">
        <f aca="false">IF(E792=0,0,F792/E792-1)</f>
        <v>0.22111690088952</v>
      </c>
      <c r="I792" s="3" t="s">
        <v>27</v>
      </c>
    </row>
    <row r="793" customFormat="false" ht="15" hidden="false" customHeight="false" outlineLevel="0" collapsed="false">
      <c r="A793" s="3" t="s">
        <v>907</v>
      </c>
      <c r="B793" s="3" t="s">
        <v>23</v>
      </c>
      <c r="C793" s="3" t="s">
        <v>24</v>
      </c>
      <c r="D793" s="3" t="n">
        <v>1</v>
      </c>
      <c r="E793" s="6" t="n">
        <v>110</v>
      </c>
      <c r="F793" s="6" t="n">
        <v>135</v>
      </c>
      <c r="G793" s="7" t="n">
        <f aca="false">F793-E793</f>
        <v>25</v>
      </c>
      <c r="H793" s="8" t="n">
        <f aca="false">IF(E793=0,0,F793/E793-1)</f>
        <v>0.227272727272727</v>
      </c>
      <c r="I793" s="3" t="s">
        <v>27</v>
      </c>
    </row>
    <row r="794" customFormat="false" ht="15" hidden="false" customHeight="false" outlineLevel="0" collapsed="false">
      <c r="A794" s="3" t="s">
        <v>908</v>
      </c>
      <c r="B794" s="3" t="s">
        <v>23</v>
      </c>
      <c r="C794" s="3" t="s">
        <v>24</v>
      </c>
      <c r="D794" s="3" t="n">
        <v>1</v>
      </c>
      <c r="E794" s="6" t="n">
        <v>110</v>
      </c>
      <c r="F794" s="6" t="n">
        <v>135</v>
      </c>
      <c r="G794" s="7" t="n">
        <f aca="false">F794-E794</f>
        <v>25</v>
      </c>
      <c r="H794" s="8" t="n">
        <f aca="false">IF(E794=0,0,F794/E794-1)</f>
        <v>0.227272727272727</v>
      </c>
      <c r="I794" s="3" t="s">
        <v>27</v>
      </c>
    </row>
    <row r="795" customFormat="false" ht="15" hidden="false" customHeight="false" outlineLevel="0" collapsed="false">
      <c r="A795" s="3" t="s">
        <v>909</v>
      </c>
      <c r="B795" s="3" t="s">
        <v>23</v>
      </c>
      <c r="C795" s="3" t="s">
        <v>24</v>
      </c>
      <c r="D795" s="3" t="n">
        <v>1</v>
      </c>
      <c r="E795" s="6" t="n">
        <v>99.99</v>
      </c>
      <c r="F795" s="6" t="n">
        <v>122</v>
      </c>
      <c r="G795" s="7" t="n">
        <f aca="false">F795-E795</f>
        <v>22.01</v>
      </c>
      <c r="H795" s="8" t="n">
        <f aca="false">IF(E795=0,0,F795/E795-1)</f>
        <v>0.22012201220122</v>
      </c>
      <c r="I795" s="3" t="s">
        <v>27</v>
      </c>
    </row>
    <row r="796" customFormat="false" ht="15" hidden="false" customHeight="false" outlineLevel="0" collapsed="false">
      <c r="A796" s="3" t="s">
        <v>910</v>
      </c>
      <c r="B796" s="3" t="s">
        <v>23</v>
      </c>
      <c r="C796" s="3" t="s">
        <v>24</v>
      </c>
      <c r="D796" s="3" t="n">
        <v>1</v>
      </c>
      <c r="E796" s="6" t="n">
        <v>99.99</v>
      </c>
      <c r="F796" s="6" t="n">
        <v>122</v>
      </c>
      <c r="G796" s="7" t="n">
        <f aca="false">F796-E796</f>
        <v>22.01</v>
      </c>
      <c r="H796" s="8" t="n">
        <f aca="false">IF(E796=0,0,F796/E796-1)</f>
        <v>0.22012201220122</v>
      </c>
      <c r="I796" s="3" t="s">
        <v>27</v>
      </c>
    </row>
    <row r="797" customFormat="false" ht="15" hidden="false" customHeight="false" outlineLevel="0" collapsed="false">
      <c r="A797" s="3" t="s">
        <v>911</v>
      </c>
      <c r="B797" s="3" t="s">
        <v>23</v>
      </c>
      <c r="C797" s="3" t="s">
        <v>24</v>
      </c>
      <c r="D797" s="3" t="n">
        <v>1</v>
      </c>
      <c r="E797" s="6" t="n">
        <v>200</v>
      </c>
      <c r="F797" s="6" t="n">
        <v>244</v>
      </c>
      <c r="G797" s="7" t="n">
        <f aca="false">F797-E797</f>
        <v>44</v>
      </c>
      <c r="H797" s="8" t="n">
        <f aca="false">IF(E797=0,0,F797/E797-1)</f>
        <v>0.22</v>
      </c>
      <c r="I797" s="3" t="s">
        <v>912</v>
      </c>
    </row>
    <row r="798" customFormat="false" ht="15" hidden="false" customHeight="false" outlineLevel="0" collapsed="false">
      <c r="A798" s="3" t="s">
        <v>913</v>
      </c>
      <c r="B798" s="3" t="s">
        <v>23</v>
      </c>
      <c r="C798" s="3" t="s">
        <v>24</v>
      </c>
      <c r="D798" s="3" t="n">
        <v>1</v>
      </c>
      <c r="E798" s="6" t="n">
        <v>22</v>
      </c>
      <c r="F798" s="6" t="n">
        <v>27</v>
      </c>
      <c r="G798" s="7" t="n">
        <f aca="false">F798-E798</f>
        <v>5</v>
      </c>
      <c r="H798" s="8" t="n">
        <f aca="false">IF(E798=0,0,F798/E798-1)</f>
        <v>0.227272727272727</v>
      </c>
      <c r="I798" s="3" t="s">
        <v>27</v>
      </c>
    </row>
    <row r="799" customFormat="false" ht="15" hidden="false" customHeight="false" outlineLevel="0" collapsed="false">
      <c r="A799" s="3" t="s">
        <v>914</v>
      </c>
      <c r="B799" s="3" t="s">
        <v>23</v>
      </c>
      <c r="C799" s="3" t="s">
        <v>24</v>
      </c>
      <c r="D799" s="3" t="n">
        <v>1</v>
      </c>
      <c r="E799" s="6" t="n">
        <v>680</v>
      </c>
      <c r="F799" s="6" t="n">
        <v>830</v>
      </c>
      <c r="G799" s="7" t="n">
        <f aca="false">F799-E799</f>
        <v>150</v>
      </c>
      <c r="H799" s="8" t="n">
        <f aca="false">IF(E799=0,0,F799/E799-1)</f>
        <v>0.220588235294118</v>
      </c>
      <c r="I799" s="3" t="s">
        <v>697</v>
      </c>
    </row>
    <row r="800" customFormat="false" ht="15" hidden="false" customHeight="false" outlineLevel="0" collapsed="false">
      <c r="A800" s="3" t="s">
        <v>915</v>
      </c>
      <c r="B800" s="3" t="s">
        <v>23</v>
      </c>
      <c r="C800" s="3" t="s">
        <v>24</v>
      </c>
      <c r="D800" s="3" t="n">
        <v>1</v>
      </c>
      <c r="E800" s="6" t="n">
        <v>119.99</v>
      </c>
      <c r="F800" s="6" t="n">
        <v>147</v>
      </c>
      <c r="G800" s="7" t="n">
        <f aca="false">F800-E800</f>
        <v>27.01</v>
      </c>
      <c r="H800" s="8" t="n">
        <f aca="false">IF(E800=0,0,F800/E800-1)</f>
        <v>0.225102091840987</v>
      </c>
      <c r="I800" s="3" t="s">
        <v>27</v>
      </c>
    </row>
    <row r="801" customFormat="false" ht="15" hidden="false" customHeight="false" outlineLevel="0" collapsed="false">
      <c r="A801" s="3" t="s">
        <v>916</v>
      </c>
      <c r="B801" s="3" t="s">
        <v>23</v>
      </c>
      <c r="C801" s="3" t="s">
        <v>24</v>
      </c>
      <c r="D801" s="3" t="n">
        <v>1</v>
      </c>
      <c r="E801" s="6" t="n">
        <v>15</v>
      </c>
      <c r="F801" s="6" t="n">
        <v>18.5</v>
      </c>
      <c r="G801" s="7" t="n">
        <f aca="false">F801-E801</f>
        <v>3.5</v>
      </c>
      <c r="H801" s="8" t="n">
        <f aca="false">IF(E801=0,0,F801/E801-1)</f>
        <v>0.233333333333333</v>
      </c>
      <c r="I801" s="3" t="s">
        <v>27</v>
      </c>
    </row>
    <row r="802" customFormat="false" ht="15" hidden="false" customHeight="false" outlineLevel="0" collapsed="false">
      <c r="A802" s="3" t="s">
        <v>917</v>
      </c>
      <c r="B802" s="3" t="s">
        <v>23</v>
      </c>
      <c r="C802" s="3" t="s">
        <v>24</v>
      </c>
      <c r="D802" s="3" t="n">
        <v>1</v>
      </c>
      <c r="E802" s="6" t="n">
        <v>233</v>
      </c>
      <c r="F802" s="6" t="n">
        <v>285</v>
      </c>
      <c r="G802" s="7" t="n">
        <f aca="false">F802-E802</f>
        <v>52</v>
      </c>
      <c r="H802" s="8" t="n">
        <f aca="false">IF(E802=0,0,F802/E802-1)</f>
        <v>0.223175965665236</v>
      </c>
      <c r="I802" s="3" t="s">
        <v>27</v>
      </c>
    </row>
    <row r="803" customFormat="false" ht="15" hidden="false" customHeight="false" outlineLevel="0" collapsed="false">
      <c r="A803" s="3" t="s">
        <v>918</v>
      </c>
      <c r="B803" s="3" t="s">
        <v>23</v>
      </c>
      <c r="C803" s="3" t="s">
        <v>179</v>
      </c>
      <c r="D803" s="3" t="n">
        <v>3</v>
      </c>
      <c r="E803" s="6" t="n">
        <v>765</v>
      </c>
      <c r="F803" s="6" t="n">
        <v>888</v>
      </c>
      <c r="G803" s="7" t="n">
        <f aca="false">F803-E803</f>
        <v>123</v>
      </c>
      <c r="H803" s="8" t="n">
        <f aca="false">IF(E803=0,0,F803/E803-1)</f>
        <v>0.16078431372549</v>
      </c>
      <c r="I803" s="3" t="s">
        <v>919</v>
      </c>
    </row>
    <row r="804" customFormat="false" ht="15" hidden="false" customHeight="false" outlineLevel="0" collapsed="false">
      <c r="A804" s="3" t="s">
        <v>920</v>
      </c>
      <c r="B804" s="3" t="s">
        <v>23</v>
      </c>
      <c r="C804" s="3" t="s">
        <v>24</v>
      </c>
      <c r="D804" s="3" t="n">
        <v>1</v>
      </c>
      <c r="E804" s="6" t="n">
        <v>6412.5</v>
      </c>
      <c r="F804" s="6" t="n">
        <v>7825</v>
      </c>
      <c r="G804" s="7" t="n">
        <f aca="false">F804-E804</f>
        <v>1412.5</v>
      </c>
      <c r="H804" s="8" t="n">
        <f aca="false">IF(E804=0,0,F804/E804-1)</f>
        <v>0.220272904483431</v>
      </c>
      <c r="I804" s="3" t="s">
        <v>697</v>
      </c>
    </row>
    <row r="805" customFormat="false" ht="15" hidden="false" customHeight="false" outlineLevel="0" collapsed="false">
      <c r="A805" s="3" t="s">
        <v>921</v>
      </c>
      <c r="B805" s="3" t="s">
        <v>23</v>
      </c>
      <c r="C805" s="3" t="s">
        <v>24</v>
      </c>
      <c r="D805" s="3" t="n">
        <v>1</v>
      </c>
      <c r="E805" s="6" t="n">
        <v>99.99</v>
      </c>
      <c r="F805" s="6" t="n">
        <v>122</v>
      </c>
      <c r="G805" s="7" t="n">
        <f aca="false">F805-E805</f>
        <v>22.01</v>
      </c>
      <c r="H805" s="8" t="n">
        <f aca="false">IF(E805=0,0,F805/E805-1)</f>
        <v>0.22012201220122</v>
      </c>
      <c r="I805" s="3" t="s">
        <v>27</v>
      </c>
    </row>
    <row r="806" customFormat="false" ht="15" hidden="false" customHeight="false" outlineLevel="0" collapsed="false">
      <c r="A806" s="3" t="s">
        <v>922</v>
      </c>
      <c r="B806" s="3" t="s">
        <v>23</v>
      </c>
      <c r="C806" s="3" t="s">
        <v>24</v>
      </c>
      <c r="D806" s="3" t="n">
        <v>1</v>
      </c>
      <c r="E806" s="6" t="n">
        <v>99.99</v>
      </c>
      <c r="F806" s="6" t="n">
        <v>122</v>
      </c>
      <c r="G806" s="7" t="n">
        <f aca="false">F806-E806</f>
        <v>22.01</v>
      </c>
      <c r="H806" s="8" t="n">
        <f aca="false">IF(E806=0,0,F806/E806-1)</f>
        <v>0.22012201220122</v>
      </c>
      <c r="I806" s="3" t="s">
        <v>27</v>
      </c>
    </row>
    <row r="807" customFormat="false" ht="15" hidden="false" customHeight="false" outlineLevel="0" collapsed="false">
      <c r="A807" s="3" t="s">
        <v>923</v>
      </c>
      <c r="B807" s="3" t="s">
        <v>23</v>
      </c>
      <c r="C807" s="3" t="s">
        <v>24</v>
      </c>
      <c r="D807" s="3" t="n">
        <v>1</v>
      </c>
      <c r="E807" s="6" t="n">
        <v>249.36</v>
      </c>
      <c r="F807" s="6" t="n">
        <v>305</v>
      </c>
      <c r="G807" s="7" t="n">
        <f aca="false">F807-E807</f>
        <v>55.64</v>
      </c>
      <c r="H807" s="8" t="n">
        <f aca="false">IF(E807=0,0,F807/E807-1)</f>
        <v>0.223131215912737</v>
      </c>
      <c r="I807" s="3" t="s">
        <v>27</v>
      </c>
    </row>
    <row r="808" customFormat="false" ht="15" hidden="false" customHeight="false" outlineLevel="0" collapsed="false">
      <c r="A808" s="3" t="s">
        <v>924</v>
      </c>
      <c r="B808" s="3" t="s">
        <v>23</v>
      </c>
      <c r="C808" s="3" t="s">
        <v>24</v>
      </c>
      <c r="D808" s="3" t="n">
        <v>1</v>
      </c>
      <c r="E808" s="6" t="n">
        <v>79.99</v>
      </c>
      <c r="F808" s="6" t="n">
        <v>98</v>
      </c>
      <c r="G808" s="7" t="n">
        <f aca="false">F808-E808</f>
        <v>18.01</v>
      </c>
      <c r="H808" s="8" t="n">
        <f aca="false">IF(E808=0,0,F808/E808-1)</f>
        <v>0.225153144143018</v>
      </c>
      <c r="I808" s="3" t="s">
        <v>27</v>
      </c>
    </row>
    <row r="809" customFormat="false" ht="15" hidden="false" customHeight="false" outlineLevel="0" collapsed="false">
      <c r="A809" s="3" t="s">
        <v>925</v>
      </c>
      <c r="B809" s="3" t="s">
        <v>23</v>
      </c>
      <c r="C809" s="3" t="s">
        <v>24</v>
      </c>
      <c r="D809" s="3" t="n">
        <v>1</v>
      </c>
      <c r="E809" s="6" t="n">
        <v>177</v>
      </c>
      <c r="F809" s="6" t="n">
        <v>216</v>
      </c>
      <c r="G809" s="7" t="n">
        <f aca="false">F809-E809</f>
        <v>39</v>
      </c>
      <c r="H809" s="8" t="n">
        <f aca="false">IF(E809=0,0,F809/E809-1)</f>
        <v>0.220338983050848</v>
      </c>
      <c r="I809" s="3" t="s">
        <v>27</v>
      </c>
    </row>
    <row r="810" customFormat="false" ht="15" hidden="false" customHeight="false" outlineLevel="0" collapsed="false">
      <c r="A810" s="3" t="s">
        <v>926</v>
      </c>
      <c r="B810" s="3" t="s">
        <v>23</v>
      </c>
      <c r="C810" s="3" t="s">
        <v>24</v>
      </c>
      <c r="D810" s="3" t="n">
        <v>1</v>
      </c>
      <c r="E810" s="6" t="n">
        <v>174.99</v>
      </c>
      <c r="F810" s="6" t="n">
        <v>214</v>
      </c>
      <c r="G810" s="7" t="n">
        <f aca="false">F810-E810</f>
        <v>39.01</v>
      </c>
      <c r="H810" s="8" t="n">
        <f aca="false">IF(E810=0,0,F810/E810-1)</f>
        <v>0.222927024401394</v>
      </c>
      <c r="I810" s="3" t="s">
        <v>27</v>
      </c>
    </row>
    <row r="811" customFormat="false" ht="15" hidden="false" customHeight="false" outlineLevel="0" collapsed="false">
      <c r="A811" s="3" t="s">
        <v>927</v>
      </c>
      <c r="B811" s="3" t="s">
        <v>23</v>
      </c>
      <c r="C811" s="3" t="s">
        <v>24</v>
      </c>
      <c r="D811" s="3" t="n">
        <v>1</v>
      </c>
      <c r="E811" s="6" t="n">
        <v>79.99</v>
      </c>
      <c r="F811" s="6" t="n">
        <v>98</v>
      </c>
      <c r="G811" s="7" t="n">
        <f aca="false">F811-E811</f>
        <v>18.01</v>
      </c>
      <c r="H811" s="8" t="n">
        <f aca="false">IF(E811=0,0,F811/E811-1)</f>
        <v>0.225153144143018</v>
      </c>
      <c r="I811" s="3" t="s">
        <v>27</v>
      </c>
    </row>
    <row r="812" customFormat="false" ht="15" hidden="false" customHeight="false" outlineLevel="0" collapsed="false">
      <c r="A812" s="3" t="s">
        <v>928</v>
      </c>
      <c r="B812" s="3" t="s">
        <v>23</v>
      </c>
      <c r="C812" s="3" t="s">
        <v>24</v>
      </c>
      <c r="D812" s="3" t="n">
        <v>1</v>
      </c>
      <c r="E812" s="6" t="n">
        <v>85</v>
      </c>
      <c r="F812" s="6" t="n">
        <v>104</v>
      </c>
      <c r="G812" s="7" t="n">
        <f aca="false">F812-E812</f>
        <v>19</v>
      </c>
      <c r="H812" s="8" t="n">
        <f aca="false">IF(E812=0,0,F812/E812-1)</f>
        <v>0.223529411764706</v>
      </c>
      <c r="I812" s="3" t="s">
        <v>27</v>
      </c>
    </row>
    <row r="813" customFormat="false" ht="15" hidden="false" customHeight="false" outlineLevel="0" collapsed="false">
      <c r="A813" s="3" t="s">
        <v>929</v>
      </c>
      <c r="B813" s="3" t="s">
        <v>23</v>
      </c>
      <c r="C813" s="3" t="s">
        <v>24</v>
      </c>
      <c r="D813" s="3" t="n">
        <v>1</v>
      </c>
      <c r="E813" s="6" t="n">
        <v>379.99</v>
      </c>
      <c r="F813" s="6" t="n">
        <v>464</v>
      </c>
      <c r="G813" s="7" t="n">
        <f aca="false">F813-E813</f>
        <v>84.01</v>
      </c>
      <c r="H813" s="8" t="n">
        <f aca="false">IF(E813=0,0,F813/E813-1)</f>
        <v>0.221084765388563</v>
      </c>
      <c r="I813" s="3" t="s">
        <v>486</v>
      </c>
    </row>
    <row r="814" customFormat="false" ht="15" hidden="false" customHeight="false" outlineLevel="0" collapsed="false">
      <c r="A814" s="3" t="s">
        <v>930</v>
      </c>
      <c r="B814" s="3" t="s">
        <v>23</v>
      </c>
      <c r="C814" s="3" t="s">
        <v>179</v>
      </c>
      <c r="D814" s="3" t="n">
        <v>1</v>
      </c>
      <c r="E814" s="6" t="n">
        <v>440</v>
      </c>
      <c r="F814" s="6" t="n">
        <v>537</v>
      </c>
      <c r="G814" s="7" t="n">
        <f aca="false">F814-E814</f>
        <v>97</v>
      </c>
      <c r="H814" s="8" t="n">
        <f aca="false">IF(E814=0,0,F814/E814-1)</f>
        <v>0.220454545454545</v>
      </c>
      <c r="I814" s="3" t="s">
        <v>931</v>
      </c>
    </row>
    <row r="815" customFormat="false" ht="15" hidden="false" customHeight="false" outlineLevel="0" collapsed="false">
      <c r="A815" s="3" t="s">
        <v>932</v>
      </c>
      <c r="B815" s="3" t="s">
        <v>23</v>
      </c>
      <c r="C815" s="3" t="s">
        <v>24</v>
      </c>
      <c r="D815" s="3" t="n">
        <v>1</v>
      </c>
      <c r="E815" s="6" t="n">
        <v>34.61</v>
      </c>
      <c r="F815" s="6" t="n">
        <v>42.5</v>
      </c>
      <c r="G815" s="7" t="n">
        <f aca="false">F815-E815</f>
        <v>7.89</v>
      </c>
      <c r="H815" s="8" t="n">
        <f aca="false">IF(E815=0,0,F815/E815-1)</f>
        <v>0.227968795145912</v>
      </c>
      <c r="I815" s="3" t="s">
        <v>27</v>
      </c>
    </row>
    <row r="816" customFormat="false" ht="15" hidden="false" customHeight="false" outlineLevel="0" collapsed="false">
      <c r="A816" s="3" t="s">
        <v>933</v>
      </c>
      <c r="B816" s="3" t="s">
        <v>23</v>
      </c>
      <c r="C816" s="3" t="s">
        <v>24</v>
      </c>
      <c r="D816" s="3" t="n">
        <v>1</v>
      </c>
      <c r="E816" s="6" t="n">
        <v>210</v>
      </c>
      <c r="F816" s="6" t="n">
        <v>257</v>
      </c>
      <c r="G816" s="7" t="n">
        <f aca="false">F816-E816</f>
        <v>47</v>
      </c>
      <c r="H816" s="8" t="n">
        <f aca="false">IF(E816=0,0,F816/E816-1)</f>
        <v>0.223809523809524</v>
      </c>
      <c r="I816" s="3" t="s">
        <v>27</v>
      </c>
    </row>
    <row r="817" customFormat="false" ht="15" hidden="false" customHeight="false" outlineLevel="0" collapsed="false">
      <c r="A817" s="3" t="s">
        <v>934</v>
      </c>
      <c r="B817" s="3" t="s">
        <v>23</v>
      </c>
      <c r="C817" s="3" t="s">
        <v>24</v>
      </c>
      <c r="D817" s="3" t="n">
        <v>1</v>
      </c>
      <c r="E817" s="6" t="n">
        <v>219.99</v>
      </c>
      <c r="F817" s="6" t="n">
        <v>269</v>
      </c>
      <c r="G817" s="7" t="n">
        <f aca="false">F817-E817</f>
        <v>49.01</v>
      </c>
      <c r="H817" s="8" t="n">
        <f aca="false">IF(E817=0,0,F817/E817-1)</f>
        <v>0.22278285376608</v>
      </c>
      <c r="I817" s="3" t="s">
        <v>27</v>
      </c>
    </row>
    <row r="818" customFormat="false" ht="15" hidden="false" customHeight="false" outlineLevel="0" collapsed="false">
      <c r="A818" s="3" t="s">
        <v>935</v>
      </c>
      <c r="B818" s="3" t="s">
        <v>23</v>
      </c>
      <c r="C818" s="3" t="s">
        <v>24</v>
      </c>
      <c r="D818" s="3" t="n">
        <v>1</v>
      </c>
      <c r="E818" s="6" t="n">
        <v>290</v>
      </c>
      <c r="F818" s="6" t="n">
        <v>354</v>
      </c>
      <c r="G818" s="7" t="n">
        <f aca="false">F818-E818</f>
        <v>64</v>
      </c>
      <c r="H818" s="8" t="n">
        <f aca="false">IF(E818=0,0,F818/E818-1)</f>
        <v>0.220689655172414</v>
      </c>
      <c r="I818" s="3" t="s">
        <v>936</v>
      </c>
    </row>
    <row r="819" customFormat="false" ht="15" hidden="false" customHeight="false" outlineLevel="0" collapsed="false">
      <c r="A819" s="3" t="s">
        <v>937</v>
      </c>
      <c r="B819" s="3" t="s">
        <v>23</v>
      </c>
      <c r="C819" s="3" t="s">
        <v>24</v>
      </c>
      <c r="D819" s="3" t="n">
        <v>1</v>
      </c>
      <c r="E819" s="6" t="n">
        <v>990</v>
      </c>
      <c r="F819" s="6" t="n">
        <v>1210</v>
      </c>
      <c r="G819" s="7" t="n">
        <f aca="false">F819-E819</f>
        <v>220</v>
      </c>
      <c r="H819" s="8" t="n">
        <f aca="false">IF(E819=0,0,F819/E819-1)</f>
        <v>0.222222222222222</v>
      </c>
      <c r="I819" s="3" t="s">
        <v>27</v>
      </c>
    </row>
    <row r="820" customFormat="false" ht="15" hidden="false" customHeight="false" outlineLevel="0" collapsed="false">
      <c r="A820" s="3" t="s">
        <v>938</v>
      </c>
      <c r="B820" s="3" t="s">
        <v>23</v>
      </c>
      <c r="C820" s="3" t="s">
        <v>24</v>
      </c>
      <c r="D820" s="3" t="n">
        <v>3</v>
      </c>
      <c r="E820" s="6" t="n">
        <v>1250</v>
      </c>
      <c r="F820" s="6" t="n">
        <v>1450</v>
      </c>
      <c r="G820" s="7" t="n">
        <f aca="false">F820-E820</f>
        <v>200</v>
      </c>
      <c r="H820" s="8" t="n">
        <f aca="false">IF(E820=0,0,F820/E820-1)</f>
        <v>0.16</v>
      </c>
      <c r="I820" s="3" t="s">
        <v>38</v>
      </c>
    </row>
    <row r="821" customFormat="false" ht="15" hidden="false" customHeight="false" outlineLevel="0" collapsed="false">
      <c r="A821" s="3" t="s">
        <v>939</v>
      </c>
      <c r="B821" s="3" t="s">
        <v>23</v>
      </c>
      <c r="C821" s="3" t="s">
        <v>179</v>
      </c>
      <c r="D821" s="3" t="n">
        <v>1</v>
      </c>
      <c r="E821" s="6" t="n">
        <v>510</v>
      </c>
      <c r="F821" s="6" t="n">
        <v>623</v>
      </c>
      <c r="G821" s="7" t="n">
        <f aca="false">F821-E821</f>
        <v>113</v>
      </c>
      <c r="H821" s="8" t="n">
        <f aca="false">IF(E821=0,0,F821/E821-1)</f>
        <v>0.221568627450981</v>
      </c>
      <c r="I821" s="3" t="s">
        <v>940</v>
      </c>
    </row>
    <row r="822" customFormat="false" ht="15" hidden="false" customHeight="false" outlineLevel="0" collapsed="false">
      <c r="A822" s="3" t="s">
        <v>941</v>
      </c>
      <c r="B822" s="3" t="s">
        <v>23</v>
      </c>
      <c r="C822" s="3" t="s">
        <v>24</v>
      </c>
      <c r="D822" s="3" t="n">
        <v>1</v>
      </c>
      <c r="E822" s="6" t="n">
        <v>320</v>
      </c>
      <c r="F822" s="6" t="n">
        <v>391</v>
      </c>
      <c r="G822" s="7" t="n">
        <f aca="false">F822-E822</f>
        <v>71</v>
      </c>
      <c r="H822" s="8" t="n">
        <f aca="false">IF(E822=0,0,F822/E822-1)</f>
        <v>0.221875</v>
      </c>
      <c r="I822" s="3" t="s">
        <v>27</v>
      </c>
    </row>
    <row r="823" customFormat="false" ht="15" hidden="false" customHeight="false" outlineLevel="0" collapsed="false">
      <c r="A823" s="3" t="s">
        <v>942</v>
      </c>
      <c r="B823" s="3" t="s">
        <v>23</v>
      </c>
      <c r="C823" s="3" t="s">
        <v>24</v>
      </c>
      <c r="D823" s="3" t="n">
        <v>5</v>
      </c>
      <c r="E823" s="6" t="n">
        <v>499.99</v>
      </c>
      <c r="F823" s="6" t="n">
        <v>510</v>
      </c>
      <c r="G823" s="7" t="n">
        <f aca="false">F823-E823</f>
        <v>10.01</v>
      </c>
      <c r="H823" s="8" t="n">
        <f aca="false">IF(E823=0,0,F823/E823-1)</f>
        <v>0.0200204004080082</v>
      </c>
      <c r="I823" s="3" t="s">
        <v>368</v>
      </c>
    </row>
    <row r="824" customFormat="false" ht="15" hidden="false" customHeight="false" outlineLevel="0" collapsed="false">
      <c r="A824" s="3" t="s">
        <v>943</v>
      </c>
      <c r="B824" s="3" t="s">
        <v>23</v>
      </c>
      <c r="C824" s="3" t="s">
        <v>24</v>
      </c>
      <c r="D824" s="3" t="n">
        <v>1</v>
      </c>
      <c r="E824" s="6" t="n">
        <v>105</v>
      </c>
      <c r="F824" s="6" t="n">
        <v>129</v>
      </c>
      <c r="G824" s="7" t="n">
        <f aca="false">F824-E824</f>
        <v>24</v>
      </c>
      <c r="H824" s="8" t="n">
        <f aca="false">IF(E824=0,0,F824/E824-1)</f>
        <v>0.228571428571429</v>
      </c>
      <c r="I824" s="3" t="s">
        <v>27</v>
      </c>
    </row>
    <row r="825" customFormat="false" ht="15" hidden="false" customHeight="false" outlineLevel="0" collapsed="false">
      <c r="A825" s="3" t="s">
        <v>944</v>
      </c>
      <c r="B825" s="3" t="s">
        <v>23</v>
      </c>
      <c r="C825" s="3" t="s">
        <v>24</v>
      </c>
      <c r="D825" s="3" t="n">
        <v>1</v>
      </c>
      <c r="E825" s="6" t="n">
        <v>249.99</v>
      </c>
      <c r="F825" s="6" t="n">
        <v>305</v>
      </c>
      <c r="G825" s="7" t="n">
        <f aca="false">F825-E825</f>
        <v>55.01</v>
      </c>
      <c r="H825" s="8" t="n">
        <f aca="false">IF(E825=0,0,F825/E825-1)</f>
        <v>0.220048801952078</v>
      </c>
      <c r="I825" s="3" t="s">
        <v>27</v>
      </c>
    </row>
    <row r="826" customFormat="false" ht="15" hidden="false" customHeight="false" outlineLevel="0" collapsed="false">
      <c r="A826" s="3" t="s">
        <v>945</v>
      </c>
      <c r="B826" s="3" t="s">
        <v>23</v>
      </c>
      <c r="C826" s="3" t="s">
        <v>24</v>
      </c>
      <c r="D826" s="3" t="n">
        <v>1</v>
      </c>
      <c r="E826" s="6" t="n">
        <v>99.99</v>
      </c>
      <c r="F826" s="6" t="n">
        <v>122</v>
      </c>
      <c r="G826" s="7" t="n">
        <f aca="false">F826-E826</f>
        <v>22.01</v>
      </c>
      <c r="H826" s="8" t="n">
        <f aca="false">IF(E826=0,0,F826/E826-1)</f>
        <v>0.22012201220122</v>
      </c>
      <c r="I826" s="3" t="s">
        <v>27</v>
      </c>
    </row>
    <row r="827" customFormat="false" ht="15" hidden="false" customHeight="false" outlineLevel="0" collapsed="false">
      <c r="A827" s="3" t="s">
        <v>946</v>
      </c>
      <c r="B827" s="3" t="s">
        <v>23</v>
      </c>
      <c r="C827" s="3" t="s">
        <v>24</v>
      </c>
      <c r="D827" s="3" t="n">
        <v>1</v>
      </c>
      <c r="E827" s="6" t="n">
        <v>110</v>
      </c>
      <c r="F827" s="6" t="n">
        <v>135</v>
      </c>
      <c r="G827" s="7" t="n">
        <f aca="false">F827-E827</f>
        <v>25</v>
      </c>
      <c r="H827" s="8" t="n">
        <f aca="false">IF(E827=0,0,F827/E827-1)</f>
        <v>0.227272727272727</v>
      </c>
      <c r="I827" s="3" t="s">
        <v>27</v>
      </c>
    </row>
    <row r="828" customFormat="false" ht="15" hidden="false" customHeight="false" outlineLevel="0" collapsed="false">
      <c r="A828" s="3" t="s">
        <v>947</v>
      </c>
      <c r="B828" s="3" t="s">
        <v>23</v>
      </c>
      <c r="C828" s="3" t="s">
        <v>24</v>
      </c>
      <c r="D828" s="3" t="n">
        <v>1</v>
      </c>
      <c r="E828" s="6" t="n">
        <v>29.99</v>
      </c>
      <c r="F828" s="6" t="n">
        <v>37</v>
      </c>
      <c r="G828" s="7" t="n">
        <f aca="false">F828-E828</f>
        <v>7.01</v>
      </c>
      <c r="H828" s="8" t="n">
        <f aca="false">IF(E828=0,0,F828/E828-1)</f>
        <v>0.233744581527176</v>
      </c>
      <c r="I828" s="3" t="s">
        <v>27</v>
      </c>
    </row>
    <row r="829" customFormat="false" ht="15" hidden="false" customHeight="false" outlineLevel="0" collapsed="false">
      <c r="A829" s="3" t="s">
        <v>948</v>
      </c>
      <c r="B829" s="3" t="s">
        <v>23</v>
      </c>
      <c r="C829" s="3" t="s">
        <v>24</v>
      </c>
      <c r="D829" s="3" t="n">
        <v>1</v>
      </c>
      <c r="E829" s="6" t="n">
        <v>22</v>
      </c>
      <c r="F829" s="6" t="n">
        <v>27</v>
      </c>
      <c r="G829" s="7" t="n">
        <f aca="false">F829-E829</f>
        <v>5</v>
      </c>
      <c r="H829" s="8" t="n">
        <f aca="false">IF(E829=0,0,F829/E829-1)</f>
        <v>0.227272727272727</v>
      </c>
      <c r="I829" s="3" t="s">
        <v>27</v>
      </c>
    </row>
    <row r="830" customFormat="false" ht="15" hidden="false" customHeight="false" outlineLevel="0" collapsed="false">
      <c r="A830" s="3" t="s">
        <v>949</v>
      </c>
      <c r="B830" s="3" t="s">
        <v>23</v>
      </c>
      <c r="C830" s="3" t="s">
        <v>24</v>
      </c>
      <c r="D830" s="3" t="n">
        <v>1</v>
      </c>
      <c r="E830" s="6" t="n">
        <v>99.99</v>
      </c>
      <c r="F830" s="6" t="n">
        <v>122</v>
      </c>
      <c r="G830" s="7" t="n">
        <f aca="false">F830-E830</f>
        <v>22.01</v>
      </c>
      <c r="H830" s="8" t="n">
        <f aca="false">IF(E830=0,0,F830/E830-1)</f>
        <v>0.22012201220122</v>
      </c>
      <c r="I830" s="3" t="s">
        <v>27</v>
      </c>
    </row>
    <row r="831" customFormat="false" ht="15" hidden="false" customHeight="false" outlineLevel="0" collapsed="false">
      <c r="A831" s="3" t="s">
        <v>950</v>
      </c>
      <c r="B831" s="3" t="s">
        <v>23</v>
      </c>
      <c r="C831" s="3" t="s">
        <v>24</v>
      </c>
      <c r="D831" s="3" t="n">
        <v>1</v>
      </c>
      <c r="E831" s="6" t="n">
        <v>149.99</v>
      </c>
      <c r="F831" s="6" t="n">
        <v>183</v>
      </c>
      <c r="G831" s="7" t="n">
        <f aca="false">F831-E831</f>
        <v>33.01</v>
      </c>
      <c r="H831" s="8" t="n">
        <f aca="false">IF(E831=0,0,F831/E831-1)</f>
        <v>0.220081338755917</v>
      </c>
      <c r="I831" s="3" t="s">
        <v>27</v>
      </c>
    </row>
    <row r="832" customFormat="false" ht="15" hidden="false" customHeight="false" outlineLevel="0" collapsed="false">
      <c r="A832" s="3" t="s">
        <v>951</v>
      </c>
      <c r="B832" s="3" t="s">
        <v>23</v>
      </c>
      <c r="C832" s="3" t="s">
        <v>24</v>
      </c>
      <c r="D832" s="3" t="n">
        <v>1</v>
      </c>
      <c r="E832" s="6" t="n">
        <v>32.04</v>
      </c>
      <c r="F832" s="6" t="n">
        <v>39.5</v>
      </c>
      <c r="G832" s="7" t="n">
        <f aca="false">F832-E832</f>
        <v>7.46</v>
      </c>
      <c r="H832" s="8" t="n">
        <f aca="false">IF(E832=0,0,F832/E832-1)</f>
        <v>0.232833957553059</v>
      </c>
      <c r="I832" s="3" t="s">
        <v>27</v>
      </c>
    </row>
    <row r="833" customFormat="false" ht="15" hidden="false" customHeight="false" outlineLevel="0" collapsed="false">
      <c r="A833" s="3" t="s">
        <v>952</v>
      </c>
      <c r="B833" s="3" t="s">
        <v>23</v>
      </c>
      <c r="C833" s="3" t="s">
        <v>24</v>
      </c>
      <c r="D833" s="3" t="n">
        <v>1</v>
      </c>
      <c r="E833" s="6" t="n">
        <v>44.99</v>
      </c>
      <c r="F833" s="6" t="n">
        <v>55</v>
      </c>
      <c r="G833" s="7" t="n">
        <f aca="false">F833-E833</f>
        <v>10.01</v>
      </c>
      <c r="H833" s="8" t="n">
        <f aca="false">IF(E833=0,0,F833/E833-1)</f>
        <v>0.222493887530562</v>
      </c>
      <c r="I833" s="3" t="s">
        <v>27</v>
      </c>
    </row>
    <row r="834" customFormat="false" ht="15" hidden="false" customHeight="false" outlineLevel="0" collapsed="false">
      <c r="A834" s="3" t="s">
        <v>953</v>
      </c>
      <c r="B834" s="3" t="s">
        <v>23</v>
      </c>
      <c r="C834" s="3" t="s">
        <v>24</v>
      </c>
      <c r="D834" s="3" t="n">
        <v>1</v>
      </c>
      <c r="E834" s="6" t="n">
        <v>700</v>
      </c>
      <c r="F834" s="6" t="n">
        <v>854</v>
      </c>
      <c r="G834" s="7" t="n">
        <f aca="false">F834-E834</f>
        <v>154</v>
      </c>
      <c r="H834" s="8" t="n">
        <f aca="false">IF(E834=0,0,F834/E834-1)</f>
        <v>0.22</v>
      </c>
      <c r="I834" s="3" t="s">
        <v>27</v>
      </c>
    </row>
    <row r="835" customFormat="false" ht="15" hidden="false" customHeight="false" outlineLevel="0" collapsed="false">
      <c r="A835" s="3" t="s">
        <v>954</v>
      </c>
      <c r="B835" s="3" t="s">
        <v>23</v>
      </c>
      <c r="C835" s="3" t="s">
        <v>24</v>
      </c>
      <c r="D835" s="3" t="n">
        <v>2</v>
      </c>
      <c r="E835" s="6" t="n">
        <v>4800</v>
      </c>
      <c r="F835" s="6" t="n">
        <v>5665</v>
      </c>
      <c r="G835" s="7" t="n">
        <f aca="false">F835-E835</f>
        <v>865</v>
      </c>
      <c r="H835" s="8" t="n">
        <f aca="false">IF(E835=0,0,F835/E835-1)</f>
        <v>0.180208333333333</v>
      </c>
      <c r="I835" s="3" t="s">
        <v>185</v>
      </c>
    </row>
    <row r="836" customFormat="false" ht="15" hidden="false" customHeight="false" outlineLevel="0" collapsed="false">
      <c r="A836" s="3" t="s">
        <v>955</v>
      </c>
      <c r="B836" s="3" t="s">
        <v>23</v>
      </c>
      <c r="C836" s="3" t="s">
        <v>24</v>
      </c>
      <c r="D836" s="3" t="n">
        <v>1</v>
      </c>
      <c r="E836" s="6" t="n">
        <v>449.99</v>
      </c>
      <c r="F836" s="6" t="n">
        <v>549</v>
      </c>
      <c r="G836" s="7" t="n">
        <f aca="false">F836-E836</f>
        <v>99.01</v>
      </c>
      <c r="H836" s="8" t="n">
        <f aca="false">IF(E836=0,0,F836/E836-1)</f>
        <v>0.220027111713594</v>
      </c>
      <c r="I836" s="3" t="s">
        <v>27</v>
      </c>
    </row>
    <row r="837" customFormat="false" ht="15" hidden="false" customHeight="false" outlineLevel="0" collapsed="false">
      <c r="A837" s="3" t="s">
        <v>956</v>
      </c>
      <c r="B837" s="3" t="s">
        <v>23</v>
      </c>
      <c r="C837" s="3" t="s">
        <v>24</v>
      </c>
      <c r="D837" s="3" t="n">
        <v>1</v>
      </c>
      <c r="E837" s="6" t="n">
        <v>182.21</v>
      </c>
      <c r="F837" s="6" t="n">
        <v>223</v>
      </c>
      <c r="G837" s="7" t="n">
        <f aca="false">F837-E837</f>
        <v>40.79</v>
      </c>
      <c r="H837" s="8" t="n">
        <f aca="false">IF(E837=0,0,F837/E837-1)</f>
        <v>0.2238625761484</v>
      </c>
      <c r="I837" s="3" t="s">
        <v>134</v>
      </c>
    </row>
    <row r="838" customFormat="false" ht="15" hidden="false" customHeight="false" outlineLevel="0" collapsed="false">
      <c r="A838" s="3" t="s">
        <v>957</v>
      </c>
      <c r="B838" s="3" t="s">
        <v>23</v>
      </c>
      <c r="C838" s="3" t="s">
        <v>24</v>
      </c>
      <c r="D838" s="3" t="n">
        <v>1</v>
      </c>
      <c r="E838" s="6" t="n">
        <v>333</v>
      </c>
      <c r="F838" s="6" t="n">
        <v>407</v>
      </c>
      <c r="G838" s="7" t="n">
        <f aca="false">F838-E838</f>
        <v>74</v>
      </c>
      <c r="H838" s="8" t="n">
        <f aca="false">IF(E838=0,0,F838/E838-1)</f>
        <v>0.222222222222222</v>
      </c>
      <c r="I838" s="3" t="s">
        <v>27</v>
      </c>
    </row>
    <row r="839" customFormat="false" ht="15" hidden="false" customHeight="false" outlineLevel="0" collapsed="false">
      <c r="A839" s="3" t="s">
        <v>958</v>
      </c>
      <c r="B839" s="3" t="s">
        <v>23</v>
      </c>
      <c r="C839" s="3" t="s">
        <v>24</v>
      </c>
      <c r="D839" s="3" t="n">
        <v>1</v>
      </c>
      <c r="E839" s="6" t="n">
        <v>333</v>
      </c>
      <c r="F839" s="6" t="n">
        <v>407</v>
      </c>
      <c r="G839" s="7" t="n">
        <f aca="false">F839-E839</f>
        <v>74</v>
      </c>
      <c r="H839" s="8" t="n">
        <f aca="false">IF(E839=0,0,F839/E839-1)</f>
        <v>0.222222222222222</v>
      </c>
      <c r="I839" s="3" t="s">
        <v>27</v>
      </c>
    </row>
    <row r="840" customFormat="false" ht="15" hidden="false" customHeight="false" outlineLevel="0" collapsed="false">
      <c r="A840" s="3" t="s">
        <v>959</v>
      </c>
      <c r="B840" s="3" t="s">
        <v>23</v>
      </c>
      <c r="C840" s="3" t="s">
        <v>24</v>
      </c>
      <c r="D840" s="3" t="n">
        <v>1</v>
      </c>
      <c r="E840" s="6" t="n">
        <v>59.99</v>
      </c>
      <c r="F840" s="6" t="n">
        <v>73.5</v>
      </c>
      <c r="G840" s="7" t="n">
        <f aca="false">F840-E840</f>
        <v>13.51</v>
      </c>
      <c r="H840" s="8" t="n">
        <f aca="false">IF(E840=0,0,F840/E840-1)</f>
        <v>0.225204200700117</v>
      </c>
      <c r="I840" s="3" t="s">
        <v>27</v>
      </c>
    </row>
    <row r="841" customFormat="false" ht="15" hidden="false" customHeight="false" outlineLevel="0" collapsed="false">
      <c r="A841" s="3" t="s">
        <v>960</v>
      </c>
      <c r="B841" s="3" t="s">
        <v>23</v>
      </c>
      <c r="C841" s="3" t="s">
        <v>24</v>
      </c>
      <c r="D841" s="3" t="n">
        <v>1</v>
      </c>
      <c r="E841" s="6" t="n">
        <v>99.99</v>
      </c>
      <c r="F841" s="6" t="n">
        <v>122</v>
      </c>
      <c r="G841" s="7" t="n">
        <f aca="false">F841-E841</f>
        <v>22.01</v>
      </c>
      <c r="H841" s="8" t="n">
        <f aca="false">IF(E841=0,0,F841/E841-1)</f>
        <v>0.22012201220122</v>
      </c>
      <c r="I841" s="3" t="s">
        <v>27</v>
      </c>
    </row>
    <row r="842" customFormat="false" ht="15" hidden="false" customHeight="false" outlineLevel="0" collapsed="false">
      <c r="A842" s="3" t="s">
        <v>961</v>
      </c>
      <c r="B842" s="3" t="s">
        <v>23</v>
      </c>
      <c r="C842" s="3" t="s">
        <v>24</v>
      </c>
      <c r="D842" s="3" t="n">
        <v>1</v>
      </c>
      <c r="E842" s="6" t="n">
        <v>249.99</v>
      </c>
      <c r="F842" s="6" t="n">
        <v>305</v>
      </c>
      <c r="G842" s="7" t="n">
        <f aca="false">F842-E842</f>
        <v>55.01</v>
      </c>
      <c r="H842" s="8" t="n">
        <f aca="false">IF(E842=0,0,F842/E842-1)</f>
        <v>0.220048801952078</v>
      </c>
      <c r="I842" s="3" t="s">
        <v>27</v>
      </c>
    </row>
    <row r="843" customFormat="false" ht="15" hidden="false" customHeight="false" outlineLevel="0" collapsed="false">
      <c r="A843" s="3" t="s">
        <v>962</v>
      </c>
      <c r="B843" s="3" t="s">
        <v>23</v>
      </c>
      <c r="C843" s="3" t="s">
        <v>24</v>
      </c>
      <c r="D843" s="3" t="n">
        <v>1</v>
      </c>
      <c r="E843" s="6" t="n">
        <v>249.99</v>
      </c>
      <c r="F843" s="6" t="n">
        <v>305</v>
      </c>
      <c r="G843" s="7" t="n">
        <f aca="false">F843-E843</f>
        <v>55.01</v>
      </c>
      <c r="H843" s="8" t="n">
        <f aca="false">IF(E843=0,0,F843/E843-1)</f>
        <v>0.220048801952078</v>
      </c>
      <c r="I843" s="3" t="s">
        <v>27</v>
      </c>
    </row>
    <row r="844" customFormat="false" ht="15" hidden="false" customHeight="false" outlineLevel="0" collapsed="false">
      <c r="A844" s="3" t="s">
        <v>963</v>
      </c>
      <c r="B844" s="3" t="s">
        <v>23</v>
      </c>
      <c r="C844" s="3" t="s">
        <v>24</v>
      </c>
      <c r="D844" s="3" t="n">
        <v>1</v>
      </c>
      <c r="E844" s="6" t="n">
        <v>450</v>
      </c>
      <c r="F844" s="6" t="n">
        <v>549</v>
      </c>
      <c r="G844" s="7" t="n">
        <f aca="false">F844-E844</f>
        <v>99</v>
      </c>
      <c r="H844" s="8" t="n">
        <f aca="false">IF(E844=0,0,F844/E844-1)</f>
        <v>0.22</v>
      </c>
      <c r="I844" s="3" t="s">
        <v>27</v>
      </c>
    </row>
    <row r="845" customFormat="false" ht="15" hidden="false" customHeight="false" outlineLevel="0" collapsed="false">
      <c r="A845" s="3" t="s">
        <v>964</v>
      </c>
      <c r="B845" s="3" t="s">
        <v>23</v>
      </c>
      <c r="C845" s="3" t="s">
        <v>24</v>
      </c>
      <c r="D845" s="3" t="n">
        <v>1</v>
      </c>
      <c r="E845" s="6" t="n">
        <v>449</v>
      </c>
      <c r="F845" s="6" t="n">
        <v>548</v>
      </c>
      <c r="G845" s="7" t="n">
        <f aca="false">F845-E845</f>
        <v>99</v>
      </c>
      <c r="H845" s="8" t="n">
        <f aca="false">IF(E845=0,0,F845/E845-1)</f>
        <v>0.220489977728285</v>
      </c>
      <c r="I845" s="3" t="s">
        <v>27</v>
      </c>
    </row>
    <row r="846" customFormat="false" ht="15" hidden="false" customHeight="false" outlineLevel="0" collapsed="false">
      <c r="A846" s="3" t="s">
        <v>965</v>
      </c>
      <c r="B846" s="3" t="s">
        <v>23</v>
      </c>
      <c r="C846" s="3" t="s">
        <v>24</v>
      </c>
      <c r="D846" s="3" t="n">
        <v>1</v>
      </c>
      <c r="E846" s="6" t="n">
        <v>240</v>
      </c>
      <c r="F846" s="6" t="n">
        <v>293</v>
      </c>
      <c r="G846" s="7" t="n">
        <f aca="false">F846-E846</f>
        <v>53</v>
      </c>
      <c r="H846" s="8" t="n">
        <f aca="false">IF(E846=0,0,F846/E846-1)</f>
        <v>0.220833333333333</v>
      </c>
      <c r="I846" s="3" t="s">
        <v>966</v>
      </c>
    </row>
    <row r="847" customFormat="false" ht="15" hidden="false" customHeight="false" outlineLevel="0" collapsed="false">
      <c r="A847" s="3" t="s">
        <v>967</v>
      </c>
      <c r="B847" s="3" t="s">
        <v>23</v>
      </c>
      <c r="C847" s="3" t="s">
        <v>24</v>
      </c>
      <c r="D847" s="3" t="n">
        <v>1</v>
      </c>
      <c r="E847" s="6" t="n">
        <v>150</v>
      </c>
      <c r="F847" s="6" t="n">
        <v>183</v>
      </c>
      <c r="G847" s="7" t="n">
        <f aca="false">F847-E847</f>
        <v>33</v>
      </c>
      <c r="H847" s="8" t="n">
        <f aca="false">IF(E847=0,0,F847/E847-1)</f>
        <v>0.22</v>
      </c>
      <c r="I847" s="3" t="s">
        <v>968</v>
      </c>
    </row>
    <row r="848" customFormat="false" ht="15" hidden="false" customHeight="false" outlineLevel="0" collapsed="false">
      <c r="A848" s="3" t="s">
        <v>969</v>
      </c>
      <c r="B848" s="3" t="s">
        <v>23</v>
      </c>
      <c r="C848" s="3" t="s">
        <v>24</v>
      </c>
      <c r="D848" s="3" t="n">
        <v>1</v>
      </c>
      <c r="E848" s="6" t="n">
        <v>29.99</v>
      </c>
      <c r="F848" s="6" t="n">
        <v>37</v>
      </c>
      <c r="G848" s="7" t="n">
        <f aca="false">F848-E848</f>
        <v>7.01</v>
      </c>
      <c r="H848" s="8" t="n">
        <f aca="false">IF(E848=0,0,F848/E848-1)</f>
        <v>0.233744581527176</v>
      </c>
      <c r="I848" s="3" t="s">
        <v>397</v>
      </c>
    </row>
    <row r="849" customFormat="false" ht="15" hidden="false" customHeight="false" outlineLevel="0" collapsed="false">
      <c r="A849" s="3" t="s">
        <v>970</v>
      </c>
      <c r="B849" s="3" t="s">
        <v>23</v>
      </c>
      <c r="C849" s="3" t="s">
        <v>24</v>
      </c>
      <c r="D849" s="3" t="n">
        <v>1</v>
      </c>
      <c r="E849" s="6" t="n">
        <v>99.99</v>
      </c>
      <c r="F849" s="6" t="n">
        <v>122</v>
      </c>
      <c r="G849" s="7" t="n">
        <f aca="false">F849-E849</f>
        <v>22.01</v>
      </c>
      <c r="H849" s="8" t="n">
        <f aca="false">IF(E849=0,0,F849/E849-1)</f>
        <v>0.22012201220122</v>
      </c>
      <c r="I849" s="3" t="s">
        <v>27</v>
      </c>
    </row>
    <row r="850" customFormat="false" ht="15" hidden="false" customHeight="false" outlineLevel="0" collapsed="false">
      <c r="A850" s="3" t="s">
        <v>971</v>
      </c>
      <c r="B850" s="3" t="s">
        <v>23</v>
      </c>
      <c r="C850" s="3" t="s">
        <v>24</v>
      </c>
      <c r="D850" s="3" t="n">
        <v>1</v>
      </c>
      <c r="E850" s="6" t="n">
        <v>125</v>
      </c>
      <c r="F850" s="6" t="n">
        <v>153</v>
      </c>
      <c r="G850" s="7" t="n">
        <f aca="false">F850-E850</f>
        <v>28</v>
      </c>
      <c r="H850" s="8" t="n">
        <f aca="false">IF(E850=0,0,F850/E850-1)</f>
        <v>0.224</v>
      </c>
      <c r="I850" s="3" t="s">
        <v>27</v>
      </c>
    </row>
    <row r="851" customFormat="false" ht="15" hidden="false" customHeight="false" outlineLevel="0" collapsed="false">
      <c r="A851" s="3" t="s">
        <v>972</v>
      </c>
      <c r="B851" s="3" t="s">
        <v>23</v>
      </c>
      <c r="C851" s="3" t="s">
        <v>24</v>
      </c>
      <c r="D851" s="3" t="n">
        <v>1</v>
      </c>
      <c r="E851" s="6" t="n">
        <v>49.99</v>
      </c>
      <c r="F851" s="6" t="n">
        <v>61</v>
      </c>
      <c r="G851" s="7" t="n">
        <f aca="false">F851-E851</f>
        <v>11.01</v>
      </c>
      <c r="H851" s="8" t="n">
        <f aca="false">IF(E851=0,0,F851/E851-1)</f>
        <v>0.220244048809762</v>
      </c>
      <c r="I851" s="3" t="s">
        <v>973</v>
      </c>
    </row>
    <row r="852" customFormat="false" ht="15" hidden="false" customHeight="false" outlineLevel="0" collapsed="false">
      <c r="A852" s="3" t="s">
        <v>974</v>
      </c>
      <c r="B852" s="3" t="s">
        <v>23</v>
      </c>
      <c r="C852" s="3" t="s">
        <v>24</v>
      </c>
      <c r="D852" s="3" t="n">
        <v>1</v>
      </c>
      <c r="E852" s="6" t="n">
        <v>45</v>
      </c>
      <c r="F852" s="6" t="n">
        <v>55</v>
      </c>
      <c r="G852" s="7" t="n">
        <f aca="false">F852-E852</f>
        <v>10</v>
      </c>
      <c r="H852" s="8" t="n">
        <f aca="false">IF(E852=0,0,F852/E852-1)</f>
        <v>0.222222222222222</v>
      </c>
      <c r="I852" s="3" t="s">
        <v>27</v>
      </c>
    </row>
    <row r="853" customFormat="false" ht="15" hidden="false" customHeight="false" outlineLevel="0" collapsed="false">
      <c r="A853" s="3" t="s">
        <v>975</v>
      </c>
      <c r="B853" s="3" t="s">
        <v>23</v>
      </c>
      <c r="C853" s="3" t="s">
        <v>24</v>
      </c>
      <c r="D853" s="3" t="n">
        <v>1</v>
      </c>
      <c r="E853" s="6" t="n">
        <v>110</v>
      </c>
      <c r="F853" s="6" t="n">
        <v>135</v>
      </c>
      <c r="G853" s="7" t="n">
        <f aca="false">F853-E853</f>
        <v>25</v>
      </c>
      <c r="H853" s="8" t="n">
        <f aca="false">IF(E853=0,0,F853/E853-1)</f>
        <v>0.227272727272727</v>
      </c>
      <c r="I853" s="3" t="s">
        <v>27</v>
      </c>
    </row>
    <row r="854" customFormat="false" ht="15" hidden="false" customHeight="false" outlineLevel="0" collapsed="false">
      <c r="A854" s="3" t="s">
        <v>976</v>
      </c>
      <c r="B854" s="3" t="s">
        <v>23</v>
      </c>
      <c r="C854" s="3" t="s">
        <v>24</v>
      </c>
      <c r="D854" s="3" t="n">
        <v>2</v>
      </c>
      <c r="E854" s="6" t="n">
        <v>149.99</v>
      </c>
      <c r="F854" s="6" t="n">
        <v>177</v>
      </c>
      <c r="G854" s="7" t="n">
        <f aca="false">F854-E854</f>
        <v>27.01</v>
      </c>
      <c r="H854" s="8" t="n">
        <f aca="false">IF(E854=0,0,F854/E854-1)</f>
        <v>0.180078671911461</v>
      </c>
      <c r="I854" s="3" t="s">
        <v>305</v>
      </c>
    </row>
    <row r="855" customFormat="false" ht="15" hidden="false" customHeight="false" outlineLevel="0" collapsed="false">
      <c r="A855" s="3" t="s">
        <v>977</v>
      </c>
      <c r="B855" s="3" t="s">
        <v>23</v>
      </c>
      <c r="C855" s="3" t="s">
        <v>24</v>
      </c>
      <c r="D855" s="3" t="n">
        <v>1</v>
      </c>
      <c r="E855" s="6" t="n">
        <v>169.99</v>
      </c>
      <c r="F855" s="6" t="n">
        <v>208</v>
      </c>
      <c r="G855" s="7" t="n">
        <f aca="false">F855-E855</f>
        <v>38.01</v>
      </c>
      <c r="H855" s="8" t="n">
        <f aca="false">IF(E855=0,0,F855/E855-1)</f>
        <v>0.22360138831696</v>
      </c>
      <c r="I855" s="3" t="s">
        <v>27</v>
      </c>
    </row>
    <row r="856" customFormat="false" ht="15" hidden="false" customHeight="false" outlineLevel="0" collapsed="false">
      <c r="A856" s="3" t="s">
        <v>978</v>
      </c>
      <c r="B856" s="3" t="s">
        <v>23</v>
      </c>
      <c r="C856" s="3" t="s">
        <v>24</v>
      </c>
      <c r="D856" s="3" t="n">
        <v>1</v>
      </c>
      <c r="E856" s="6" t="n">
        <v>530</v>
      </c>
      <c r="F856" s="6" t="n">
        <v>647</v>
      </c>
      <c r="G856" s="7" t="n">
        <f aca="false">F856-E856</f>
        <v>117</v>
      </c>
      <c r="H856" s="8" t="n">
        <f aca="false">IF(E856=0,0,F856/E856-1)</f>
        <v>0.220754716981132</v>
      </c>
      <c r="I856" s="3" t="s">
        <v>27</v>
      </c>
    </row>
    <row r="857" customFormat="false" ht="15" hidden="false" customHeight="false" outlineLevel="0" collapsed="false">
      <c r="A857" s="3" t="s">
        <v>979</v>
      </c>
      <c r="B857" s="3" t="s">
        <v>23</v>
      </c>
      <c r="C857" s="3" t="s">
        <v>24</v>
      </c>
      <c r="D857" s="3" t="n">
        <v>1</v>
      </c>
      <c r="E857" s="6" t="n">
        <v>750</v>
      </c>
      <c r="F857" s="6" t="n">
        <v>915</v>
      </c>
      <c r="G857" s="7" t="n">
        <f aca="false">F857-E857</f>
        <v>165</v>
      </c>
      <c r="H857" s="8" t="n">
        <f aca="false">IF(E857=0,0,F857/E857-1)</f>
        <v>0.22</v>
      </c>
      <c r="I857" s="3" t="s">
        <v>27</v>
      </c>
    </row>
    <row r="858" customFormat="false" ht="15" hidden="false" customHeight="false" outlineLevel="0" collapsed="false">
      <c r="A858" s="3" t="s">
        <v>980</v>
      </c>
      <c r="B858" s="3" t="s">
        <v>23</v>
      </c>
      <c r="C858" s="3" t="s">
        <v>24</v>
      </c>
      <c r="D858" s="3" t="n">
        <v>1</v>
      </c>
      <c r="E858" s="6" t="n">
        <v>89.4</v>
      </c>
      <c r="F858" s="6" t="n">
        <v>110</v>
      </c>
      <c r="G858" s="7" t="n">
        <f aca="false">F858-E858</f>
        <v>20.6</v>
      </c>
      <c r="H858" s="8" t="n">
        <f aca="false">IF(E858=0,0,F858/E858-1)</f>
        <v>0.230425055928412</v>
      </c>
      <c r="I858" s="3" t="s">
        <v>27</v>
      </c>
    </row>
    <row r="859" customFormat="false" ht="15" hidden="false" customHeight="false" outlineLevel="0" collapsed="false">
      <c r="A859" s="3" t="s">
        <v>981</v>
      </c>
      <c r="B859" s="3" t="s">
        <v>23</v>
      </c>
      <c r="C859" s="3" t="s">
        <v>24</v>
      </c>
      <c r="D859" s="3" t="n">
        <v>1</v>
      </c>
      <c r="E859" s="6" t="n">
        <v>99.99</v>
      </c>
      <c r="F859" s="6" t="n">
        <v>122</v>
      </c>
      <c r="G859" s="7" t="n">
        <f aca="false">F859-E859</f>
        <v>22.01</v>
      </c>
      <c r="H859" s="8" t="n">
        <f aca="false">IF(E859=0,0,F859/E859-1)</f>
        <v>0.22012201220122</v>
      </c>
      <c r="I859" s="3" t="s">
        <v>27</v>
      </c>
    </row>
    <row r="860" customFormat="false" ht="15" hidden="false" customHeight="false" outlineLevel="0" collapsed="false">
      <c r="A860" s="3" t="s">
        <v>982</v>
      </c>
      <c r="B860" s="3" t="s">
        <v>23</v>
      </c>
      <c r="C860" s="3" t="s">
        <v>24</v>
      </c>
      <c r="D860" s="3" t="n">
        <v>1</v>
      </c>
      <c r="E860" s="6" t="n">
        <v>90</v>
      </c>
      <c r="F860" s="6" t="n">
        <v>110</v>
      </c>
      <c r="G860" s="7" t="n">
        <f aca="false">F860-E860</f>
        <v>20</v>
      </c>
      <c r="H860" s="8" t="n">
        <f aca="false">IF(E860=0,0,F860/E860-1)</f>
        <v>0.222222222222222</v>
      </c>
      <c r="I860" s="3" t="s">
        <v>27</v>
      </c>
    </row>
    <row r="861" customFormat="false" ht="15" hidden="false" customHeight="false" outlineLevel="0" collapsed="false">
      <c r="A861" s="3" t="s">
        <v>983</v>
      </c>
      <c r="B861" s="3" t="s">
        <v>23</v>
      </c>
      <c r="C861" s="3" t="s">
        <v>24</v>
      </c>
      <c r="D861" s="3" t="n">
        <v>1</v>
      </c>
      <c r="E861" s="6" t="n">
        <v>74.99</v>
      </c>
      <c r="F861" s="6" t="n">
        <v>91.5</v>
      </c>
      <c r="G861" s="7" t="n">
        <f aca="false">F861-E861</f>
        <v>16.51</v>
      </c>
      <c r="H861" s="8" t="n">
        <f aca="false">IF(E861=0,0,F861/E861-1)</f>
        <v>0.220162688358448</v>
      </c>
      <c r="I861" s="3" t="s">
        <v>27</v>
      </c>
    </row>
    <row r="862" customFormat="false" ht="15" hidden="false" customHeight="false" outlineLevel="0" collapsed="false">
      <c r="A862" s="3" t="s">
        <v>984</v>
      </c>
      <c r="B862" s="3" t="s">
        <v>23</v>
      </c>
      <c r="C862" s="3" t="s">
        <v>24</v>
      </c>
      <c r="D862" s="3" t="n">
        <v>1</v>
      </c>
      <c r="E862" s="6" t="n">
        <v>45</v>
      </c>
      <c r="F862" s="6" t="n">
        <v>55</v>
      </c>
      <c r="G862" s="7" t="n">
        <f aca="false">F862-E862</f>
        <v>10</v>
      </c>
      <c r="H862" s="8" t="n">
        <f aca="false">IF(E862=0,0,F862/E862-1)</f>
        <v>0.222222222222222</v>
      </c>
      <c r="I862" s="3" t="s">
        <v>27</v>
      </c>
    </row>
    <row r="863" customFormat="false" ht="15" hidden="false" customHeight="false" outlineLevel="0" collapsed="false">
      <c r="A863" s="3" t="s">
        <v>985</v>
      </c>
      <c r="B863" s="3" t="s">
        <v>23</v>
      </c>
      <c r="C863" s="3" t="s">
        <v>24</v>
      </c>
      <c r="D863" s="3" t="n">
        <v>1</v>
      </c>
      <c r="E863" s="6" t="n">
        <v>40.7</v>
      </c>
      <c r="F863" s="6" t="n">
        <v>50</v>
      </c>
      <c r="G863" s="7" t="n">
        <f aca="false">F863-E863</f>
        <v>9.3</v>
      </c>
      <c r="H863" s="8" t="n">
        <f aca="false">IF(E863=0,0,F863/E863-1)</f>
        <v>0.228501228501228</v>
      </c>
      <c r="I863" s="3" t="s">
        <v>27</v>
      </c>
    </row>
    <row r="864" customFormat="false" ht="15" hidden="false" customHeight="false" outlineLevel="0" collapsed="false">
      <c r="A864" s="3" t="s">
        <v>986</v>
      </c>
      <c r="B864" s="3" t="s">
        <v>23</v>
      </c>
      <c r="C864" s="3" t="s">
        <v>24</v>
      </c>
      <c r="D864" s="3" t="n">
        <v>1</v>
      </c>
      <c r="E864" s="6" t="n">
        <v>159.99</v>
      </c>
      <c r="F864" s="6" t="n">
        <v>196</v>
      </c>
      <c r="G864" s="7" t="n">
        <f aca="false">F864-E864</f>
        <v>36.01</v>
      </c>
      <c r="H864" s="8" t="n">
        <f aca="false">IF(E864=0,0,F864/E864-1)</f>
        <v>0.225076567285455</v>
      </c>
      <c r="I864" s="3" t="s">
        <v>27</v>
      </c>
    </row>
    <row r="865" customFormat="false" ht="15" hidden="false" customHeight="false" outlineLevel="0" collapsed="false">
      <c r="A865" s="3" t="s">
        <v>987</v>
      </c>
      <c r="B865" s="3" t="s">
        <v>23</v>
      </c>
      <c r="C865" s="3" t="s">
        <v>24</v>
      </c>
      <c r="D865" s="3" t="n">
        <v>1</v>
      </c>
      <c r="E865" s="6" t="n">
        <v>649.99</v>
      </c>
      <c r="F865" s="6" t="n">
        <v>793</v>
      </c>
      <c r="G865" s="7" t="n">
        <f aca="false">F865-E865</f>
        <v>143.01</v>
      </c>
      <c r="H865" s="8" t="n">
        <f aca="false">IF(E865=0,0,F865/E865-1)</f>
        <v>0.220018769519531</v>
      </c>
      <c r="I865" s="3" t="s">
        <v>27</v>
      </c>
    </row>
    <row r="866" customFormat="false" ht="15" hidden="false" customHeight="false" outlineLevel="0" collapsed="false">
      <c r="A866" s="3" t="s">
        <v>988</v>
      </c>
      <c r="B866" s="3" t="s">
        <v>23</v>
      </c>
      <c r="C866" s="3" t="s">
        <v>24</v>
      </c>
      <c r="D866" s="3" t="n">
        <v>1</v>
      </c>
      <c r="E866" s="6" t="n">
        <v>84.99</v>
      </c>
      <c r="F866" s="6" t="n">
        <v>104</v>
      </c>
      <c r="G866" s="7" t="n">
        <f aca="false">F866-E866</f>
        <v>19.01</v>
      </c>
      <c r="H866" s="8" t="n">
        <f aca="false">IF(E866=0,0,F866/E866-1)</f>
        <v>0.22367337333804</v>
      </c>
      <c r="I866" s="3" t="s">
        <v>27</v>
      </c>
    </row>
    <row r="867" customFormat="false" ht="15" hidden="false" customHeight="false" outlineLevel="0" collapsed="false">
      <c r="A867" s="3" t="s">
        <v>989</v>
      </c>
      <c r="B867" s="3" t="s">
        <v>23</v>
      </c>
      <c r="C867" s="3" t="s">
        <v>24</v>
      </c>
      <c r="D867" s="3" t="n">
        <v>1</v>
      </c>
      <c r="E867" s="6" t="n">
        <v>737</v>
      </c>
      <c r="F867" s="6" t="n">
        <v>900</v>
      </c>
      <c r="G867" s="7" t="n">
        <f aca="false">F867-E867</f>
        <v>163</v>
      </c>
      <c r="H867" s="8" t="n">
        <f aca="false">IF(E867=0,0,F867/E867-1)</f>
        <v>0.221166892808684</v>
      </c>
      <c r="I867" s="3" t="s">
        <v>27</v>
      </c>
    </row>
    <row r="868" customFormat="false" ht="15" hidden="false" customHeight="false" outlineLevel="0" collapsed="false">
      <c r="A868" s="3" t="s">
        <v>990</v>
      </c>
      <c r="B868" s="3" t="s">
        <v>23</v>
      </c>
      <c r="C868" s="3" t="s">
        <v>24</v>
      </c>
      <c r="D868" s="3" t="n">
        <v>1</v>
      </c>
      <c r="E868" s="6" t="n">
        <v>7.94</v>
      </c>
      <c r="F868" s="6" t="n">
        <v>10</v>
      </c>
      <c r="G868" s="7" t="n">
        <f aca="false">F868-E868</f>
        <v>2.06</v>
      </c>
      <c r="H868" s="8" t="n">
        <f aca="false">IF(E868=0,0,F868/E868-1)</f>
        <v>0.259445843828715</v>
      </c>
      <c r="I868" s="3" t="s">
        <v>210</v>
      </c>
    </row>
    <row r="869" customFormat="false" ht="15" hidden="false" customHeight="false" outlineLevel="0" collapsed="false">
      <c r="A869" s="3" t="s">
        <v>991</v>
      </c>
      <c r="B869" s="3" t="s">
        <v>23</v>
      </c>
      <c r="C869" s="3" t="s">
        <v>179</v>
      </c>
      <c r="D869" s="3" t="n">
        <v>3</v>
      </c>
      <c r="E869" s="6" t="n">
        <v>935</v>
      </c>
      <c r="F869" s="6" t="n">
        <v>1085</v>
      </c>
      <c r="G869" s="7" t="n">
        <f aca="false">F869-E869</f>
        <v>150</v>
      </c>
      <c r="H869" s="8" t="n">
        <f aca="false">IF(E869=0,0,F869/E869-1)</f>
        <v>0.160427807486631</v>
      </c>
      <c r="I869" s="3" t="s">
        <v>992</v>
      </c>
    </row>
    <row r="870" customFormat="false" ht="15" hidden="false" customHeight="false" outlineLevel="0" collapsed="false">
      <c r="A870" s="3" t="s">
        <v>993</v>
      </c>
      <c r="B870" s="3" t="s">
        <v>23</v>
      </c>
      <c r="C870" s="3" t="s">
        <v>24</v>
      </c>
      <c r="D870" s="3" t="n">
        <v>1</v>
      </c>
      <c r="E870" s="6" t="n">
        <v>83.71</v>
      </c>
      <c r="F870" s="6" t="n">
        <v>103</v>
      </c>
      <c r="G870" s="7" t="n">
        <f aca="false">F870-E870</f>
        <v>19.29</v>
      </c>
      <c r="H870" s="8" t="n">
        <f aca="false">IF(E870=0,0,F870/E870-1)</f>
        <v>0.230438418349062</v>
      </c>
      <c r="I870" s="3" t="s">
        <v>134</v>
      </c>
    </row>
    <row r="871" customFormat="false" ht="15" hidden="false" customHeight="false" outlineLevel="0" collapsed="false">
      <c r="A871" s="3" t="s">
        <v>994</v>
      </c>
      <c r="B871" s="3" t="s">
        <v>23</v>
      </c>
      <c r="C871" s="3" t="s">
        <v>24</v>
      </c>
      <c r="D871" s="3" t="n">
        <v>1</v>
      </c>
      <c r="E871" s="6" t="n">
        <v>99.99</v>
      </c>
      <c r="F871" s="6" t="n">
        <v>122</v>
      </c>
      <c r="G871" s="7" t="n">
        <f aca="false">F871-E871</f>
        <v>22.01</v>
      </c>
      <c r="H871" s="8" t="n">
        <f aca="false">IF(E871=0,0,F871/E871-1)</f>
        <v>0.22012201220122</v>
      </c>
      <c r="I871" s="3" t="s">
        <v>27</v>
      </c>
    </row>
    <row r="872" customFormat="false" ht="15" hidden="false" customHeight="false" outlineLevel="0" collapsed="false">
      <c r="A872" s="3" t="s">
        <v>995</v>
      </c>
      <c r="B872" s="3" t="s">
        <v>23</v>
      </c>
      <c r="C872" s="3" t="s">
        <v>179</v>
      </c>
      <c r="D872" s="3" t="n">
        <v>1</v>
      </c>
      <c r="E872" s="6" t="n">
        <v>348</v>
      </c>
      <c r="F872" s="6" t="n">
        <v>425</v>
      </c>
      <c r="G872" s="7" t="n">
        <f aca="false">F872-E872</f>
        <v>77</v>
      </c>
      <c r="H872" s="8" t="n">
        <f aca="false">IF(E872=0,0,F872/E872-1)</f>
        <v>0.221264367816092</v>
      </c>
      <c r="I872" s="3" t="s">
        <v>996</v>
      </c>
    </row>
    <row r="873" customFormat="false" ht="15" hidden="false" customHeight="false" outlineLevel="0" collapsed="false">
      <c r="A873" s="3" t="s">
        <v>997</v>
      </c>
      <c r="B873" s="3" t="s">
        <v>23</v>
      </c>
      <c r="C873" s="3" t="s">
        <v>24</v>
      </c>
      <c r="D873" s="3" t="n">
        <v>1</v>
      </c>
      <c r="E873" s="6" t="n">
        <v>79.99</v>
      </c>
      <c r="F873" s="6" t="n">
        <v>98</v>
      </c>
      <c r="G873" s="7" t="n">
        <f aca="false">F873-E873</f>
        <v>18.01</v>
      </c>
      <c r="H873" s="8" t="n">
        <f aca="false">IF(E873=0,0,F873/E873-1)</f>
        <v>0.225153144143018</v>
      </c>
      <c r="I873" s="3" t="s">
        <v>27</v>
      </c>
    </row>
    <row r="874" customFormat="false" ht="15" hidden="false" customHeight="false" outlineLevel="0" collapsed="false">
      <c r="A874" s="3" t="s">
        <v>998</v>
      </c>
      <c r="B874" s="3" t="s">
        <v>23</v>
      </c>
      <c r="C874" s="3" t="s">
        <v>24</v>
      </c>
      <c r="D874" s="3" t="n">
        <v>1</v>
      </c>
      <c r="E874" s="6" t="n">
        <v>99.99</v>
      </c>
      <c r="F874" s="6" t="n">
        <v>122</v>
      </c>
      <c r="G874" s="7" t="n">
        <f aca="false">F874-E874</f>
        <v>22.01</v>
      </c>
      <c r="H874" s="8" t="n">
        <f aca="false">IF(E874=0,0,F874/E874-1)</f>
        <v>0.22012201220122</v>
      </c>
      <c r="I874" s="3" t="s">
        <v>27</v>
      </c>
    </row>
    <row r="875" customFormat="false" ht="15" hidden="false" customHeight="false" outlineLevel="0" collapsed="false">
      <c r="A875" s="3" t="s">
        <v>999</v>
      </c>
      <c r="B875" s="3" t="s">
        <v>23</v>
      </c>
      <c r="C875" s="3" t="s">
        <v>24</v>
      </c>
      <c r="D875" s="3" t="n">
        <v>1</v>
      </c>
      <c r="E875" s="6" t="n">
        <v>249.99</v>
      </c>
      <c r="F875" s="6" t="n">
        <v>305</v>
      </c>
      <c r="G875" s="7" t="n">
        <f aca="false">F875-E875</f>
        <v>55.01</v>
      </c>
      <c r="H875" s="8" t="n">
        <f aca="false">IF(E875=0,0,F875/E875-1)</f>
        <v>0.220048801952078</v>
      </c>
      <c r="I875" s="3" t="s">
        <v>27</v>
      </c>
    </row>
    <row r="876" customFormat="false" ht="15" hidden="false" customHeight="false" outlineLevel="0" collapsed="false">
      <c r="A876" s="3" t="s">
        <v>1000</v>
      </c>
      <c r="B876" s="3" t="s">
        <v>23</v>
      </c>
      <c r="C876" s="3" t="s">
        <v>24</v>
      </c>
      <c r="D876" s="3" t="n">
        <v>1</v>
      </c>
      <c r="E876" s="6" t="n">
        <v>39</v>
      </c>
      <c r="F876" s="6" t="n">
        <v>48</v>
      </c>
      <c r="G876" s="7" t="n">
        <f aca="false">F876-E876</f>
        <v>9</v>
      </c>
      <c r="H876" s="8" t="n">
        <f aca="false">IF(E876=0,0,F876/E876-1)</f>
        <v>0.230769230769231</v>
      </c>
      <c r="I876" s="3" t="s">
        <v>27</v>
      </c>
    </row>
    <row r="877" customFormat="false" ht="15" hidden="false" customHeight="false" outlineLevel="0" collapsed="false">
      <c r="A877" s="3" t="s">
        <v>1001</v>
      </c>
      <c r="B877" s="3" t="s">
        <v>23</v>
      </c>
      <c r="C877" s="3" t="s">
        <v>24</v>
      </c>
      <c r="D877" s="3" t="n">
        <v>1</v>
      </c>
      <c r="E877" s="6" t="n">
        <v>137.3</v>
      </c>
      <c r="F877" s="6" t="n">
        <v>168</v>
      </c>
      <c r="G877" s="7" t="n">
        <f aca="false">F877-E877</f>
        <v>30.7</v>
      </c>
      <c r="H877" s="8" t="n">
        <f aca="false">IF(E877=0,0,F877/E877-1)</f>
        <v>0.223597960670066</v>
      </c>
      <c r="I877" s="3" t="s">
        <v>714</v>
      </c>
    </row>
    <row r="878" customFormat="false" ht="15" hidden="false" customHeight="false" outlineLevel="0" collapsed="false">
      <c r="A878" s="3" t="s">
        <v>1002</v>
      </c>
      <c r="B878" s="3" t="s">
        <v>23</v>
      </c>
      <c r="C878" s="3" t="s">
        <v>24</v>
      </c>
      <c r="D878" s="3" t="n">
        <v>1</v>
      </c>
      <c r="E878" s="6" t="n">
        <v>137.3</v>
      </c>
      <c r="F878" s="6" t="n">
        <v>168</v>
      </c>
      <c r="G878" s="7" t="n">
        <f aca="false">F878-E878</f>
        <v>30.7</v>
      </c>
      <c r="H878" s="8" t="n">
        <f aca="false">IF(E878=0,0,F878/E878-1)</f>
        <v>0.223597960670066</v>
      </c>
      <c r="I878" s="3" t="s">
        <v>714</v>
      </c>
    </row>
    <row r="879" customFormat="false" ht="15" hidden="false" customHeight="false" outlineLevel="0" collapsed="false">
      <c r="A879" s="3" t="s">
        <v>1003</v>
      </c>
      <c r="B879" s="3" t="s">
        <v>23</v>
      </c>
      <c r="C879" s="3" t="s">
        <v>24</v>
      </c>
      <c r="D879" s="3" t="n">
        <v>1</v>
      </c>
      <c r="E879" s="6" t="n">
        <v>145.93</v>
      </c>
      <c r="F879" s="6" t="n">
        <v>179</v>
      </c>
      <c r="G879" s="7" t="n">
        <f aca="false">F879-E879</f>
        <v>33.07</v>
      </c>
      <c r="H879" s="8" t="n">
        <f aca="false">IF(E879=0,0,F879/E879-1)</f>
        <v>0.226615500582471</v>
      </c>
      <c r="I879" s="3" t="s">
        <v>714</v>
      </c>
    </row>
    <row r="880" customFormat="false" ht="15" hidden="false" customHeight="false" outlineLevel="0" collapsed="false">
      <c r="A880" s="3" t="s">
        <v>1004</v>
      </c>
      <c r="B880" s="3" t="s">
        <v>23</v>
      </c>
      <c r="C880" s="3" t="s">
        <v>24</v>
      </c>
      <c r="D880" s="3" t="n">
        <v>1</v>
      </c>
      <c r="E880" s="6" t="n">
        <v>99.99</v>
      </c>
      <c r="F880" s="6" t="n">
        <v>122</v>
      </c>
      <c r="G880" s="7" t="n">
        <f aca="false">F880-E880</f>
        <v>22.01</v>
      </c>
      <c r="H880" s="8" t="n">
        <f aca="false">IF(E880=0,0,F880/E880-1)</f>
        <v>0.22012201220122</v>
      </c>
      <c r="I880" s="3" t="s">
        <v>27</v>
      </c>
    </row>
    <row r="881" customFormat="false" ht="15" hidden="false" customHeight="false" outlineLevel="0" collapsed="false">
      <c r="A881" s="3" t="s">
        <v>1005</v>
      </c>
      <c r="B881" s="3" t="s">
        <v>23</v>
      </c>
      <c r="C881" s="3" t="s">
        <v>24</v>
      </c>
      <c r="D881" s="3" t="n">
        <v>1</v>
      </c>
      <c r="E881" s="6" t="n">
        <v>179.99</v>
      </c>
      <c r="F881" s="6" t="n">
        <v>220</v>
      </c>
      <c r="G881" s="7" t="n">
        <f aca="false">F881-E881</f>
        <v>40.01</v>
      </c>
      <c r="H881" s="8" t="n">
        <f aca="false">IF(E881=0,0,F881/E881-1)</f>
        <v>0.222290127229291</v>
      </c>
      <c r="I881" s="3" t="s">
        <v>27</v>
      </c>
    </row>
    <row r="882" customFormat="false" ht="15" hidden="false" customHeight="false" outlineLevel="0" collapsed="false">
      <c r="A882" s="3" t="s">
        <v>1006</v>
      </c>
      <c r="B882" s="3" t="s">
        <v>23</v>
      </c>
      <c r="C882" s="3" t="s">
        <v>24</v>
      </c>
      <c r="D882" s="3" t="n">
        <v>1</v>
      </c>
      <c r="E882" s="6" t="n">
        <v>165.99</v>
      </c>
      <c r="F882" s="6" t="n">
        <v>203</v>
      </c>
      <c r="G882" s="7" t="n">
        <f aca="false">F882-E882</f>
        <v>37.01</v>
      </c>
      <c r="H882" s="8" t="n">
        <f aca="false">IF(E882=0,0,F882/E882-1)</f>
        <v>0.222965238869811</v>
      </c>
      <c r="I882" s="3" t="s">
        <v>27</v>
      </c>
    </row>
    <row r="883" customFormat="false" ht="15" hidden="false" customHeight="false" outlineLevel="0" collapsed="false">
      <c r="A883" s="3" t="s">
        <v>1007</v>
      </c>
      <c r="B883" s="3" t="s">
        <v>23</v>
      </c>
      <c r="C883" s="3" t="s">
        <v>24</v>
      </c>
      <c r="D883" s="3" t="n">
        <v>1</v>
      </c>
      <c r="E883" s="6" t="n">
        <v>165.99</v>
      </c>
      <c r="F883" s="6" t="n">
        <v>203</v>
      </c>
      <c r="G883" s="7" t="n">
        <f aca="false">F883-E883</f>
        <v>37.01</v>
      </c>
      <c r="H883" s="8" t="n">
        <f aca="false">IF(E883=0,0,F883/E883-1)</f>
        <v>0.222965238869811</v>
      </c>
      <c r="I883" s="3" t="s">
        <v>27</v>
      </c>
    </row>
    <row r="884" customFormat="false" ht="15" hidden="false" customHeight="false" outlineLevel="0" collapsed="false">
      <c r="A884" s="3" t="s">
        <v>1008</v>
      </c>
      <c r="B884" s="3" t="s">
        <v>23</v>
      </c>
      <c r="C884" s="3" t="s">
        <v>24</v>
      </c>
      <c r="D884" s="3" t="n">
        <v>1</v>
      </c>
      <c r="E884" s="6" t="n">
        <v>189.99</v>
      </c>
      <c r="F884" s="6" t="n">
        <v>232</v>
      </c>
      <c r="G884" s="7" t="n">
        <f aca="false">F884-E884</f>
        <v>42.01</v>
      </c>
      <c r="H884" s="8" t="n">
        <f aca="false">IF(E884=0,0,F884/E884-1)</f>
        <v>0.22111690088952</v>
      </c>
      <c r="I884" s="3" t="s">
        <v>27</v>
      </c>
    </row>
    <row r="885" customFormat="false" ht="15" hidden="false" customHeight="false" outlineLevel="0" collapsed="false">
      <c r="A885" s="3" t="s">
        <v>1009</v>
      </c>
      <c r="B885" s="3" t="s">
        <v>23</v>
      </c>
      <c r="C885" s="3" t="s">
        <v>24</v>
      </c>
      <c r="D885" s="3" t="n">
        <v>1</v>
      </c>
      <c r="E885" s="6" t="n">
        <v>189.99</v>
      </c>
      <c r="F885" s="6" t="n">
        <v>232</v>
      </c>
      <c r="G885" s="7" t="n">
        <f aca="false">F885-E885</f>
        <v>42.01</v>
      </c>
      <c r="H885" s="8" t="n">
        <f aca="false">IF(E885=0,0,F885/E885-1)</f>
        <v>0.22111690088952</v>
      </c>
      <c r="I885" s="3" t="s">
        <v>27</v>
      </c>
    </row>
    <row r="886" customFormat="false" ht="15" hidden="false" customHeight="false" outlineLevel="0" collapsed="false">
      <c r="A886" s="3" t="s">
        <v>1010</v>
      </c>
      <c r="B886" s="3" t="s">
        <v>23</v>
      </c>
      <c r="C886" s="3" t="s">
        <v>24</v>
      </c>
      <c r="D886" s="3" t="n">
        <v>1</v>
      </c>
      <c r="E886" s="6" t="n">
        <v>189.99</v>
      </c>
      <c r="F886" s="6" t="n">
        <v>232</v>
      </c>
      <c r="G886" s="7" t="n">
        <f aca="false">F886-E886</f>
        <v>42.01</v>
      </c>
      <c r="H886" s="8" t="n">
        <f aca="false">IF(E886=0,0,F886/E886-1)</f>
        <v>0.22111690088952</v>
      </c>
      <c r="I886" s="3" t="s">
        <v>27</v>
      </c>
    </row>
    <row r="887" customFormat="false" ht="15" hidden="false" customHeight="false" outlineLevel="0" collapsed="false">
      <c r="A887" s="3" t="s">
        <v>1011</v>
      </c>
      <c r="B887" s="3" t="s">
        <v>23</v>
      </c>
      <c r="C887" s="3" t="s">
        <v>24</v>
      </c>
      <c r="D887" s="3" t="n">
        <v>1</v>
      </c>
      <c r="E887" s="6" t="n">
        <v>219.99</v>
      </c>
      <c r="F887" s="6" t="n">
        <v>269</v>
      </c>
      <c r="G887" s="7" t="n">
        <f aca="false">F887-E887</f>
        <v>49.01</v>
      </c>
      <c r="H887" s="8" t="n">
        <f aca="false">IF(E887=0,0,F887/E887-1)</f>
        <v>0.22278285376608</v>
      </c>
      <c r="I887" s="3" t="s">
        <v>27</v>
      </c>
    </row>
    <row r="888" customFormat="false" ht="15" hidden="false" customHeight="false" outlineLevel="0" collapsed="false">
      <c r="A888" s="3" t="s">
        <v>1012</v>
      </c>
      <c r="B888" s="3" t="s">
        <v>23</v>
      </c>
      <c r="C888" s="3" t="s">
        <v>24</v>
      </c>
      <c r="D888" s="3" t="n">
        <v>1</v>
      </c>
      <c r="E888" s="6" t="n">
        <v>110</v>
      </c>
      <c r="F888" s="6" t="n">
        <v>135</v>
      </c>
      <c r="G888" s="7" t="n">
        <f aca="false">F888-E888</f>
        <v>25</v>
      </c>
      <c r="H888" s="8" t="n">
        <f aca="false">IF(E888=0,0,F888/E888-1)</f>
        <v>0.227272727272727</v>
      </c>
      <c r="I888" s="3" t="s">
        <v>27</v>
      </c>
    </row>
    <row r="889" customFormat="false" ht="15" hidden="false" customHeight="false" outlineLevel="0" collapsed="false">
      <c r="A889" s="3" t="s">
        <v>1013</v>
      </c>
      <c r="B889" s="3" t="s">
        <v>23</v>
      </c>
      <c r="C889" s="3" t="s">
        <v>24</v>
      </c>
      <c r="D889" s="3" t="n">
        <v>5</v>
      </c>
      <c r="E889" s="6" t="n">
        <v>849.99</v>
      </c>
      <c r="F889" s="6" t="n">
        <v>867</v>
      </c>
      <c r="G889" s="7" t="n">
        <f aca="false">F889-E889</f>
        <v>17.01</v>
      </c>
      <c r="H889" s="8" t="n">
        <f aca="false">IF(E889=0,0,F889/E889-1)</f>
        <v>0.0200120001411781</v>
      </c>
      <c r="I889" s="3" t="s">
        <v>368</v>
      </c>
    </row>
    <row r="890" customFormat="false" ht="15" hidden="false" customHeight="false" outlineLevel="0" collapsed="false">
      <c r="A890" s="3" t="s">
        <v>1014</v>
      </c>
      <c r="B890" s="3" t="s">
        <v>23</v>
      </c>
      <c r="C890" s="3" t="s">
        <v>24</v>
      </c>
      <c r="D890" s="3" t="n">
        <v>3</v>
      </c>
      <c r="E890" s="6" t="n">
        <v>3400</v>
      </c>
      <c r="F890" s="6" t="n">
        <v>3945</v>
      </c>
      <c r="G890" s="7" t="n">
        <f aca="false">F890-E890</f>
        <v>545</v>
      </c>
      <c r="H890" s="8" t="n">
        <f aca="false">IF(E890=0,0,F890/E890-1)</f>
        <v>0.160294117647059</v>
      </c>
      <c r="I890" s="3" t="s">
        <v>38</v>
      </c>
    </row>
    <row r="891" customFormat="false" ht="15" hidden="false" customHeight="false" outlineLevel="0" collapsed="false">
      <c r="A891" s="3" t="s">
        <v>1015</v>
      </c>
      <c r="B891" s="3" t="s">
        <v>23</v>
      </c>
      <c r="C891" s="3" t="s">
        <v>24</v>
      </c>
      <c r="D891" s="3" t="n">
        <v>5</v>
      </c>
      <c r="E891" s="6" t="n">
        <v>799.99</v>
      </c>
      <c r="F891" s="6" t="n">
        <v>816</v>
      </c>
      <c r="G891" s="7" t="n">
        <f aca="false">F891-E891</f>
        <v>16.01</v>
      </c>
      <c r="H891" s="8" t="n">
        <f aca="false">IF(E891=0,0,F891/E891-1)</f>
        <v>0.020012750159377</v>
      </c>
      <c r="I891" s="3" t="s">
        <v>368</v>
      </c>
    </row>
    <row r="892" customFormat="false" ht="15" hidden="false" customHeight="false" outlineLevel="0" collapsed="false">
      <c r="A892" s="3" t="s">
        <v>1016</v>
      </c>
      <c r="B892" s="3" t="s">
        <v>23</v>
      </c>
      <c r="C892" s="3" t="s">
        <v>24</v>
      </c>
      <c r="D892" s="3" t="n">
        <v>1</v>
      </c>
      <c r="E892" s="6" t="n">
        <v>129.99</v>
      </c>
      <c r="F892" s="6" t="n">
        <v>159</v>
      </c>
      <c r="G892" s="7" t="n">
        <f aca="false">F892-E892</f>
        <v>29.01</v>
      </c>
      <c r="H892" s="8" t="n">
        <f aca="false">IF(E892=0,0,F892/E892-1)</f>
        <v>0.223171013154858</v>
      </c>
      <c r="I892" s="3" t="s">
        <v>714</v>
      </c>
    </row>
    <row r="893" customFormat="false" ht="15" hidden="false" customHeight="false" outlineLevel="0" collapsed="false">
      <c r="A893" s="3" t="s">
        <v>1017</v>
      </c>
      <c r="B893" s="3" t="s">
        <v>23</v>
      </c>
      <c r="C893" s="3" t="s">
        <v>24</v>
      </c>
      <c r="D893" s="3" t="n">
        <v>1</v>
      </c>
      <c r="E893" s="6" t="n">
        <v>229.99</v>
      </c>
      <c r="F893" s="6" t="n">
        <v>281</v>
      </c>
      <c r="G893" s="7" t="n">
        <f aca="false">F893-E893</f>
        <v>51.01</v>
      </c>
      <c r="H893" s="8" t="n">
        <f aca="false">IF(E893=0,0,F893/E893-1)</f>
        <v>0.221792251837036</v>
      </c>
      <c r="I893" s="3" t="s">
        <v>27</v>
      </c>
    </row>
    <row r="894" customFormat="false" ht="15" hidden="false" customHeight="false" outlineLevel="0" collapsed="false">
      <c r="A894" s="3" t="s">
        <v>1018</v>
      </c>
      <c r="B894" s="3" t="s">
        <v>23</v>
      </c>
      <c r="C894" s="3" t="s">
        <v>24</v>
      </c>
      <c r="D894" s="3" t="n">
        <v>1</v>
      </c>
      <c r="E894" s="6" t="n">
        <v>170</v>
      </c>
      <c r="F894" s="6" t="n">
        <v>208</v>
      </c>
      <c r="G894" s="7" t="n">
        <f aca="false">F894-E894</f>
        <v>38</v>
      </c>
      <c r="H894" s="8" t="n">
        <f aca="false">IF(E894=0,0,F894/E894-1)</f>
        <v>0.223529411764706</v>
      </c>
      <c r="I894" s="3" t="s">
        <v>27</v>
      </c>
    </row>
    <row r="895" customFormat="false" ht="15" hidden="false" customHeight="false" outlineLevel="0" collapsed="false">
      <c r="A895" s="3" t="s">
        <v>1019</v>
      </c>
      <c r="B895" s="3" t="s">
        <v>23</v>
      </c>
      <c r="C895" s="3" t="s">
        <v>24</v>
      </c>
      <c r="D895" s="3" t="n">
        <v>1</v>
      </c>
      <c r="E895" s="6" t="n">
        <v>298.75</v>
      </c>
      <c r="F895" s="6" t="n">
        <v>365</v>
      </c>
      <c r="G895" s="7" t="n">
        <f aca="false">F895-E895</f>
        <v>66.25</v>
      </c>
      <c r="H895" s="8" t="n">
        <f aca="false">IF(E895=0,0,F895/E895-1)</f>
        <v>0.221757322175732</v>
      </c>
      <c r="I895" s="3" t="s">
        <v>134</v>
      </c>
    </row>
    <row r="896" customFormat="false" ht="15" hidden="false" customHeight="false" outlineLevel="0" collapsed="false">
      <c r="A896" s="3" t="s">
        <v>1020</v>
      </c>
      <c r="B896" s="3" t="s">
        <v>23</v>
      </c>
      <c r="C896" s="3" t="s">
        <v>24</v>
      </c>
      <c r="D896" s="3" t="n">
        <v>1</v>
      </c>
      <c r="E896" s="6" t="n">
        <v>110</v>
      </c>
      <c r="F896" s="6" t="n">
        <v>135</v>
      </c>
      <c r="G896" s="7" t="n">
        <f aca="false">F896-E896</f>
        <v>25</v>
      </c>
      <c r="H896" s="8" t="n">
        <f aca="false">IF(E896=0,0,F896/E896-1)</f>
        <v>0.227272727272727</v>
      </c>
      <c r="I896" s="3" t="s">
        <v>27</v>
      </c>
    </row>
    <row r="897" customFormat="false" ht="15" hidden="false" customHeight="false" outlineLevel="0" collapsed="false">
      <c r="A897" s="3" t="s">
        <v>1021</v>
      </c>
      <c r="B897" s="3" t="s">
        <v>23</v>
      </c>
      <c r="C897" s="3" t="s">
        <v>24</v>
      </c>
      <c r="D897" s="3" t="n">
        <v>1</v>
      </c>
      <c r="E897" s="6" t="n">
        <v>29.99</v>
      </c>
      <c r="F897" s="6" t="n">
        <v>37</v>
      </c>
      <c r="G897" s="7" t="n">
        <f aca="false">F897-E897</f>
        <v>7.01</v>
      </c>
      <c r="H897" s="8" t="n">
        <f aca="false">IF(E897=0,0,F897/E897-1)</f>
        <v>0.233744581527176</v>
      </c>
      <c r="I897" s="3" t="s">
        <v>27</v>
      </c>
    </row>
    <row r="898" customFormat="false" ht="15" hidden="false" customHeight="false" outlineLevel="0" collapsed="false">
      <c r="A898" s="3" t="s">
        <v>1022</v>
      </c>
      <c r="B898" s="3" t="s">
        <v>23</v>
      </c>
      <c r="C898" s="3" t="s">
        <v>24</v>
      </c>
      <c r="D898" s="3" t="n">
        <v>1</v>
      </c>
      <c r="E898" s="6" t="n">
        <v>259.99</v>
      </c>
      <c r="F898" s="6" t="n">
        <v>318</v>
      </c>
      <c r="G898" s="7" t="n">
        <f aca="false">F898-E898</f>
        <v>58.01</v>
      </c>
      <c r="H898" s="8" t="n">
        <f aca="false">IF(E898=0,0,F898/E898-1)</f>
        <v>0.223123966306396</v>
      </c>
      <c r="I898" s="3" t="s">
        <v>27</v>
      </c>
    </row>
    <row r="899" customFormat="false" ht="15" hidden="false" customHeight="false" outlineLevel="0" collapsed="false">
      <c r="A899" s="3" t="s">
        <v>1023</v>
      </c>
      <c r="B899" s="3" t="s">
        <v>23</v>
      </c>
      <c r="C899" s="3" t="s">
        <v>24</v>
      </c>
      <c r="D899" s="3" t="n">
        <v>1</v>
      </c>
      <c r="E899" s="6" t="n">
        <v>62.08</v>
      </c>
      <c r="F899" s="6" t="n">
        <v>76</v>
      </c>
      <c r="G899" s="7" t="n">
        <f aca="false">F899-E899</f>
        <v>13.92</v>
      </c>
      <c r="H899" s="8" t="n">
        <f aca="false">IF(E899=0,0,F899/E899-1)</f>
        <v>0.224226804123711</v>
      </c>
      <c r="I899" s="3" t="s">
        <v>210</v>
      </c>
    </row>
    <row r="900" customFormat="false" ht="15" hidden="false" customHeight="false" outlineLevel="0" collapsed="false">
      <c r="A900" s="3" t="s">
        <v>1024</v>
      </c>
      <c r="B900" s="3" t="s">
        <v>23</v>
      </c>
      <c r="C900" s="3" t="s">
        <v>24</v>
      </c>
      <c r="D900" s="3" t="n">
        <v>1</v>
      </c>
      <c r="E900" s="6" t="n">
        <v>74.99</v>
      </c>
      <c r="F900" s="6" t="n">
        <v>91.5</v>
      </c>
      <c r="G900" s="7" t="n">
        <f aca="false">F900-E900</f>
        <v>16.51</v>
      </c>
      <c r="H900" s="8" t="n">
        <f aca="false">IF(E900=0,0,F900/E900-1)</f>
        <v>0.220162688358448</v>
      </c>
      <c r="I900" s="3" t="s">
        <v>27</v>
      </c>
    </row>
    <row r="901" customFormat="false" ht="15" hidden="false" customHeight="false" outlineLevel="0" collapsed="false">
      <c r="A901" s="3" t="s">
        <v>1025</v>
      </c>
      <c r="B901" s="3" t="s">
        <v>23</v>
      </c>
      <c r="C901" s="3" t="s">
        <v>24</v>
      </c>
      <c r="D901" s="3" t="n">
        <v>1</v>
      </c>
      <c r="E901" s="6" t="n">
        <v>249.99</v>
      </c>
      <c r="F901" s="6" t="n">
        <v>305</v>
      </c>
      <c r="G901" s="7" t="n">
        <f aca="false">F901-E901</f>
        <v>55.01</v>
      </c>
      <c r="H901" s="8" t="n">
        <f aca="false">IF(E901=0,0,F901/E901-1)</f>
        <v>0.220048801952078</v>
      </c>
      <c r="I901" s="3" t="s">
        <v>27</v>
      </c>
    </row>
    <row r="902" customFormat="false" ht="15" hidden="false" customHeight="false" outlineLevel="0" collapsed="false">
      <c r="A902" s="3" t="s">
        <v>1026</v>
      </c>
      <c r="B902" s="3" t="s">
        <v>23</v>
      </c>
      <c r="C902" s="3" t="s">
        <v>24</v>
      </c>
      <c r="D902" s="3" t="n">
        <v>1</v>
      </c>
      <c r="E902" s="6" t="n">
        <v>179</v>
      </c>
      <c r="F902" s="6" t="n">
        <v>219</v>
      </c>
      <c r="G902" s="7" t="n">
        <f aca="false">F902-E902</f>
        <v>40</v>
      </c>
      <c r="H902" s="8" t="n">
        <f aca="false">IF(E902=0,0,F902/E902-1)</f>
        <v>0.223463687150838</v>
      </c>
      <c r="I902" s="3" t="s">
        <v>27</v>
      </c>
    </row>
    <row r="903" customFormat="false" ht="15" hidden="false" customHeight="false" outlineLevel="0" collapsed="false">
      <c r="A903" s="3" t="s">
        <v>1027</v>
      </c>
      <c r="B903" s="3" t="s">
        <v>23</v>
      </c>
      <c r="C903" s="3" t="s">
        <v>24</v>
      </c>
      <c r="D903" s="3" t="n">
        <v>1</v>
      </c>
      <c r="E903" s="6" t="n">
        <v>120</v>
      </c>
      <c r="F903" s="6" t="n">
        <v>147</v>
      </c>
      <c r="G903" s="7" t="n">
        <f aca="false">F903-E903</f>
        <v>27</v>
      </c>
      <c r="H903" s="8" t="n">
        <f aca="false">IF(E903=0,0,F903/E903-1)</f>
        <v>0.225</v>
      </c>
      <c r="I903" s="3" t="s">
        <v>27</v>
      </c>
    </row>
    <row r="904" customFormat="false" ht="15" hidden="false" customHeight="false" outlineLevel="0" collapsed="false">
      <c r="A904" s="3" t="s">
        <v>1028</v>
      </c>
      <c r="B904" s="3" t="s">
        <v>23</v>
      </c>
      <c r="C904" s="3" t="s">
        <v>24</v>
      </c>
      <c r="D904" s="3" t="n">
        <v>1</v>
      </c>
      <c r="E904" s="6" t="n">
        <v>649.99</v>
      </c>
      <c r="F904" s="6" t="n">
        <v>793</v>
      </c>
      <c r="G904" s="7" t="n">
        <f aca="false">F904-E904</f>
        <v>143.01</v>
      </c>
      <c r="H904" s="8" t="n">
        <f aca="false">IF(E904=0,0,F904/E904-1)</f>
        <v>0.220018769519531</v>
      </c>
      <c r="I904" s="3" t="s">
        <v>27</v>
      </c>
    </row>
    <row r="905" customFormat="false" ht="15" hidden="false" customHeight="false" outlineLevel="0" collapsed="false">
      <c r="A905" s="3" t="s">
        <v>1029</v>
      </c>
      <c r="B905" s="3" t="s">
        <v>23</v>
      </c>
      <c r="C905" s="3" t="s">
        <v>24</v>
      </c>
      <c r="D905" s="3" t="n">
        <v>1</v>
      </c>
      <c r="E905" s="6" t="n">
        <v>149.99</v>
      </c>
      <c r="F905" s="6" t="n">
        <v>183</v>
      </c>
      <c r="G905" s="7" t="n">
        <f aca="false">F905-E905</f>
        <v>33.01</v>
      </c>
      <c r="H905" s="8" t="n">
        <f aca="false">IF(E905=0,0,F905/E905-1)</f>
        <v>0.220081338755917</v>
      </c>
      <c r="I905" s="3" t="s">
        <v>27</v>
      </c>
    </row>
    <row r="906" customFormat="false" ht="15" hidden="false" customHeight="false" outlineLevel="0" collapsed="false">
      <c r="A906" s="3" t="s">
        <v>1030</v>
      </c>
      <c r="B906" s="3" t="s">
        <v>23</v>
      </c>
      <c r="C906" s="3" t="s">
        <v>24</v>
      </c>
      <c r="D906" s="3" t="n">
        <v>1</v>
      </c>
      <c r="E906" s="6" t="n">
        <v>89.99</v>
      </c>
      <c r="F906" s="6" t="n">
        <v>110</v>
      </c>
      <c r="G906" s="7" t="n">
        <f aca="false">F906-E906</f>
        <v>20.01</v>
      </c>
      <c r="H906" s="8" t="n">
        <f aca="false">IF(E906=0,0,F906/E906-1)</f>
        <v>0.222358039782198</v>
      </c>
      <c r="I906" s="3" t="s">
        <v>27</v>
      </c>
    </row>
    <row r="907" customFormat="false" ht="15" hidden="false" customHeight="false" outlineLevel="0" collapsed="false">
      <c r="A907" s="3" t="s">
        <v>1031</v>
      </c>
      <c r="B907" s="3" t="s">
        <v>23</v>
      </c>
      <c r="C907" s="3" t="s">
        <v>24</v>
      </c>
      <c r="D907" s="3" t="n">
        <v>1</v>
      </c>
      <c r="E907" s="6" t="n">
        <v>19.99</v>
      </c>
      <c r="F907" s="6" t="n">
        <v>24.5</v>
      </c>
      <c r="G907" s="7" t="n">
        <f aca="false">F907-E907</f>
        <v>4.51</v>
      </c>
      <c r="H907" s="8" t="n">
        <f aca="false">IF(E907=0,0,F907/E907-1)</f>
        <v>0.225612806403202</v>
      </c>
      <c r="I907" s="3" t="s">
        <v>27</v>
      </c>
    </row>
    <row r="908" customFormat="false" ht="15" hidden="false" customHeight="false" outlineLevel="0" collapsed="false">
      <c r="A908" s="3" t="s">
        <v>1032</v>
      </c>
      <c r="B908" s="3" t="s">
        <v>23</v>
      </c>
      <c r="C908" s="3" t="s">
        <v>24</v>
      </c>
      <c r="D908" s="3" t="n">
        <v>1</v>
      </c>
      <c r="E908" s="6" t="n">
        <v>23</v>
      </c>
      <c r="F908" s="6" t="n">
        <v>28.5</v>
      </c>
      <c r="G908" s="7" t="n">
        <f aca="false">F908-E908</f>
        <v>5.5</v>
      </c>
      <c r="H908" s="8" t="n">
        <f aca="false">IF(E908=0,0,F908/E908-1)</f>
        <v>0.239130434782609</v>
      </c>
      <c r="I908" s="3" t="s">
        <v>27</v>
      </c>
    </row>
    <row r="909" customFormat="false" ht="15" hidden="false" customHeight="false" outlineLevel="0" collapsed="false">
      <c r="A909" s="3" t="s">
        <v>1033</v>
      </c>
      <c r="B909" s="3" t="s">
        <v>23</v>
      </c>
      <c r="C909" s="3" t="s">
        <v>24</v>
      </c>
      <c r="D909" s="3" t="n">
        <v>1</v>
      </c>
      <c r="E909" s="6" t="n">
        <v>299.99</v>
      </c>
      <c r="F909" s="6" t="n">
        <v>366</v>
      </c>
      <c r="G909" s="7" t="n">
        <f aca="false">F909-E909</f>
        <v>66.01</v>
      </c>
      <c r="H909" s="8" t="n">
        <f aca="false">IF(E909=0,0,F909/E909-1)</f>
        <v>0.220040668022267</v>
      </c>
      <c r="I909" s="3" t="s">
        <v>27</v>
      </c>
    </row>
    <row r="910" customFormat="false" ht="15" hidden="false" customHeight="false" outlineLevel="0" collapsed="false">
      <c r="A910" s="3" t="s">
        <v>1034</v>
      </c>
      <c r="B910" s="3" t="s">
        <v>23</v>
      </c>
      <c r="C910" s="3" t="s">
        <v>179</v>
      </c>
      <c r="D910" s="3" t="n">
        <v>1</v>
      </c>
      <c r="E910" s="6" t="n">
        <v>600</v>
      </c>
      <c r="F910" s="6" t="n">
        <v>732</v>
      </c>
      <c r="G910" s="7" t="n">
        <f aca="false">F910-E910</f>
        <v>132</v>
      </c>
      <c r="H910" s="8" t="n">
        <f aca="false">IF(E910=0,0,F910/E910-1)</f>
        <v>0.22</v>
      </c>
      <c r="I910" s="3" t="s">
        <v>1035</v>
      </c>
    </row>
    <row r="911" customFormat="false" ht="15" hidden="false" customHeight="false" outlineLevel="0" collapsed="false">
      <c r="A911" s="3" t="s">
        <v>1036</v>
      </c>
      <c r="B911" s="3" t="s">
        <v>23</v>
      </c>
      <c r="C911" s="3" t="s">
        <v>24</v>
      </c>
      <c r="D911" s="3" t="n">
        <v>1</v>
      </c>
      <c r="E911" s="6" t="n">
        <v>199</v>
      </c>
      <c r="F911" s="6" t="n">
        <v>243</v>
      </c>
      <c r="G911" s="7" t="n">
        <f aca="false">F911-E911</f>
        <v>44</v>
      </c>
      <c r="H911" s="8" t="n">
        <f aca="false">IF(E911=0,0,F911/E911-1)</f>
        <v>0.221105527638191</v>
      </c>
      <c r="I911" s="3" t="s">
        <v>27</v>
      </c>
    </row>
    <row r="912" customFormat="false" ht="15" hidden="false" customHeight="false" outlineLevel="0" collapsed="false">
      <c r="A912" s="3" t="s">
        <v>1037</v>
      </c>
      <c r="B912" s="3" t="s">
        <v>23</v>
      </c>
      <c r="C912" s="3" t="s">
        <v>179</v>
      </c>
      <c r="D912" s="3" t="n">
        <v>1</v>
      </c>
      <c r="E912" s="6" t="n">
        <v>348</v>
      </c>
      <c r="F912" s="6" t="n">
        <v>425</v>
      </c>
      <c r="G912" s="7" t="n">
        <f aca="false">F912-E912</f>
        <v>77</v>
      </c>
      <c r="H912" s="8" t="n">
        <f aca="false">IF(E912=0,0,F912/E912-1)</f>
        <v>0.221264367816092</v>
      </c>
      <c r="I912" s="3" t="s">
        <v>1038</v>
      </c>
    </row>
    <row r="913" customFormat="false" ht="15" hidden="false" customHeight="false" outlineLevel="0" collapsed="false">
      <c r="A913" s="3" t="s">
        <v>1039</v>
      </c>
      <c r="B913" s="3" t="s">
        <v>23</v>
      </c>
      <c r="C913" s="3" t="s">
        <v>24</v>
      </c>
      <c r="D913" s="3" t="n">
        <v>1</v>
      </c>
      <c r="E913" s="6" t="n">
        <v>440</v>
      </c>
      <c r="F913" s="6" t="n">
        <v>537</v>
      </c>
      <c r="G913" s="7" t="n">
        <f aca="false">F913-E913</f>
        <v>97</v>
      </c>
      <c r="H913" s="8" t="n">
        <f aca="false">IF(E913=0,0,F913/E913-1)</f>
        <v>0.220454545454545</v>
      </c>
      <c r="I913" s="3" t="s">
        <v>27</v>
      </c>
    </row>
    <row r="914" customFormat="false" ht="15" hidden="false" customHeight="false" outlineLevel="0" collapsed="false">
      <c r="A914" s="3" t="s">
        <v>1040</v>
      </c>
      <c r="B914" s="3" t="s">
        <v>23</v>
      </c>
      <c r="C914" s="3" t="s">
        <v>24</v>
      </c>
      <c r="D914" s="3" t="n">
        <v>3</v>
      </c>
      <c r="E914" s="6" t="n">
        <v>2090</v>
      </c>
      <c r="F914" s="6" t="n">
        <v>2425</v>
      </c>
      <c r="G914" s="7" t="n">
        <f aca="false">F914-E914</f>
        <v>335</v>
      </c>
      <c r="H914" s="8" t="n">
        <f aca="false">IF(E914=0,0,F914/E914-1)</f>
        <v>0.160287081339713</v>
      </c>
      <c r="I914" s="3" t="s">
        <v>38</v>
      </c>
    </row>
    <row r="915" customFormat="false" ht="15" hidden="false" customHeight="false" outlineLevel="0" collapsed="false">
      <c r="A915" s="3" t="s">
        <v>1041</v>
      </c>
      <c r="B915" s="3" t="s">
        <v>23</v>
      </c>
      <c r="C915" s="3" t="s">
        <v>24</v>
      </c>
      <c r="D915" s="3" t="n">
        <v>1</v>
      </c>
      <c r="E915" s="6" t="n">
        <v>137.3</v>
      </c>
      <c r="F915" s="6" t="n">
        <v>168</v>
      </c>
      <c r="G915" s="7" t="n">
        <f aca="false">F915-E915</f>
        <v>30.7</v>
      </c>
      <c r="H915" s="8" t="n">
        <f aca="false">IF(E915=0,0,F915/E915-1)</f>
        <v>0.223597960670066</v>
      </c>
      <c r="I915" s="3" t="s">
        <v>714</v>
      </c>
    </row>
    <row r="916" customFormat="false" ht="15" hidden="false" customHeight="false" outlineLevel="0" collapsed="false">
      <c r="A916" s="3" t="s">
        <v>1042</v>
      </c>
      <c r="B916" s="3" t="s">
        <v>23</v>
      </c>
      <c r="C916" s="3" t="s">
        <v>24</v>
      </c>
      <c r="D916" s="3" t="n">
        <v>1</v>
      </c>
      <c r="E916" s="6" t="n">
        <v>125</v>
      </c>
      <c r="F916" s="6" t="n">
        <v>153</v>
      </c>
      <c r="G916" s="7" t="n">
        <f aca="false">F916-E916</f>
        <v>28</v>
      </c>
      <c r="H916" s="8" t="n">
        <f aca="false">IF(E916=0,0,F916/E916-1)</f>
        <v>0.224</v>
      </c>
      <c r="I916" s="3" t="s">
        <v>1043</v>
      </c>
    </row>
    <row r="917" customFormat="false" ht="15" hidden="false" customHeight="false" outlineLevel="0" collapsed="false">
      <c r="A917" s="3" t="s">
        <v>1044</v>
      </c>
      <c r="B917" s="3" t="s">
        <v>23</v>
      </c>
      <c r="C917" s="3" t="s">
        <v>24</v>
      </c>
      <c r="D917" s="3" t="n">
        <v>1</v>
      </c>
      <c r="E917" s="6" t="n">
        <v>137.3</v>
      </c>
      <c r="F917" s="6" t="n">
        <v>168</v>
      </c>
      <c r="G917" s="7" t="n">
        <f aca="false">F917-E917</f>
        <v>30.7</v>
      </c>
      <c r="H917" s="8" t="n">
        <f aca="false">IF(E917=0,0,F917/E917-1)</f>
        <v>0.223597960670066</v>
      </c>
      <c r="I917" s="3" t="s">
        <v>714</v>
      </c>
    </row>
    <row r="918" customFormat="false" ht="15" hidden="false" customHeight="false" outlineLevel="0" collapsed="false">
      <c r="A918" s="3" t="s">
        <v>1045</v>
      </c>
      <c r="B918" s="3" t="s">
        <v>23</v>
      </c>
      <c r="C918" s="3" t="s">
        <v>24</v>
      </c>
      <c r="D918" s="3" t="n">
        <v>1</v>
      </c>
      <c r="E918" s="6" t="n">
        <v>164.99</v>
      </c>
      <c r="F918" s="6" t="n">
        <v>202</v>
      </c>
      <c r="G918" s="7" t="n">
        <f aca="false">F918-E918</f>
        <v>37.01</v>
      </c>
      <c r="H918" s="8" t="n">
        <f aca="false">IF(E918=0,0,F918/E918-1)</f>
        <v>0.224316625250015</v>
      </c>
      <c r="I918" s="3" t="s">
        <v>844</v>
      </c>
    </row>
    <row r="919" customFormat="false" ht="15" hidden="false" customHeight="false" outlineLevel="0" collapsed="false">
      <c r="A919" s="3" t="s">
        <v>1046</v>
      </c>
      <c r="B919" s="3" t="s">
        <v>23</v>
      </c>
      <c r="C919" s="3" t="s">
        <v>24</v>
      </c>
      <c r="D919" s="3" t="n">
        <v>1</v>
      </c>
      <c r="E919" s="6" t="n">
        <v>189.99</v>
      </c>
      <c r="F919" s="6" t="n">
        <v>232</v>
      </c>
      <c r="G919" s="7" t="n">
        <f aca="false">F919-E919</f>
        <v>42.01</v>
      </c>
      <c r="H919" s="8" t="n">
        <f aca="false">IF(E919=0,0,F919/E919-1)</f>
        <v>0.22111690088952</v>
      </c>
      <c r="I919" s="3" t="s">
        <v>27</v>
      </c>
    </row>
    <row r="920" customFormat="false" ht="15" hidden="false" customHeight="false" outlineLevel="0" collapsed="false">
      <c r="A920" s="3" t="s">
        <v>1047</v>
      </c>
      <c r="B920" s="3" t="s">
        <v>23</v>
      </c>
      <c r="C920" s="3" t="s">
        <v>24</v>
      </c>
      <c r="D920" s="3" t="n">
        <v>1</v>
      </c>
      <c r="E920" s="6" t="n">
        <v>210</v>
      </c>
      <c r="F920" s="6" t="n">
        <v>257</v>
      </c>
      <c r="G920" s="7" t="n">
        <f aca="false">F920-E920</f>
        <v>47</v>
      </c>
      <c r="H920" s="8" t="n">
        <f aca="false">IF(E920=0,0,F920/E920-1)</f>
        <v>0.223809523809524</v>
      </c>
      <c r="I920" s="3" t="s">
        <v>27</v>
      </c>
    </row>
    <row r="921" customFormat="false" ht="15" hidden="false" customHeight="false" outlineLevel="0" collapsed="false">
      <c r="A921" s="3" t="s">
        <v>1048</v>
      </c>
      <c r="B921" s="3" t="s">
        <v>23</v>
      </c>
      <c r="C921" s="3" t="s">
        <v>24</v>
      </c>
      <c r="D921" s="3" t="n">
        <v>1</v>
      </c>
      <c r="E921" s="6" t="n">
        <v>279.99</v>
      </c>
      <c r="F921" s="6" t="n">
        <v>342</v>
      </c>
      <c r="G921" s="7" t="n">
        <f aca="false">F921-E921</f>
        <v>62.01</v>
      </c>
      <c r="H921" s="8" t="n">
        <f aca="false">IF(E921=0,0,F921/E921-1)</f>
        <v>0.221472195435551</v>
      </c>
      <c r="I921" s="3" t="s">
        <v>27</v>
      </c>
    </row>
    <row r="922" customFormat="false" ht="15" hidden="false" customHeight="false" outlineLevel="0" collapsed="false">
      <c r="A922" s="3" t="s">
        <v>1049</v>
      </c>
      <c r="B922" s="3" t="s">
        <v>23</v>
      </c>
      <c r="C922" s="3" t="s">
        <v>24</v>
      </c>
      <c r="D922" s="3" t="n">
        <v>1</v>
      </c>
      <c r="E922" s="6" t="n">
        <v>123</v>
      </c>
      <c r="F922" s="6" t="n">
        <v>151</v>
      </c>
      <c r="G922" s="7" t="n">
        <f aca="false">F922-E922</f>
        <v>28</v>
      </c>
      <c r="H922" s="8" t="n">
        <f aca="false">IF(E922=0,0,F922/E922-1)</f>
        <v>0.227642276422764</v>
      </c>
      <c r="I922" s="3" t="s">
        <v>27</v>
      </c>
    </row>
    <row r="923" customFormat="false" ht="15" hidden="false" customHeight="false" outlineLevel="0" collapsed="false">
      <c r="A923" s="3" t="s">
        <v>1050</v>
      </c>
      <c r="B923" s="3" t="s">
        <v>23</v>
      </c>
      <c r="C923" s="3" t="s">
        <v>24</v>
      </c>
      <c r="D923" s="3" t="n">
        <v>1</v>
      </c>
      <c r="E923" s="6" t="n">
        <v>349.99</v>
      </c>
      <c r="F923" s="6" t="n">
        <v>427</v>
      </c>
      <c r="G923" s="7" t="n">
        <f aca="false">F923-E923</f>
        <v>77.01</v>
      </c>
      <c r="H923" s="8" t="n">
        <f aca="false">IF(E923=0,0,F923/E923-1)</f>
        <v>0.220034858138804</v>
      </c>
      <c r="I923" s="3" t="s">
        <v>1051</v>
      </c>
    </row>
    <row r="924" customFormat="false" ht="15" hidden="false" customHeight="false" outlineLevel="0" collapsed="false">
      <c r="A924" s="3" t="s">
        <v>1052</v>
      </c>
      <c r="B924" s="3" t="s">
        <v>23</v>
      </c>
      <c r="C924" s="3" t="s">
        <v>24</v>
      </c>
      <c r="D924" s="3" t="n">
        <v>1</v>
      </c>
      <c r="E924" s="6" t="n">
        <v>19.99</v>
      </c>
      <c r="F924" s="6" t="n">
        <v>24.5</v>
      </c>
      <c r="G924" s="7" t="n">
        <f aca="false">F924-E924</f>
        <v>4.51</v>
      </c>
      <c r="H924" s="8" t="n">
        <f aca="false">IF(E924=0,0,F924/E924-1)</f>
        <v>0.225612806403202</v>
      </c>
      <c r="I924" s="3" t="s">
        <v>27</v>
      </c>
    </row>
    <row r="925" customFormat="false" ht="15" hidden="false" customHeight="false" outlineLevel="0" collapsed="false">
      <c r="A925" s="3" t="s">
        <v>1053</v>
      </c>
      <c r="B925" s="3" t="s">
        <v>23</v>
      </c>
      <c r="C925" s="3" t="s">
        <v>24</v>
      </c>
      <c r="D925" s="3" t="n">
        <v>1</v>
      </c>
      <c r="E925" s="6" t="n">
        <v>200.84</v>
      </c>
      <c r="F925" s="6" t="n">
        <v>246</v>
      </c>
      <c r="G925" s="7" t="n">
        <f aca="false">F925-E925</f>
        <v>45.16</v>
      </c>
      <c r="H925" s="8" t="n">
        <f aca="false">IF(E925=0,0,F925/E925-1)</f>
        <v>0.224855606452898</v>
      </c>
      <c r="I925" s="3" t="s">
        <v>134</v>
      </c>
    </row>
    <row r="926" customFormat="false" ht="15" hidden="false" customHeight="false" outlineLevel="0" collapsed="false">
      <c r="A926" s="3" t="s">
        <v>1054</v>
      </c>
      <c r="B926" s="3" t="s">
        <v>23</v>
      </c>
      <c r="C926" s="3" t="s">
        <v>24</v>
      </c>
      <c r="D926" s="3" t="n">
        <v>1</v>
      </c>
      <c r="E926" s="6" t="n">
        <v>110</v>
      </c>
      <c r="F926" s="6" t="n">
        <v>135</v>
      </c>
      <c r="G926" s="7" t="n">
        <f aca="false">F926-E926</f>
        <v>25</v>
      </c>
      <c r="H926" s="8" t="n">
        <f aca="false">IF(E926=0,0,F926/E926-1)</f>
        <v>0.227272727272727</v>
      </c>
      <c r="I926" s="3" t="s">
        <v>27</v>
      </c>
    </row>
    <row r="927" customFormat="false" ht="15" hidden="false" customHeight="false" outlineLevel="0" collapsed="false">
      <c r="A927" s="3" t="s">
        <v>1055</v>
      </c>
      <c r="B927" s="3" t="s">
        <v>23</v>
      </c>
      <c r="C927" s="3" t="s">
        <v>24</v>
      </c>
      <c r="D927" s="3" t="n">
        <v>1</v>
      </c>
      <c r="E927" s="6" t="n">
        <v>149.99</v>
      </c>
      <c r="F927" s="6" t="n">
        <v>183</v>
      </c>
      <c r="G927" s="7" t="n">
        <f aca="false">F927-E927</f>
        <v>33.01</v>
      </c>
      <c r="H927" s="8" t="n">
        <f aca="false">IF(E927=0,0,F927/E927-1)</f>
        <v>0.220081338755917</v>
      </c>
      <c r="I927" s="3" t="s">
        <v>27</v>
      </c>
    </row>
    <row r="928" customFormat="false" ht="15" hidden="false" customHeight="false" outlineLevel="0" collapsed="false">
      <c r="A928" s="3" t="s">
        <v>1056</v>
      </c>
      <c r="B928" s="3" t="s">
        <v>23</v>
      </c>
      <c r="C928" s="3" t="s">
        <v>24</v>
      </c>
      <c r="D928" s="3" t="n">
        <v>1</v>
      </c>
      <c r="E928" s="6" t="n">
        <v>800</v>
      </c>
      <c r="F928" s="6" t="n">
        <v>976</v>
      </c>
      <c r="G928" s="7" t="n">
        <f aca="false">F928-E928</f>
        <v>176</v>
      </c>
      <c r="H928" s="8" t="n">
        <f aca="false">IF(E928=0,0,F928/E928-1)</f>
        <v>0.22</v>
      </c>
      <c r="I928" s="3" t="s">
        <v>27</v>
      </c>
    </row>
    <row r="929" customFormat="false" ht="15" hidden="false" customHeight="false" outlineLevel="0" collapsed="false">
      <c r="A929" s="3" t="s">
        <v>1057</v>
      </c>
      <c r="B929" s="3" t="s">
        <v>23</v>
      </c>
      <c r="C929" s="3" t="s">
        <v>24</v>
      </c>
      <c r="D929" s="3" t="n">
        <v>1</v>
      </c>
      <c r="E929" s="6" t="n">
        <v>133</v>
      </c>
      <c r="F929" s="6" t="n">
        <v>163</v>
      </c>
      <c r="G929" s="7" t="n">
        <f aca="false">F929-E929</f>
        <v>30</v>
      </c>
      <c r="H929" s="8" t="n">
        <f aca="false">IF(E929=0,0,F929/E929-1)</f>
        <v>0.225563909774436</v>
      </c>
      <c r="I929" s="3" t="s">
        <v>27</v>
      </c>
    </row>
    <row r="930" customFormat="false" ht="15" hidden="false" customHeight="false" outlineLevel="0" collapsed="false">
      <c r="A930" s="3" t="s">
        <v>1058</v>
      </c>
      <c r="B930" s="3" t="s">
        <v>23</v>
      </c>
      <c r="C930" s="3" t="s">
        <v>24</v>
      </c>
      <c r="D930" s="3" t="n">
        <v>1</v>
      </c>
      <c r="E930" s="6" t="n">
        <v>149.99</v>
      </c>
      <c r="F930" s="6" t="n">
        <v>183</v>
      </c>
      <c r="G930" s="7" t="n">
        <f aca="false">F930-E930</f>
        <v>33.01</v>
      </c>
      <c r="H930" s="8" t="n">
        <f aca="false">IF(E930=0,0,F930/E930-1)</f>
        <v>0.220081338755917</v>
      </c>
      <c r="I930" s="3" t="s">
        <v>27</v>
      </c>
    </row>
    <row r="931" customFormat="false" ht="15" hidden="false" customHeight="false" outlineLevel="0" collapsed="false">
      <c r="A931" s="3" t="s">
        <v>1059</v>
      </c>
      <c r="B931" s="3" t="s">
        <v>23</v>
      </c>
      <c r="C931" s="3" t="s">
        <v>24</v>
      </c>
      <c r="D931" s="3" t="n">
        <v>1</v>
      </c>
      <c r="E931" s="6" t="n">
        <v>259.99</v>
      </c>
      <c r="F931" s="6" t="n">
        <v>318</v>
      </c>
      <c r="G931" s="7" t="n">
        <f aca="false">F931-E931</f>
        <v>58.01</v>
      </c>
      <c r="H931" s="8" t="n">
        <f aca="false">IF(E931=0,0,F931/E931-1)</f>
        <v>0.223123966306396</v>
      </c>
      <c r="I931" s="3" t="s">
        <v>27</v>
      </c>
    </row>
    <row r="932" customFormat="false" ht="15" hidden="false" customHeight="false" outlineLevel="0" collapsed="false">
      <c r="A932" s="3" t="s">
        <v>1060</v>
      </c>
      <c r="B932" s="3" t="s">
        <v>23</v>
      </c>
      <c r="C932" s="3" t="s">
        <v>24</v>
      </c>
      <c r="D932" s="3" t="n">
        <v>1</v>
      </c>
      <c r="E932" s="6" t="n">
        <v>259.99</v>
      </c>
      <c r="F932" s="6" t="n">
        <v>318</v>
      </c>
      <c r="G932" s="7" t="n">
        <f aca="false">F932-E932</f>
        <v>58.01</v>
      </c>
      <c r="H932" s="8" t="n">
        <f aca="false">IF(E932=0,0,F932/E932-1)</f>
        <v>0.223123966306396</v>
      </c>
      <c r="I932" s="3" t="s">
        <v>27</v>
      </c>
    </row>
    <row r="933" customFormat="false" ht="15" hidden="false" customHeight="false" outlineLevel="0" collapsed="false">
      <c r="A933" s="3" t="s">
        <v>1061</v>
      </c>
      <c r="B933" s="3" t="s">
        <v>23</v>
      </c>
      <c r="C933" s="3" t="s">
        <v>24</v>
      </c>
      <c r="D933" s="3" t="n">
        <v>1</v>
      </c>
      <c r="E933" s="6" t="n">
        <v>74.99</v>
      </c>
      <c r="F933" s="6" t="n">
        <v>91.5</v>
      </c>
      <c r="G933" s="7" t="n">
        <f aca="false">F933-E933</f>
        <v>16.51</v>
      </c>
      <c r="H933" s="8" t="n">
        <f aca="false">IF(E933=0,0,F933/E933-1)</f>
        <v>0.220162688358448</v>
      </c>
      <c r="I933" s="3" t="s">
        <v>27</v>
      </c>
    </row>
    <row r="934" customFormat="false" ht="15" hidden="false" customHeight="false" outlineLevel="0" collapsed="false">
      <c r="A934" s="3" t="s">
        <v>1062</v>
      </c>
      <c r="B934" s="3" t="s">
        <v>23</v>
      </c>
      <c r="C934" s="3" t="s">
        <v>24</v>
      </c>
      <c r="D934" s="3" t="n">
        <v>1</v>
      </c>
      <c r="E934" s="6" t="n">
        <v>181.38</v>
      </c>
      <c r="F934" s="6" t="n">
        <v>222</v>
      </c>
      <c r="G934" s="7" t="n">
        <f aca="false">F934-E934</f>
        <v>40.62</v>
      </c>
      <c r="H934" s="8" t="n">
        <f aca="false">IF(E934=0,0,F934/E934-1)</f>
        <v>0.223949718822362</v>
      </c>
      <c r="I934" s="3" t="s">
        <v>27</v>
      </c>
    </row>
    <row r="935" customFormat="false" ht="15" hidden="false" customHeight="false" outlineLevel="0" collapsed="false">
      <c r="A935" s="3" t="s">
        <v>1063</v>
      </c>
      <c r="B935" s="3" t="s">
        <v>23</v>
      </c>
      <c r="C935" s="3" t="s">
        <v>24</v>
      </c>
      <c r="D935" s="3" t="n">
        <v>1</v>
      </c>
      <c r="E935" s="6" t="n">
        <v>249.99</v>
      </c>
      <c r="F935" s="6" t="n">
        <v>305</v>
      </c>
      <c r="G935" s="7" t="n">
        <f aca="false">F935-E935</f>
        <v>55.01</v>
      </c>
      <c r="H935" s="8" t="n">
        <f aca="false">IF(E935=0,0,F935/E935-1)</f>
        <v>0.220048801952078</v>
      </c>
      <c r="I935" s="3" t="s">
        <v>27</v>
      </c>
    </row>
    <row r="936" customFormat="false" ht="15" hidden="false" customHeight="false" outlineLevel="0" collapsed="false">
      <c r="A936" s="3" t="s">
        <v>1064</v>
      </c>
      <c r="B936" s="3" t="s">
        <v>23</v>
      </c>
      <c r="C936" s="3" t="s">
        <v>24</v>
      </c>
      <c r="D936" s="3" t="n">
        <v>1</v>
      </c>
      <c r="E936" s="6" t="n">
        <v>599.99</v>
      </c>
      <c r="F936" s="6" t="n">
        <v>732</v>
      </c>
      <c r="G936" s="7" t="n">
        <f aca="false">F936-E936</f>
        <v>132.01</v>
      </c>
      <c r="H936" s="8" t="n">
        <f aca="false">IF(E936=0,0,F936/E936-1)</f>
        <v>0.220020333672228</v>
      </c>
      <c r="I936" s="3" t="s">
        <v>27</v>
      </c>
    </row>
    <row r="937" customFormat="false" ht="15" hidden="false" customHeight="false" outlineLevel="0" collapsed="false">
      <c r="A937" s="3" t="s">
        <v>1065</v>
      </c>
      <c r="B937" s="3" t="s">
        <v>23</v>
      </c>
      <c r="C937" s="3" t="s">
        <v>24</v>
      </c>
      <c r="D937" s="3" t="n">
        <v>1</v>
      </c>
      <c r="E937" s="6" t="n">
        <v>3199</v>
      </c>
      <c r="F937" s="6" t="n">
        <v>3905</v>
      </c>
      <c r="G937" s="7" t="n">
        <f aca="false">F937-E937</f>
        <v>706</v>
      </c>
      <c r="H937" s="8" t="n">
        <f aca="false">IF(E937=0,0,F937/E937-1)</f>
        <v>0.220693966864645</v>
      </c>
      <c r="I937" s="3" t="s">
        <v>330</v>
      </c>
    </row>
    <row r="938" customFormat="false" ht="15" hidden="false" customHeight="false" outlineLevel="0" collapsed="false">
      <c r="A938" s="3" t="s">
        <v>1066</v>
      </c>
      <c r="B938" s="3" t="s">
        <v>23</v>
      </c>
      <c r="C938" s="3" t="s">
        <v>24</v>
      </c>
      <c r="D938" s="3" t="n">
        <v>1</v>
      </c>
      <c r="E938" s="6" t="n">
        <v>159.99</v>
      </c>
      <c r="F938" s="6" t="n">
        <v>196</v>
      </c>
      <c r="G938" s="7" t="n">
        <f aca="false">F938-E938</f>
        <v>36.01</v>
      </c>
      <c r="H938" s="8" t="n">
        <f aca="false">IF(E938=0,0,F938/E938-1)</f>
        <v>0.225076567285455</v>
      </c>
      <c r="I938" s="3" t="s">
        <v>27</v>
      </c>
    </row>
    <row r="939" customFormat="false" ht="15" hidden="false" customHeight="false" outlineLevel="0" collapsed="false">
      <c r="A939" s="3" t="s">
        <v>1067</v>
      </c>
      <c r="B939" s="3" t="s">
        <v>23</v>
      </c>
      <c r="C939" s="3" t="s">
        <v>24</v>
      </c>
      <c r="D939" s="3" t="n">
        <v>1</v>
      </c>
      <c r="E939" s="6" t="n">
        <v>600</v>
      </c>
      <c r="F939" s="6" t="n">
        <v>732</v>
      </c>
      <c r="G939" s="7" t="n">
        <f aca="false">F939-E939</f>
        <v>132</v>
      </c>
      <c r="H939" s="8" t="n">
        <f aca="false">IF(E939=0,0,F939/E939-1)</f>
        <v>0.22</v>
      </c>
      <c r="I939" s="3" t="s">
        <v>27</v>
      </c>
    </row>
    <row r="940" customFormat="false" ht="15" hidden="false" customHeight="false" outlineLevel="0" collapsed="false">
      <c r="A940" s="3" t="s">
        <v>1068</v>
      </c>
      <c r="B940" s="3" t="s">
        <v>23</v>
      </c>
      <c r="C940" s="3" t="s">
        <v>24</v>
      </c>
      <c r="D940" s="3" t="n">
        <v>1</v>
      </c>
      <c r="E940" s="6" t="n">
        <v>118.56</v>
      </c>
      <c r="F940" s="6" t="n">
        <v>145</v>
      </c>
      <c r="G940" s="7" t="n">
        <f aca="false">F940-E940</f>
        <v>26.44</v>
      </c>
      <c r="H940" s="8" t="n">
        <f aca="false">IF(E940=0,0,F940/E940-1)</f>
        <v>0.223009446693657</v>
      </c>
      <c r="I940" s="3" t="s">
        <v>27</v>
      </c>
    </row>
    <row r="941" customFormat="false" ht="15" hidden="false" customHeight="false" outlineLevel="0" collapsed="false">
      <c r="A941" s="3" t="s">
        <v>1069</v>
      </c>
      <c r="B941" s="3" t="s">
        <v>23</v>
      </c>
      <c r="C941" s="3" t="s">
        <v>24</v>
      </c>
      <c r="D941" s="3" t="n">
        <v>1</v>
      </c>
      <c r="E941" s="6" t="n">
        <v>37</v>
      </c>
      <c r="F941" s="6" t="n">
        <v>45.5</v>
      </c>
      <c r="G941" s="7" t="n">
        <f aca="false">F941-E941</f>
        <v>8.5</v>
      </c>
      <c r="H941" s="8" t="n">
        <f aca="false">IF(E941=0,0,F941/E941-1)</f>
        <v>0.22972972972973</v>
      </c>
      <c r="I941" s="3" t="s">
        <v>27</v>
      </c>
    </row>
    <row r="942" customFormat="false" ht="15" hidden="false" customHeight="false" outlineLevel="0" collapsed="false">
      <c r="A942" s="3" t="s">
        <v>1070</v>
      </c>
      <c r="B942" s="3" t="s">
        <v>23</v>
      </c>
      <c r="C942" s="3" t="s">
        <v>24</v>
      </c>
      <c r="D942" s="3" t="n">
        <v>1</v>
      </c>
      <c r="E942" s="6" t="n">
        <v>199.99</v>
      </c>
      <c r="F942" s="6" t="n">
        <v>244</v>
      </c>
      <c r="G942" s="7" t="n">
        <f aca="false">F942-E942</f>
        <v>44.01</v>
      </c>
      <c r="H942" s="8" t="n">
        <f aca="false">IF(E942=0,0,F942/E942-1)</f>
        <v>0.220061003050152</v>
      </c>
      <c r="I942" s="3" t="s">
        <v>27</v>
      </c>
    </row>
    <row r="943" customFormat="false" ht="15" hidden="false" customHeight="false" outlineLevel="0" collapsed="false">
      <c r="A943" s="3" t="s">
        <v>1071</v>
      </c>
      <c r="B943" s="3" t="s">
        <v>23</v>
      </c>
      <c r="C943" s="3" t="s">
        <v>24</v>
      </c>
      <c r="D943" s="3" t="n">
        <v>1</v>
      </c>
      <c r="E943" s="6" t="n">
        <v>649.99</v>
      </c>
      <c r="F943" s="6" t="n">
        <v>793</v>
      </c>
      <c r="G943" s="7" t="n">
        <f aca="false">F943-E943</f>
        <v>143.01</v>
      </c>
      <c r="H943" s="8" t="n">
        <f aca="false">IF(E943=0,0,F943/E943-1)</f>
        <v>0.220018769519531</v>
      </c>
      <c r="I943" s="3" t="s">
        <v>27</v>
      </c>
    </row>
    <row r="944" customFormat="false" ht="15" hidden="false" customHeight="false" outlineLevel="0" collapsed="false">
      <c r="A944" s="3" t="s">
        <v>1072</v>
      </c>
      <c r="B944" s="3" t="s">
        <v>23</v>
      </c>
      <c r="C944" s="3" t="s">
        <v>24</v>
      </c>
      <c r="D944" s="3" t="n">
        <v>1</v>
      </c>
      <c r="E944" s="6" t="n">
        <v>39</v>
      </c>
      <c r="F944" s="6" t="n">
        <v>48</v>
      </c>
      <c r="G944" s="7" t="n">
        <f aca="false">F944-E944</f>
        <v>9</v>
      </c>
      <c r="H944" s="8" t="n">
        <f aca="false">IF(E944=0,0,F944/E944-1)</f>
        <v>0.230769230769231</v>
      </c>
      <c r="I944" s="3" t="s">
        <v>27</v>
      </c>
    </row>
    <row r="945" customFormat="false" ht="15" hidden="false" customHeight="false" outlineLevel="0" collapsed="false">
      <c r="A945" s="3" t="s">
        <v>1073</v>
      </c>
      <c r="B945" s="3" t="s">
        <v>23</v>
      </c>
      <c r="C945" s="3" t="s">
        <v>24</v>
      </c>
      <c r="D945" s="3" t="n">
        <v>1</v>
      </c>
      <c r="E945" s="6" t="n">
        <v>64.99</v>
      </c>
      <c r="F945" s="6" t="n">
        <v>79.5</v>
      </c>
      <c r="G945" s="7" t="n">
        <f aca="false">F945-E945</f>
        <v>14.51</v>
      </c>
      <c r="H945" s="8" t="n">
        <f aca="false">IF(E945=0,0,F945/E945-1)</f>
        <v>0.223265117710417</v>
      </c>
      <c r="I945" s="3" t="s">
        <v>27</v>
      </c>
    </row>
    <row r="946" customFormat="false" ht="15" hidden="false" customHeight="false" outlineLevel="0" collapsed="false">
      <c r="A946" s="3" t="s">
        <v>1074</v>
      </c>
      <c r="B946" s="3" t="s">
        <v>23</v>
      </c>
      <c r="C946" s="3" t="s">
        <v>24</v>
      </c>
      <c r="D946" s="3" t="n">
        <v>1</v>
      </c>
      <c r="E946" s="6" t="n">
        <v>220</v>
      </c>
      <c r="F946" s="6" t="n">
        <v>269</v>
      </c>
      <c r="G946" s="7" t="n">
        <f aca="false">F946-E946</f>
        <v>49</v>
      </c>
      <c r="H946" s="8" t="n">
        <f aca="false">IF(E946=0,0,F946/E946-1)</f>
        <v>0.222727272727273</v>
      </c>
      <c r="I946" s="3" t="s">
        <v>27</v>
      </c>
    </row>
    <row r="947" customFormat="false" ht="15" hidden="false" customHeight="false" outlineLevel="0" collapsed="false">
      <c r="A947" s="3" t="s">
        <v>1075</v>
      </c>
      <c r="B947" s="3" t="s">
        <v>23</v>
      </c>
      <c r="C947" s="3" t="s">
        <v>24</v>
      </c>
      <c r="D947" s="3" t="n">
        <v>1</v>
      </c>
      <c r="E947" s="6" t="n">
        <v>137.3</v>
      </c>
      <c r="F947" s="6" t="n">
        <v>168</v>
      </c>
      <c r="G947" s="7" t="n">
        <f aca="false">F947-E947</f>
        <v>30.7</v>
      </c>
      <c r="H947" s="8" t="n">
        <f aca="false">IF(E947=0,0,F947/E947-1)</f>
        <v>0.223597960670066</v>
      </c>
      <c r="I947" s="3" t="s">
        <v>714</v>
      </c>
    </row>
    <row r="948" customFormat="false" ht="15" hidden="false" customHeight="false" outlineLevel="0" collapsed="false">
      <c r="A948" s="3" t="s">
        <v>1076</v>
      </c>
      <c r="B948" s="3" t="s">
        <v>23</v>
      </c>
      <c r="C948" s="3" t="s">
        <v>179</v>
      </c>
      <c r="D948" s="3" t="n">
        <v>5</v>
      </c>
      <c r="E948" s="6" t="n">
        <v>785</v>
      </c>
      <c r="F948" s="6" t="n">
        <v>801</v>
      </c>
      <c r="G948" s="7" t="n">
        <f aca="false">F948-E948</f>
        <v>16</v>
      </c>
      <c r="H948" s="8" t="n">
        <f aca="false">IF(E948=0,0,F948/E948-1)</f>
        <v>0.0203821656050955</v>
      </c>
      <c r="I948" s="3" t="s">
        <v>1077</v>
      </c>
    </row>
    <row r="949" customFormat="false" ht="15" hidden="false" customHeight="false" outlineLevel="0" collapsed="false">
      <c r="A949" s="3" t="s">
        <v>1078</v>
      </c>
      <c r="B949" s="3" t="s">
        <v>23</v>
      </c>
      <c r="C949" s="3" t="s">
        <v>24</v>
      </c>
      <c r="D949" s="3" t="n">
        <v>1</v>
      </c>
      <c r="E949" s="6" t="n">
        <v>159.99</v>
      </c>
      <c r="F949" s="6" t="n">
        <v>196</v>
      </c>
      <c r="G949" s="7" t="n">
        <f aca="false">F949-E949</f>
        <v>36.01</v>
      </c>
      <c r="H949" s="8" t="n">
        <f aca="false">IF(E949=0,0,F949/E949-1)</f>
        <v>0.225076567285455</v>
      </c>
      <c r="I949" s="3" t="s">
        <v>27</v>
      </c>
    </row>
    <row r="950" customFormat="false" ht="15" hidden="false" customHeight="false" outlineLevel="0" collapsed="false">
      <c r="A950" s="3" t="s">
        <v>1079</v>
      </c>
      <c r="B950" s="3" t="s">
        <v>23</v>
      </c>
      <c r="C950" s="3" t="s">
        <v>24</v>
      </c>
      <c r="D950" s="3" t="n">
        <v>1</v>
      </c>
      <c r="E950" s="6" t="n">
        <v>474.99</v>
      </c>
      <c r="F950" s="6" t="n">
        <v>580</v>
      </c>
      <c r="G950" s="7" t="n">
        <f aca="false">F950-E950</f>
        <v>105.01</v>
      </c>
      <c r="H950" s="8" t="n">
        <f aca="false">IF(E950=0,0,F950/E950-1)</f>
        <v>0.221078338491337</v>
      </c>
      <c r="I950" s="3" t="s">
        <v>27</v>
      </c>
    </row>
    <row r="951" customFormat="false" ht="15" hidden="false" customHeight="false" outlineLevel="0" collapsed="false">
      <c r="A951" s="3" t="s">
        <v>1080</v>
      </c>
      <c r="B951" s="3" t="s">
        <v>23</v>
      </c>
      <c r="C951" s="3" t="s">
        <v>24</v>
      </c>
      <c r="D951" s="3" t="n">
        <v>1</v>
      </c>
      <c r="E951" s="6" t="n">
        <v>37.99</v>
      </c>
      <c r="F951" s="6" t="n">
        <v>46.5</v>
      </c>
      <c r="G951" s="7" t="n">
        <f aca="false">F951-E951</f>
        <v>8.51</v>
      </c>
      <c r="H951" s="8" t="n">
        <f aca="false">IF(E951=0,0,F951/E951-1)</f>
        <v>0.224006317451961</v>
      </c>
      <c r="I951" s="3" t="s">
        <v>27</v>
      </c>
    </row>
    <row r="952" customFormat="false" ht="15" hidden="false" customHeight="false" outlineLevel="0" collapsed="false">
      <c r="A952" s="3" t="s">
        <v>1081</v>
      </c>
      <c r="B952" s="3" t="s">
        <v>23</v>
      </c>
      <c r="C952" s="3" t="s">
        <v>24</v>
      </c>
      <c r="D952" s="3" t="n">
        <v>1</v>
      </c>
      <c r="E952" s="6" t="n">
        <v>32.88</v>
      </c>
      <c r="F952" s="6" t="n">
        <v>40.5</v>
      </c>
      <c r="G952" s="7" t="n">
        <f aca="false">F952-E952</f>
        <v>7.62</v>
      </c>
      <c r="H952" s="8" t="n">
        <f aca="false">IF(E952=0,0,F952/E952-1)</f>
        <v>0.231751824817518</v>
      </c>
      <c r="I952" s="3" t="s">
        <v>210</v>
      </c>
    </row>
    <row r="953" customFormat="false" ht="15" hidden="false" customHeight="false" outlineLevel="0" collapsed="false">
      <c r="A953" s="3" t="s">
        <v>1082</v>
      </c>
      <c r="B953" s="3" t="s">
        <v>23</v>
      </c>
      <c r="C953" s="3" t="s">
        <v>24</v>
      </c>
      <c r="D953" s="3" t="n">
        <v>1</v>
      </c>
      <c r="E953" s="6" t="n">
        <v>420</v>
      </c>
      <c r="F953" s="6" t="n">
        <v>513</v>
      </c>
      <c r="G953" s="7" t="n">
        <f aca="false">F953-E953</f>
        <v>93</v>
      </c>
      <c r="H953" s="8" t="n">
        <f aca="false">IF(E953=0,0,F953/E953-1)</f>
        <v>0.221428571428572</v>
      </c>
      <c r="I953" s="3" t="s">
        <v>27</v>
      </c>
    </row>
    <row r="954" customFormat="false" ht="15" hidden="false" customHeight="false" outlineLevel="0" collapsed="false">
      <c r="A954" s="3" t="s">
        <v>1083</v>
      </c>
      <c r="B954" s="3" t="s">
        <v>23</v>
      </c>
      <c r="C954" s="3" t="s">
        <v>24</v>
      </c>
      <c r="D954" s="3" t="n">
        <v>1</v>
      </c>
      <c r="E954" s="6" t="n">
        <v>84.99</v>
      </c>
      <c r="F954" s="6" t="n">
        <v>104</v>
      </c>
      <c r="G954" s="7" t="n">
        <f aca="false">F954-E954</f>
        <v>19.01</v>
      </c>
      <c r="H954" s="8" t="n">
        <f aca="false">IF(E954=0,0,F954/E954-1)</f>
        <v>0.22367337333804</v>
      </c>
      <c r="I954" s="3" t="s">
        <v>27</v>
      </c>
    </row>
    <row r="955" customFormat="false" ht="15" hidden="false" customHeight="false" outlineLevel="0" collapsed="false">
      <c r="A955" s="3" t="s">
        <v>1084</v>
      </c>
      <c r="B955" s="3" t="s">
        <v>23</v>
      </c>
      <c r="C955" s="3" t="s">
        <v>24</v>
      </c>
      <c r="D955" s="3" t="n">
        <v>1</v>
      </c>
      <c r="E955" s="6" t="n">
        <v>135.18</v>
      </c>
      <c r="F955" s="6" t="n">
        <v>165</v>
      </c>
      <c r="G955" s="7" t="n">
        <f aca="false">F955-E955</f>
        <v>29.82</v>
      </c>
      <c r="H955" s="8" t="n">
        <f aca="false">IF(E955=0,0,F955/E955-1)</f>
        <v>0.220594762538837</v>
      </c>
      <c r="I955" s="3" t="s">
        <v>134</v>
      </c>
    </row>
    <row r="956" customFormat="false" ht="15" hidden="false" customHeight="false" outlineLevel="0" collapsed="false">
      <c r="A956" s="3" t="s">
        <v>1085</v>
      </c>
      <c r="B956" s="3" t="s">
        <v>23</v>
      </c>
      <c r="C956" s="3" t="s">
        <v>24</v>
      </c>
      <c r="D956" s="3" t="n">
        <v>1</v>
      </c>
      <c r="E956" s="6" t="n">
        <v>210</v>
      </c>
      <c r="F956" s="6" t="n">
        <v>257</v>
      </c>
      <c r="G956" s="7" t="n">
        <f aca="false">F956-E956</f>
        <v>47</v>
      </c>
      <c r="H956" s="8" t="n">
        <f aca="false">IF(E956=0,0,F956/E956-1)</f>
        <v>0.223809523809524</v>
      </c>
      <c r="I956" s="3" t="s">
        <v>27</v>
      </c>
    </row>
    <row r="957" customFormat="false" ht="15" hidden="false" customHeight="false" outlineLevel="0" collapsed="false">
      <c r="A957" s="3" t="s">
        <v>1086</v>
      </c>
      <c r="B957" s="3" t="s">
        <v>23</v>
      </c>
      <c r="C957" s="3" t="s">
        <v>24</v>
      </c>
      <c r="D957" s="3" t="n">
        <v>1</v>
      </c>
      <c r="E957" s="6" t="n">
        <v>210</v>
      </c>
      <c r="F957" s="6" t="n">
        <v>257</v>
      </c>
      <c r="G957" s="7" t="n">
        <f aca="false">F957-E957</f>
        <v>47</v>
      </c>
      <c r="H957" s="8" t="n">
        <f aca="false">IF(E957=0,0,F957/E957-1)</f>
        <v>0.223809523809524</v>
      </c>
      <c r="I957" s="3" t="s">
        <v>27</v>
      </c>
    </row>
    <row r="958" customFormat="false" ht="15" hidden="false" customHeight="false" outlineLevel="0" collapsed="false">
      <c r="A958" s="3" t="s">
        <v>1087</v>
      </c>
      <c r="B958" s="3" t="s">
        <v>23</v>
      </c>
      <c r="C958" s="3" t="s">
        <v>24</v>
      </c>
      <c r="D958" s="3" t="n">
        <v>1</v>
      </c>
      <c r="E958" s="6" t="n">
        <v>109.99</v>
      </c>
      <c r="F958" s="6" t="n">
        <v>135</v>
      </c>
      <c r="G958" s="7" t="n">
        <f aca="false">F958-E958</f>
        <v>25.01</v>
      </c>
      <c r="H958" s="8" t="n">
        <f aca="false">IF(E958=0,0,F958/E958-1)</f>
        <v>0.227384307664333</v>
      </c>
      <c r="I958" s="3" t="s">
        <v>27</v>
      </c>
    </row>
    <row r="959" customFormat="false" ht="15" hidden="false" customHeight="false" outlineLevel="0" collapsed="false">
      <c r="A959" s="3" t="s">
        <v>1088</v>
      </c>
      <c r="B959" s="3" t="s">
        <v>23</v>
      </c>
      <c r="C959" s="3" t="s">
        <v>24</v>
      </c>
      <c r="D959" s="3" t="n">
        <v>5</v>
      </c>
      <c r="E959" s="6" t="n">
        <v>129.99</v>
      </c>
      <c r="F959" s="6" t="n">
        <v>133</v>
      </c>
      <c r="G959" s="7" t="n">
        <f aca="false">F959-E959</f>
        <v>3.00999999999999</v>
      </c>
      <c r="H959" s="8" t="n">
        <f aca="false">IF(E959=0,0,F959/E959-1)</f>
        <v>0.0231556273559503</v>
      </c>
      <c r="I959" s="3" t="s">
        <v>368</v>
      </c>
    </row>
    <row r="960" customFormat="false" ht="15" hidden="false" customHeight="false" outlineLevel="0" collapsed="false">
      <c r="A960" s="3" t="s">
        <v>1089</v>
      </c>
      <c r="B960" s="3" t="s">
        <v>23</v>
      </c>
      <c r="C960" s="3" t="s">
        <v>24</v>
      </c>
      <c r="D960" s="3" t="n">
        <v>3</v>
      </c>
      <c r="E960" s="6" t="n">
        <v>3400</v>
      </c>
      <c r="F960" s="6" t="n">
        <v>3945</v>
      </c>
      <c r="G960" s="7" t="n">
        <f aca="false">F960-E960</f>
        <v>545</v>
      </c>
      <c r="H960" s="8" t="n">
        <f aca="false">IF(E960=0,0,F960/E960-1)</f>
        <v>0.160294117647059</v>
      </c>
      <c r="I960" s="3" t="s">
        <v>38</v>
      </c>
    </row>
    <row r="961" customFormat="false" ht="15" hidden="false" customHeight="false" outlineLevel="0" collapsed="false">
      <c r="A961" s="3" t="s">
        <v>1090</v>
      </c>
      <c r="B961" s="3" t="s">
        <v>23</v>
      </c>
      <c r="C961" s="3" t="s">
        <v>24</v>
      </c>
      <c r="D961" s="3" t="n">
        <v>1</v>
      </c>
      <c r="E961" s="6" t="n">
        <v>39.99</v>
      </c>
      <c r="F961" s="6" t="n">
        <v>49</v>
      </c>
      <c r="G961" s="7" t="n">
        <f aca="false">F961-E961</f>
        <v>9.01</v>
      </c>
      <c r="H961" s="8" t="n">
        <f aca="false">IF(E961=0,0,F961/E961-1)</f>
        <v>0.225306326581645</v>
      </c>
      <c r="I961" s="3" t="s">
        <v>1091</v>
      </c>
    </row>
    <row r="962" customFormat="false" ht="15" hidden="false" customHeight="false" outlineLevel="0" collapsed="false">
      <c r="A962" s="3" t="s">
        <v>1092</v>
      </c>
      <c r="B962" s="3" t="s">
        <v>23</v>
      </c>
      <c r="C962" s="3" t="s">
        <v>24</v>
      </c>
      <c r="D962" s="3" t="n">
        <v>1</v>
      </c>
      <c r="E962" s="6" t="n">
        <v>75</v>
      </c>
      <c r="F962" s="6" t="n">
        <v>91.5</v>
      </c>
      <c r="G962" s="7" t="n">
        <f aca="false">F962-E962</f>
        <v>16.5</v>
      </c>
      <c r="H962" s="8" t="n">
        <f aca="false">IF(E962=0,0,F962/E962-1)</f>
        <v>0.22</v>
      </c>
      <c r="I962" s="3" t="s">
        <v>1093</v>
      </c>
    </row>
    <row r="963" customFormat="false" ht="15" hidden="false" customHeight="false" outlineLevel="0" collapsed="false">
      <c r="A963" s="3" t="s">
        <v>1094</v>
      </c>
      <c r="B963" s="3" t="s">
        <v>23</v>
      </c>
      <c r="C963" s="3" t="s">
        <v>24</v>
      </c>
      <c r="D963" s="3" t="n">
        <v>1</v>
      </c>
      <c r="E963" s="6" t="n">
        <v>89.99</v>
      </c>
      <c r="F963" s="6" t="n">
        <v>110</v>
      </c>
      <c r="G963" s="7" t="n">
        <f aca="false">F963-E963</f>
        <v>20.01</v>
      </c>
      <c r="H963" s="8" t="n">
        <f aca="false">IF(E963=0,0,F963/E963-1)</f>
        <v>0.222358039782198</v>
      </c>
      <c r="I963" s="3" t="s">
        <v>27</v>
      </c>
    </row>
    <row r="964" customFormat="false" ht="15" hidden="false" customHeight="false" outlineLevel="0" collapsed="false">
      <c r="A964" s="3" t="s">
        <v>1095</v>
      </c>
      <c r="B964" s="3" t="s">
        <v>23</v>
      </c>
      <c r="C964" s="3" t="s">
        <v>24</v>
      </c>
      <c r="D964" s="3" t="n">
        <v>1</v>
      </c>
      <c r="E964" s="6" t="n">
        <v>174.33</v>
      </c>
      <c r="F964" s="6" t="n">
        <v>213</v>
      </c>
      <c r="G964" s="7" t="n">
        <f aca="false">F964-E964</f>
        <v>38.67</v>
      </c>
      <c r="H964" s="8" t="n">
        <f aca="false">IF(E964=0,0,F964/E964-1)</f>
        <v>0.221820684907933</v>
      </c>
      <c r="I964" s="3" t="s">
        <v>27</v>
      </c>
    </row>
    <row r="965" customFormat="false" ht="15" hidden="false" customHeight="false" outlineLevel="0" collapsed="false">
      <c r="A965" s="3" t="s">
        <v>1096</v>
      </c>
      <c r="B965" s="3" t="s">
        <v>23</v>
      </c>
      <c r="C965" s="3" t="s">
        <v>24</v>
      </c>
      <c r="D965" s="3" t="n">
        <v>1</v>
      </c>
      <c r="E965" s="6" t="n">
        <v>150</v>
      </c>
      <c r="F965" s="6" t="n">
        <v>183</v>
      </c>
      <c r="G965" s="7" t="n">
        <f aca="false">F965-E965</f>
        <v>33</v>
      </c>
      <c r="H965" s="8" t="n">
        <f aca="false">IF(E965=0,0,F965/E965-1)</f>
        <v>0.22</v>
      </c>
      <c r="I965" s="3" t="s">
        <v>89</v>
      </c>
    </row>
    <row r="966" customFormat="false" ht="15" hidden="false" customHeight="false" outlineLevel="0" collapsed="false">
      <c r="A966" s="3" t="s">
        <v>1097</v>
      </c>
      <c r="B966" s="3" t="s">
        <v>23</v>
      </c>
      <c r="C966" s="3" t="s">
        <v>24</v>
      </c>
      <c r="D966" s="3" t="n">
        <v>1</v>
      </c>
      <c r="E966" s="6" t="n">
        <v>19.99</v>
      </c>
      <c r="F966" s="6" t="n">
        <v>24.5</v>
      </c>
      <c r="G966" s="7" t="n">
        <f aca="false">F966-E966</f>
        <v>4.51</v>
      </c>
      <c r="H966" s="8" t="n">
        <f aca="false">IF(E966=0,0,F966/E966-1)</f>
        <v>0.225612806403202</v>
      </c>
      <c r="I966" s="3" t="s">
        <v>27</v>
      </c>
    </row>
    <row r="967" customFormat="false" ht="15" hidden="false" customHeight="false" outlineLevel="0" collapsed="false">
      <c r="A967" s="3" t="s">
        <v>1098</v>
      </c>
      <c r="B967" s="3" t="s">
        <v>23</v>
      </c>
      <c r="C967" s="3" t="s">
        <v>24</v>
      </c>
      <c r="D967" s="3" t="n">
        <v>1</v>
      </c>
      <c r="E967" s="6" t="n">
        <v>99.99</v>
      </c>
      <c r="F967" s="6" t="n">
        <v>122</v>
      </c>
      <c r="G967" s="7" t="n">
        <f aca="false">F967-E967</f>
        <v>22.01</v>
      </c>
      <c r="H967" s="8" t="n">
        <f aca="false">IF(E967=0,0,F967/E967-1)</f>
        <v>0.22012201220122</v>
      </c>
      <c r="I967" s="3" t="s">
        <v>27</v>
      </c>
    </row>
    <row r="968" customFormat="false" ht="15" hidden="false" customHeight="false" outlineLevel="0" collapsed="false">
      <c r="A968" s="3" t="s">
        <v>1099</v>
      </c>
      <c r="B968" s="3" t="s">
        <v>23</v>
      </c>
      <c r="C968" s="3" t="s">
        <v>24</v>
      </c>
      <c r="D968" s="3" t="n">
        <v>1</v>
      </c>
      <c r="E968" s="6" t="n">
        <v>325.38</v>
      </c>
      <c r="F968" s="6" t="n">
        <v>397</v>
      </c>
      <c r="G968" s="7" t="n">
        <f aca="false">F968-E968</f>
        <v>71.62</v>
      </c>
      <c r="H968" s="8" t="n">
        <f aca="false">IF(E968=0,0,F968/E968-1)</f>
        <v>0.22011186919909</v>
      </c>
      <c r="I968" s="3" t="s">
        <v>134</v>
      </c>
    </row>
    <row r="969" customFormat="false" ht="15" hidden="false" customHeight="false" outlineLevel="0" collapsed="false">
      <c r="A969" s="3" t="s">
        <v>1100</v>
      </c>
      <c r="B969" s="3" t="s">
        <v>23</v>
      </c>
      <c r="C969" s="3" t="s">
        <v>24</v>
      </c>
      <c r="D969" s="3" t="n">
        <v>1</v>
      </c>
      <c r="E969" s="6" t="n">
        <v>110</v>
      </c>
      <c r="F969" s="6" t="n">
        <v>135</v>
      </c>
      <c r="G969" s="7" t="n">
        <f aca="false">F969-E969</f>
        <v>25</v>
      </c>
      <c r="H969" s="8" t="n">
        <f aca="false">IF(E969=0,0,F969/E969-1)</f>
        <v>0.227272727272727</v>
      </c>
      <c r="I969" s="3" t="s">
        <v>27</v>
      </c>
    </row>
    <row r="970" customFormat="false" ht="15" hidden="false" customHeight="false" outlineLevel="0" collapsed="false">
      <c r="A970" s="3" t="s">
        <v>1101</v>
      </c>
      <c r="B970" s="3" t="s">
        <v>23</v>
      </c>
      <c r="C970" s="3" t="s">
        <v>24</v>
      </c>
      <c r="D970" s="3" t="n">
        <v>1</v>
      </c>
      <c r="E970" s="6" t="n">
        <v>110</v>
      </c>
      <c r="F970" s="6" t="n">
        <v>135</v>
      </c>
      <c r="G970" s="7" t="n">
        <f aca="false">F970-E970</f>
        <v>25</v>
      </c>
      <c r="H970" s="8" t="n">
        <f aca="false">IF(E970=0,0,F970/E970-1)</f>
        <v>0.227272727272727</v>
      </c>
      <c r="I970" s="3" t="s">
        <v>27</v>
      </c>
    </row>
    <row r="971" customFormat="false" ht="15" hidden="false" customHeight="false" outlineLevel="0" collapsed="false">
      <c r="A971" s="3" t="s">
        <v>1102</v>
      </c>
      <c r="B971" s="3" t="s">
        <v>23</v>
      </c>
      <c r="C971" s="3" t="s">
        <v>24</v>
      </c>
      <c r="D971" s="3" t="n">
        <v>1</v>
      </c>
      <c r="E971" s="6" t="n">
        <v>11</v>
      </c>
      <c r="F971" s="6" t="n">
        <v>13.5</v>
      </c>
      <c r="G971" s="7" t="n">
        <f aca="false">F971-E971</f>
        <v>2.5</v>
      </c>
      <c r="H971" s="8" t="n">
        <f aca="false">IF(E971=0,0,F971/E971-1)</f>
        <v>0.227272727272727</v>
      </c>
      <c r="I971" s="3" t="s">
        <v>27</v>
      </c>
    </row>
    <row r="972" customFormat="false" ht="15" hidden="false" customHeight="false" outlineLevel="0" collapsed="false">
      <c r="A972" s="3" t="s">
        <v>1103</v>
      </c>
      <c r="B972" s="3" t="s">
        <v>23</v>
      </c>
      <c r="C972" s="3" t="s">
        <v>179</v>
      </c>
      <c r="D972" s="3" t="s">
        <v>112</v>
      </c>
      <c r="E972" s="6" t="n">
        <v>349.99</v>
      </c>
      <c r="F972" s="6" t="n">
        <v>359</v>
      </c>
      <c r="G972" s="7" t="n">
        <f aca="false">F972-E972</f>
        <v>9.00999999999999</v>
      </c>
      <c r="H972" s="8" t="n">
        <f aca="false">IF(E972=0,0,F972/E972-1)</f>
        <v>0.0257435926740763</v>
      </c>
      <c r="I972" s="3" t="s">
        <v>215</v>
      </c>
    </row>
    <row r="973" customFormat="false" ht="15" hidden="false" customHeight="false" outlineLevel="0" collapsed="false">
      <c r="A973" s="3" t="s">
        <v>1104</v>
      </c>
      <c r="B973" s="3" t="s">
        <v>23</v>
      </c>
      <c r="C973" s="3" t="s">
        <v>24</v>
      </c>
      <c r="D973" s="3" t="n">
        <v>1</v>
      </c>
      <c r="E973" s="6" t="n">
        <v>219.99</v>
      </c>
      <c r="F973" s="6" t="n">
        <v>269</v>
      </c>
      <c r="G973" s="7" t="n">
        <f aca="false">F973-E973</f>
        <v>49.01</v>
      </c>
      <c r="H973" s="8" t="n">
        <f aca="false">IF(E973=0,0,F973/E973-1)</f>
        <v>0.22278285376608</v>
      </c>
      <c r="I973" s="3" t="s">
        <v>27</v>
      </c>
    </row>
    <row r="974" customFormat="false" ht="15" hidden="false" customHeight="false" outlineLevel="0" collapsed="false">
      <c r="A974" s="3" t="s">
        <v>1105</v>
      </c>
      <c r="B974" s="3" t="s">
        <v>23</v>
      </c>
      <c r="C974" s="3" t="s">
        <v>24</v>
      </c>
      <c r="D974" s="3" t="n">
        <v>1</v>
      </c>
      <c r="E974" s="6" t="n">
        <v>149.99</v>
      </c>
      <c r="F974" s="6" t="n">
        <v>183</v>
      </c>
      <c r="G974" s="7" t="n">
        <f aca="false">F974-E974</f>
        <v>33.01</v>
      </c>
      <c r="H974" s="8" t="n">
        <f aca="false">IF(E974=0,0,F974/E974-1)</f>
        <v>0.220081338755917</v>
      </c>
      <c r="I974" s="3" t="s">
        <v>27</v>
      </c>
    </row>
    <row r="975" customFormat="false" ht="15" hidden="false" customHeight="false" outlineLevel="0" collapsed="false">
      <c r="A975" s="3" t="s">
        <v>1106</v>
      </c>
      <c r="B975" s="3" t="s">
        <v>23</v>
      </c>
      <c r="C975" s="3" t="s">
        <v>24</v>
      </c>
      <c r="D975" s="3" t="n">
        <v>1</v>
      </c>
      <c r="E975" s="6" t="n">
        <v>249.99</v>
      </c>
      <c r="F975" s="6" t="n">
        <v>305</v>
      </c>
      <c r="G975" s="7" t="n">
        <f aca="false">F975-E975</f>
        <v>55.01</v>
      </c>
      <c r="H975" s="8" t="n">
        <f aca="false">IF(E975=0,0,F975/E975-1)</f>
        <v>0.220048801952078</v>
      </c>
      <c r="I975" s="3" t="s">
        <v>27</v>
      </c>
    </row>
    <row r="976" customFormat="false" ht="15" hidden="false" customHeight="false" outlineLevel="0" collapsed="false">
      <c r="A976" s="3" t="s">
        <v>1107</v>
      </c>
      <c r="B976" s="3" t="s">
        <v>23</v>
      </c>
      <c r="C976" s="3" t="s">
        <v>24</v>
      </c>
      <c r="D976" s="3" t="n">
        <v>1</v>
      </c>
      <c r="E976" s="6" t="n">
        <v>74.99</v>
      </c>
      <c r="F976" s="6" t="n">
        <v>91.5</v>
      </c>
      <c r="G976" s="7" t="n">
        <f aca="false">F976-E976</f>
        <v>16.51</v>
      </c>
      <c r="H976" s="8" t="n">
        <f aca="false">IF(E976=0,0,F976/E976-1)</f>
        <v>0.220162688358448</v>
      </c>
      <c r="I976" s="3" t="s">
        <v>27</v>
      </c>
    </row>
    <row r="977" customFormat="false" ht="15" hidden="false" customHeight="false" outlineLevel="0" collapsed="false">
      <c r="A977" s="3" t="s">
        <v>1108</v>
      </c>
      <c r="B977" s="3" t="s">
        <v>23</v>
      </c>
      <c r="C977" s="3" t="s">
        <v>24</v>
      </c>
      <c r="D977" s="3" t="n">
        <v>1</v>
      </c>
      <c r="E977" s="6" t="n">
        <v>110</v>
      </c>
      <c r="F977" s="6" t="n">
        <v>135</v>
      </c>
      <c r="G977" s="7" t="n">
        <f aca="false">F977-E977</f>
        <v>25</v>
      </c>
      <c r="H977" s="8" t="n">
        <f aca="false">IF(E977=0,0,F977/E977-1)</f>
        <v>0.227272727272727</v>
      </c>
      <c r="I977" s="3" t="s">
        <v>27</v>
      </c>
    </row>
    <row r="978" customFormat="false" ht="15" hidden="false" customHeight="false" outlineLevel="0" collapsed="false">
      <c r="A978" s="3" t="s">
        <v>1109</v>
      </c>
      <c r="B978" s="3" t="s">
        <v>23</v>
      </c>
      <c r="C978" s="3" t="s">
        <v>24</v>
      </c>
      <c r="D978" s="3" t="n">
        <v>1</v>
      </c>
      <c r="E978" s="6" t="n">
        <v>85.41</v>
      </c>
      <c r="F978" s="6" t="n">
        <v>105</v>
      </c>
      <c r="G978" s="7" t="n">
        <f aca="false">F978-E978</f>
        <v>19.59</v>
      </c>
      <c r="H978" s="8" t="n">
        <f aca="false">IF(E978=0,0,F978/E978-1)</f>
        <v>0.229364243062873</v>
      </c>
      <c r="I978" s="3" t="s">
        <v>333</v>
      </c>
    </row>
    <row r="979" customFormat="false" ht="15" hidden="false" customHeight="false" outlineLevel="0" collapsed="false">
      <c r="A979" s="3" t="s">
        <v>1110</v>
      </c>
      <c r="B979" s="3" t="s">
        <v>23</v>
      </c>
      <c r="C979" s="3" t="s">
        <v>24</v>
      </c>
      <c r="D979" s="3" t="n">
        <v>1</v>
      </c>
      <c r="E979" s="6" t="n">
        <v>85.41</v>
      </c>
      <c r="F979" s="6" t="n">
        <v>105</v>
      </c>
      <c r="G979" s="7" t="n">
        <f aca="false">F979-E979</f>
        <v>19.59</v>
      </c>
      <c r="H979" s="8" t="n">
        <f aca="false">IF(E979=0,0,F979/E979-1)</f>
        <v>0.229364243062873</v>
      </c>
      <c r="I979" s="3" t="s">
        <v>333</v>
      </c>
    </row>
    <row r="980" customFormat="false" ht="15" hidden="false" customHeight="false" outlineLevel="0" collapsed="false">
      <c r="A980" s="3" t="s">
        <v>1111</v>
      </c>
      <c r="B980" s="3" t="s">
        <v>23</v>
      </c>
      <c r="C980" s="3" t="s">
        <v>24</v>
      </c>
      <c r="D980" s="3" t="n">
        <v>1</v>
      </c>
      <c r="E980" s="6" t="n">
        <v>349.99</v>
      </c>
      <c r="F980" s="6" t="n">
        <v>427</v>
      </c>
      <c r="G980" s="7" t="n">
        <f aca="false">F980-E980</f>
        <v>77.01</v>
      </c>
      <c r="H980" s="8" t="n">
        <f aca="false">IF(E980=0,0,F980/E980-1)</f>
        <v>0.220034858138804</v>
      </c>
      <c r="I980" s="3" t="s">
        <v>27</v>
      </c>
    </row>
    <row r="981" customFormat="false" ht="15" hidden="false" customHeight="false" outlineLevel="0" collapsed="false">
      <c r="A981" s="3" t="s">
        <v>1112</v>
      </c>
      <c r="B981" s="3" t="s">
        <v>23</v>
      </c>
      <c r="C981" s="3" t="s">
        <v>24</v>
      </c>
      <c r="D981" s="3" t="n">
        <v>1</v>
      </c>
      <c r="E981" s="6" t="n">
        <v>99.99</v>
      </c>
      <c r="F981" s="6" t="n">
        <v>122</v>
      </c>
      <c r="G981" s="7" t="n">
        <f aca="false">F981-E981</f>
        <v>22.01</v>
      </c>
      <c r="H981" s="8" t="n">
        <f aca="false">IF(E981=0,0,F981/E981-1)</f>
        <v>0.22012201220122</v>
      </c>
      <c r="I981" s="3" t="s">
        <v>27</v>
      </c>
    </row>
    <row r="982" customFormat="false" ht="15" hidden="false" customHeight="false" outlineLevel="0" collapsed="false">
      <c r="A982" s="3" t="s">
        <v>1113</v>
      </c>
      <c r="B982" s="3" t="s">
        <v>23</v>
      </c>
      <c r="C982" s="3" t="s">
        <v>24</v>
      </c>
      <c r="D982" s="3" t="n">
        <v>5</v>
      </c>
      <c r="E982" s="6" t="n">
        <v>1100</v>
      </c>
      <c r="F982" s="6" t="n">
        <v>1125</v>
      </c>
      <c r="G982" s="7" t="n">
        <f aca="false">F982-E982</f>
        <v>25</v>
      </c>
      <c r="H982" s="8" t="n">
        <f aca="false">IF(E982=0,0,F982/E982-1)</f>
        <v>0.0227272727272727</v>
      </c>
      <c r="I982" s="3" t="s">
        <v>368</v>
      </c>
    </row>
    <row r="983" customFormat="false" ht="15" hidden="false" customHeight="false" outlineLevel="0" collapsed="false">
      <c r="A983" s="3" t="s">
        <v>1114</v>
      </c>
      <c r="B983" s="3" t="s">
        <v>23</v>
      </c>
      <c r="C983" s="3" t="s">
        <v>24</v>
      </c>
      <c r="D983" s="3" t="n">
        <v>1</v>
      </c>
      <c r="E983" s="6" t="n">
        <v>95</v>
      </c>
      <c r="F983" s="6" t="n">
        <v>116</v>
      </c>
      <c r="G983" s="7" t="n">
        <f aca="false">F983-E983</f>
        <v>21</v>
      </c>
      <c r="H983" s="8" t="n">
        <f aca="false">IF(E983=0,0,F983/E983-1)</f>
        <v>0.221052631578947</v>
      </c>
      <c r="I983" s="3" t="s">
        <v>27</v>
      </c>
    </row>
    <row r="984" customFormat="false" ht="15" hidden="false" customHeight="false" outlineLevel="0" collapsed="false">
      <c r="A984" s="3" t="s">
        <v>1115</v>
      </c>
      <c r="B984" s="3" t="s">
        <v>23</v>
      </c>
      <c r="C984" s="3" t="s">
        <v>24</v>
      </c>
      <c r="D984" s="3" t="n">
        <v>1</v>
      </c>
      <c r="E984" s="6" t="n">
        <v>499.99</v>
      </c>
      <c r="F984" s="6" t="n">
        <v>610</v>
      </c>
      <c r="G984" s="7" t="n">
        <f aca="false">F984-E984</f>
        <v>110.01</v>
      </c>
      <c r="H984" s="8" t="n">
        <f aca="false">IF(E984=0,0,F984/E984-1)</f>
        <v>0.22002440048801</v>
      </c>
      <c r="I984" s="3" t="s">
        <v>27</v>
      </c>
    </row>
    <row r="985" customFormat="false" ht="15" hidden="false" customHeight="false" outlineLevel="0" collapsed="false">
      <c r="A985" s="3" t="s">
        <v>1116</v>
      </c>
      <c r="B985" s="3" t="s">
        <v>23</v>
      </c>
      <c r="C985" s="3" t="s">
        <v>24</v>
      </c>
      <c r="D985" s="3" t="n">
        <v>1</v>
      </c>
      <c r="E985" s="6" t="n">
        <v>34.99</v>
      </c>
      <c r="F985" s="6" t="n">
        <v>43</v>
      </c>
      <c r="G985" s="7" t="n">
        <f aca="false">F985-E985</f>
        <v>8.01</v>
      </c>
      <c r="H985" s="8" t="n">
        <f aca="false">IF(E985=0,0,F985/E985-1)</f>
        <v>0.2289225492998</v>
      </c>
      <c r="I985" s="3" t="s">
        <v>27</v>
      </c>
    </row>
    <row r="986" customFormat="false" ht="15" hidden="false" customHeight="false" outlineLevel="0" collapsed="false">
      <c r="A986" s="3" t="s">
        <v>1117</v>
      </c>
      <c r="B986" s="3" t="s">
        <v>23</v>
      </c>
      <c r="C986" s="3" t="s">
        <v>24</v>
      </c>
      <c r="D986" s="3" t="n">
        <v>1</v>
      </c>
      <c r="E986" s="6" t="n">
        <v>84.99</v>
      </c>
      <c r="F986" s="6" t="n">
        <v>104</v>
      </c>
      <c r="G986" s="7" t="n">
        <f aca="false">F986-E986</f>
        <v>19.01</v>
      </c>
      <c r="H986" s="8" t="n">
        <f aca="false">IF(E986=0,0,F986/E986-1)</f>
        <v>0.22367337333804</v>
      </c>
      <c r="I986" s="3" t="s">
        <v>27</v>
      </c>
    </row>
    <row r="987" customFormat="false" ht="15" hidden="false" customHeight="false" outlineLevel="0" collapsed="false">
      <c r="A987" s="3" t="s">
        <v>1118</v>
      </c>
      <c r="B987" s="3" t="s">
        <v>23</v>
      </c>
      <c r="C987" s="3" t="s">
        <v>24</v>
      </c>
      <c r="D987" s="3" t="n">
        <v>1</v>
      </c>
      <c r="E987" s="6" t="n">
        <v>800</v>
      </c>
      <c r="F987" s="6" t="n">
        <v>976</v>
      </c>
      <c r="G987" s="7" t="n">
        <f aca="false">F987-E987</f>
        <v>176</v>
      </c>
      <c r="H987" s="8" t="n">
        <f aca="false">IF(E987=0,0,F987/E987-1)</f>
        <v>0.22</v>
      </c>
      <c r="I987" s="3" t="s">
        <v>27</v>
      </c>
    </row>
    <row r="988" customFormat="false" ht="15" hidden="false" customHeight="false" outlineLevel="0" collapsed="false">
      <c r="A988" s="3" t="s">
        <v>1119</v>
      </c>
      <c r="B988" s="3" t="s">
        <v>23</v>
      </c>
      <c r="C988" s="3" t="s">
        <v>24</v>
      </c>
      <c r="D988" s="3" t="n">
        <v>1</v>
      </c>
      <c r="E988" s="6" t="n">
        <v>74.99</v>
      </c>
      <c r="F988" s="6" t="n">
        <v>91.5</v>
      </c>
      <c r="G988" s="7" t="n">
        <f aca="false">F988-E988</f>
        <v>16.51</v>
      </c>
      <c r="H988" s="8" t="n">
        <f aca="false">IF(E988=0,0,F988/E988-1)</f>
        <v>0.220162688358448</v>
      </c>
      <c r="I988" s="3" t="s">
        <v>27</v>
      </c>
    </row>
    <row r="989" customFormat="false" ht="15" hidden="false" customHeight="false" outlineLevel="0" collapsed="false">
      <c r="A989" s="3" t="s">
        <v>1120</v>
      </c>
      <c r="B989" s="3" t="s">
        <v>23</v>
      </c>
      <c r="C989" s="3" t="s">
        <v>24</v>
      </c>
      <c r="D989" s="3" t="n">
        <v>2</v>
      </c>
      <c r="E989" s="6" t="n">
        <v>3900</v>
      </c>
      <c r="F989" s="6" t="n">
        <v>4605</v>
      </c>
      <c r="G989" s="7" t="n">
        <f aca="false">F989-E989</f>
        <v>705</v>
      </c>
      <c r="H989" s="8" t="n">
        <f aca="false">IF(E989=0,0,F989/E989-1)</f>
        <v>0.180769230769231</v>
      </c>
      <c r="I989" s="3" t="s">
        <v>1121</v>
      </c>
    </row>
    <row r="990" customFormat="false" ht="15" hidden="false" customHeight="false" outlineLevel="0" collapsed="false">
      <c r="A990" s="3" t="s">
        <v>1122</v>
      </c>
      <c r="B990" s="3" t="s">
        <v>23</v>
      </c>
      <c r="C990" s="3" t="s">
        <v>24</v>
      </c>
      <c r="D990" s="3" t="n">
        <v>1</v>
      </c>
      <c r="E990" s="6" t="n">
        <v>19.99</v>
      </c>
      <c r="F990" s="6" t="n">
        <v>24.5</v>
      </c>
      <c r="G990" s="7" t="n">
        <f aca="false">F990-E990</f>
        <v>4.51</v>
      </c>
      <c r="H990" s="8" t="n">
        <f aca="false">IF(E990=0,0,F990/E990-1)</f>
        <v>0.225612806403202</v>
      </c>
      <c r="I990" s="3" t="s">
        <v>27</v>
      </c>
    </row>
    <row r="991" customFormat="false" ht="15" hidden="false" customHeight="false" outlineLevel="0" collapsed="false">
      <c r="A991" s="3" t="s">
        <v>1123</v>
      </c>
      <c r="B991" s="3" t="s">
        <v>23</v>
      </c>
      <c r="C991" s="3" t="s">
        <v>179</v>
      </c>
      <c r="D991" s="3" t="n">
        <v>1</v>
      </c>
      <c r="E991" s="6" t="n">
        <v>740</v>
      </c>
      <c r="F991" s="6" t="n">
        <v>903</v>
      </c>
      <c r="G991" s="7" t="n">
        <f aca="false">F991-E991</f>
        <v>163</v>
      </c>
      <c r="H991" s="8" t="n">
        <f aca="false">IF(E991=0,0,F991/E991-1)</f>
        <v>0.22027027027027</v>
      </c>
      <c r="I991" s="3" t="s">
        <v>1124</v>
      </c>
    </row>
    <row r="992" customFormat="false" ht="15" hidden="false" customHeight="false" outlineLevel="0" collapsed="false">
      <c r="A992" s="3" t="s">
        <v>1125</v>
      </c>
      <c r="B992" s="3" t="s">
        <v>23</v>
      </c>
      <c r="C992" s="3" t="s">
        <v>179</v>
      </c>
      <c r="D992" s="3" t="n">
        <v>1</v>
      </c>
      <c r="E992" s="6" t="n">
        <v>1270</v>
      </c>
      <c r="F992" s="6" t="n">
        <v>1550</v>
      </c>
      <c r="G992" s="7" t="n">
        <f aca="false">F992-E992</f>
        <v>280</v>
      </c>
      <c r="H992" s="8" t="n">
        <f aca="false">IF(E992=0,0,F992/E992-1)</f>
        <v>0.220472440944882</v>
      </c>
      <c r="I992" s="3" t="s">
        <v>1126</v>
      </c>
    </row>
    <row r="993" customFormat="false" ht="15" hidden="false" customHeight="false" outlineLevel="0" collapsed="false">
      <c r="A993" s="3" t="s">
        <v>1127</v>
      </c>
      <c r="B993" s="3" t="s">
        <v>23</v>
      </c>
      <c r="C993" s="3" t="s">
        <v>179</v>
      </c>
      <c r="D993" s="3" t="n">
        <v>1</v>
      </c>
      <c r="E993" s="6" t="n">
        <v>975</v>
      </c>
      <c r="F993" s="6" t="n">
        <v>1190</v>
      </c>
      <c r="G993" s="7" t="n">
        <f aca="false">F993-E993</f>
        <v>215</v>
      </c>
      <c r="H993" s="8" t="n">
        <f aca="false">IF(E993=0,0,F993/E993-1)</f>
        <v>0.220512820512821</v>
      </c>
      <c r="I993" s="3" t="s">
        <v>1128</v>
      </c>
    </row>
    <row r="994" customFormat="false" ht="15" hidden="false" customHeight="false" outlineLevel="0" collapsed="false">
      <c r="A994" s="3" t="s">
        <v>1129</v>
      </c>
      <c r="B994" s="3" t="s">
        <v>23</v>
      </c>
      <c r="C994" s="3" t="s">
        <v>24</v>
      </c>
      <c r="D994" s="3" t="n">
        <v>1</v>
      </c>
      <c r="E994" s="6" t="n">
        <v>449.99</v>
      </c>
      <c r="F994" s="6" t="n">
        <v>549</v>
      </c>
      <c r="G994" s="7" t="n">
        <f aca="false">F994-E994</f>
        <v>99.01</v>
      </c>
      <c r="H994" s="8" t="n">
        <f aca="false">IF(E994=0,0,F994/E994-1)</f>
        <v>0.220027111713594</v>
      </c>
      <c r="I994" s="3" t="s">
        <v>27</v>
      </c>
    </row>
    <row r="995" customFormat="false" ht="15" hidden="false" customHeight="false" outlineLevel="0" collapsed="false">
      <c r="A995" s="3" t="s">
        <v>1130</v>
      </c>
      <c r="B995" s="3" t="s">
        <v>23</v>
      </c>
      <c r="C995" s="3" t="s">
        <v>24</v>
      </c>
      <c r="D995" s="3" t="n">
        <v>1</v>
      </c>
      <c r="E995" s="6" t="n">
        <v>299.99</v>
      </c>
      <c r="F995" s="6" t="n">
        <v>366</v>
      </c>
      <c r="G995" s="7" t="n">
        <f aca="false">F995-E995</f>
        <v>66.01</v>
      </c>
      <c r="H995" s="8" t="n">
        <f aca="false">IF(E995=0,0,F995/E995-1)</f>
        <v>0.220040668022267</v>
      </c>
      <c r="I995" s="3" t="s">
        <v>27</v>
      </c>
    </row>
    <row r="996" customFormat="false" ht="15" hidden="false" customHeight="false" outlineLevel="0" collapsed="false">
      <c r="A996" s="3" t="s">
        <v>1131</v>
      </c>
      <c r="B996" s="3" t="s">
        <v>23</v>
      </c>
      <c r="C996" s="3" t="s">
        <v>24</v>
      </c>
      <c r="D996" s="3" t="n">
        <v>2</v>
      </c>
      <c r="E996" s="6" t="n">
        <v>3000</v>
      </c>
      <c r="F996" s="6" t="n">
        <v>3540</v>
      </c>
      <c r="G996" s="7" t="n">
        <f aca="false">F996-E996</f>
        <v>540</v>
      </c>
      <c r="H996" s="8" t="n">
        <f aca="false">IF(E996=0,0,F996/E996-1)</f>
        <v>0.18</v>
      </c>
      <c r="I996" s="3" t="s">
        <v>305</v>
      </c>
    </row>
    <row r="997" customFormat="false" ht="15" hidden="false" customHeight="false" outlineLevel="0" collapsed="false">
      <c r="A997" s="3" t="s">
        <v>1132</v>
      </c>
      <c r="B997" s="3" t="s">
        <v>23</v>
      </c>
      <c r="C997" s="3" t="s">
        <v>24</v>
      </c>
      <c r="D997" s="3" t="n">
        <v>1</v>
      </c>
      <c r="E997" s="6" t="n">
        <v>110</v>
      </c>
      <c r="F997" s="6" t="n">
        <v>135</v>
      </c>
      <c r="G997" s="7" t="n">
        <f aca="false">F997-E997</f>
        <v>25</v>
      </c>
      <c r="H997" s="8" t="n">
        <f aca="false">IF(E997=0,0,F997/E997-1)</f>
        <v>0.227272727272727</v>
      </c>
      <c r="I997" s="3" t="s">
        <v>27</v>
      </c>
    </row>
    <row r="998" customFormat="false" ht="15" hidden="false" customHeight="false" outlineLevel="0" collapsed="false">
      <c r="A998" s="3" t="s">
        <v>1133</v>
      </c>
      <c r="B998" s="3" t="s">
        <v>23</v>
      </c>
      <c r="C998" s="3" t="s">
        <v>24</v>
      </c>
      <c r="D998" s="3" t="n">
        <v>2</v>
      </c>
      <c r="E998" s="6" t="n">
        <v>3000</v>
      </c>
      <c r="F998" s="6" t="n">
        <v>3540</v>
      </c>
      <c r="G998" s="7" t="n">
        <f aca="false">F998-E998</f>
        <v>540</v>
      </c>
      <c r="H998" s="8" t="n">
        <f aca="false">IF(E998=0,0,F998/E998-1)</f>
        <v>0.18</v>
      </c>
      <c r="I998" s="3" t="s">
        <v>305</v>
      </c>
    </row>
    <row r="999" customFormat="false" ht="15" hidden="false" customHeight="false" outlineLevel="0" collapsed="false">
      <c r="A999" s="3" t="s">
        <v>1134</v>
      </c>
      <c r="B999" s="3" t="s">
        <v>23</v>
      </c>
      <c r="C999" s="3" t="s">
        <v>24</v>
      </c>
      <c r="D999" s="3" t="n">
        <v>1</v>
      </c>
      <c r="E999" s="6" t="n">
        <v>219.99</v>
      </c>
      <c r="F999" s="6" t="n">
        <v>269</v>
      </c>
      <c r="G999" s="7" t="n">
        <f aca="false">F999-E999</f>
        <v>49.01</v>
      </c>
      <c r="H999" s="8" t="n">
        <f aca="false">IF(E999=0,0,F999/E999-1)</f>
        <v>0.22278285376608</v>
      </c>
      <c r="I999" s="3" t="s">
        <v>27</v>
      </c>
    </row>
    <row r="1000" customFormat="false" ht="15" hidden="false" customHeight="false" outlineLevel="0" collapsed="false">
      <c r="A1000" s="3" t="s">
        <v>1135</v>
      </c>
      <c r="B1000" s="3" t="s">
        <v>23</v>
      </c>
      <c r="C1000" s="3" t="s">
        <v>24</v>
      </c>
      <c r="D1000" s="3" t="n">
        <v>1</v>
      </c>
      <c r="E1000" s="6" t="n">
        <v>79.99</v>
      </c>
      <c r="F1000" s="6" t="n">
        <v>98</v>
      </c>
      <c r="G1000" s="7" t="n">
        <f aca="false">F1000-E1000</f>
        <v>18.01</v>
      </c>
      <c r="H1000" s="8" t="n">
        <f aca="false">IF(E1000=0,0,F1000/E1000-1)</f>
        <v>0.225153144143018</v>
      </c>
      <c r="I1000" s="3" t="s">
        <v>27</v>
      </c>
    </row>
    <row r="1001" customFormat="false" ht="15" hidden="false" customHeight="false" outlineLevel="0" collapsed="false">
      <c r="A1001" s="3" t="s">
        <v>1136</v>
      </c>
      <c r="B1001" s="3" t="s">
        <v>23</v>
      </c>
      <c r="C1001" s="3" t="s">
        <v>24</v>
      </c>
      <c r="D1001" s="3" t="n">
        <v>1</v>
      </c>
      <c r="E1001" s="6" t="n">
        <v>24.99</v>
      </c>
      <c r="F1001" s="6" t="n">
        <v>30.5</v>
      </c>
      <c r="G1001" s="7" t="n">
        <f aca="false">F1001-E1001</f>
        <v>5.51</v>
      </c>
      <c r="H1001" s="8" t="n">
        <f aca="false">IF(E1001=0,0,F1001/E1001-1)</f>
        <v>0.220488195278111</v>
      </c>
      <c r="I1001" s="3" t="s">
        <v>27</v>
      </c>
    </row>
    <row r="1002" customFormat="false" ht="15" hidden="false" customHeight="false" outlineLevel="0" collapsed="false">
      <c r="A1002" s="3" t="s">
        <v>1137</v>
      </c>
      <c r="B1002" s="3" t="s">
        <v>23</v>
      </c>
      <c r="C1002" s="3" t="s">
        <v>24</v>
      </c>
      <c r="D1002" s="3" t="n">
        <v>1</v>
      </c>
      <c r="E1002" s="6" t="n">
        <v>249.99</v>
      </c>
      <c r="F1002" s="6" t="n">
        <v>305</v>
      </c>
      <c r="G1002" s="7" t="n">
        <f aca="false">F1002-E1002</f>
        <v>55.01</v>
      </c>
      <c r="H1002" s="8" t="n">
        <f aca="false">IF(E1002=0,0,F1002/E1002-1)</f>
        <v>0.220048801952078</v>
      </c>
      <c r="I1002" s="3" t="s">
        <v>27</v>
      </c>
    </row>
    <row r="1003" customFormat="false" ht="15" hidden="false" customHeight="false" outlineLevel="0" collapsed="false">
      <c r="A1003" s="3" t="s">
        <v>1138</v>
      </c>
      <c r="B1003" s="3" t="s">
        <v>23</v>
      </c>
      <c r="C1003" s="3" t="s">
        <v>24</v>
      </c>
      <c r="D1003" s="3" t="n">
        <v>1</v>
      </c>
      <c r="E1003" s="6" t="n">
        <v>29.99</v>
      </c>
      <c r="F1003" s="6" t="n">
        <v>37</v>
      </c>
      <c r="G1003" s="7" t="n">
        <f aca="false">F1003-E1003</f>
        <v>7.01</v>
      </c>
      <c r="H1003" s="8" t="n">
        <f aca="false">IF(E1003=0,0,F1003/E1003-1)</f>
        <v>0.233744581527176</v>
      </c>
      <c r="I1003" s="3" t="s">
        <v>27</v>
      </c>
    </row>
    <row r="1004" customFormat="false" ht="15" hidden="false" customHeight="false" outlineLevel="0" collapsed="false">
      <c r="A1004" s="3" t="s">
        <v>1139</v>
      </c>
      <c r="B1004" s="3" t="s">
        <v>23</v>
      </c>
      <c r="C1004" s="3" t="s">
        <v>24</v>
      </c>
      <c r="D1004" s="3" t="n">
        <v>1</v>
      </c>
      <c r="E1004" s="6" t="n">
        <v>137.3</v>
      </c>
      <c r="F1004" s="6" t="n">
        <v>168</v>
      </c>
      <c r="G1004" s="7" t="n">
        <f aca="false">F1004-E1004</f>
        <v>30.7</v>
      </c>
      <c r="H1004" s="8" t="n">
        <f aca="false">IF(E1004=0,0,F1004/E1004-1)</f>
        <v>0.223597960670066</v>
      </c>
      <c r="I1004" s="3" t="s">
        <v>714</v>
      </c>
    </row>
    <row r="1005" customFormat="false" ht="15" hidden="false" customHeight="false" outlineLevel="0" collapsed="false">
      <c r="A1005" s="3" t="s">
        <v>1140</v>
      </c>
      <c r="B1005" s="3" t="s">
        <v>23</v>
      </c>
      <c r="C1005" s="3" t="s">
        <v>24</v>
      </c>
      <c r="D1005" s="3" t="n">
        <v>1</v>
      </c>
      <c r="E1005" s="6" t="n">
        <v>137.3</v>
      </c>
      <c r="F1005" s="6" t="n">
        <v>168</v>
      </c>
      <c r="G1005" s="7" t="n">
        <f aca="false">F1005-E1005</f>
        <v>30.7</v>
      </c>
      <c r="H1005" s="8" t="n">
        <f aca="false">IF(E1005=0,0,F1005/E1005-1)</f>
        <v>0.223597960670066</v>
      </c>
      <c r="I1005" s="3" t="s">
        <v>714</v>
      </c>
    </row>
    <row r="1006" customFormat="false" ht="15" hidden="false" customHeight="false" outlineLevel="0" collapsed="false">
      <c r="A1006" s="3" t="s">
        <v>1141</v>
      </c>
      <c r="B1006" s="3" t="s">
        <v>23</v>
      </c>
      <c r="C1006" s="3" t="s">
        <v>24</v>
      </c>
      <c r="D1006" s="3" t="n">
        <v>1</v>
      </c>
      <c r="E1006" s="6" t="n">
        <v>3499</v>
      </c>
      <c r="F1006" s="6" t="n">
        <v>4270</v>
      </c>
      <c r="G1006" s="7" t="n">
        <f aca="false">F1006-E1006</f>
        <v>771</v>
      </c>
      <c r="H1006" s="8" t="n">
        <f aca="false">IF(E1006=0,0,F1006/E1006-1)</f>
        <v>0.220348671048871</v>
      </c>
      <c r="I1006" s="3" t="s">
        <v>27</v>
      </c>
    </row>
    <row r="1007" customFormat="false" ht="15" hidden="false" customHeight="false" outlineLevel="0" collapsed="false">
      <c r="A1007" s="3" t="s">
        <v>1142</v>
      </c>
      <c r="B1007" s="3" t="s">
        <v>23</v>
      </c>
      <c r="C1007" s="3" t="s">
        <v>24</v>
      </c>
      <c r="D1007" s="3" t="n">
        <v>1</v>
      </c>
      <c r="E1007" s="6" t="n">
        <v>75</v>
      </c>
      <c r="F1007" s="6" t="n">
        <v>91.5</v>
      </c>
      <c r="G1007" s="7" t="n">
        <f aca="false">F1007-E1007</f>
        <v>16.5</v>
      </c>
      <c r="H1007" s="8" t="n">
        <f aca="false">IF(E1007=0,0,F1007/E1007-1)</f>
        <v>0.22</v>
      </c>
      <c r="I1007" s="3" t="s">
        <v>27</v>
      </c>
    </row>
    <row r="1008" customFormat="false" ht="15" hidden="false" customHeight="false" outlineLevel="0" collapsed="false">
      <c r="A1008" s="3" t="s">
        <v>1143</v>
      </c>
      <c r="B1008" s="3" t="s">
        <v>23</v>
      </c>
      <c r="C1008" s="3" t="s">
        <v>24</v>
      </c>
      <c r="D1008" s="3" t="n">
        <v>2</v>
      </c>
      <c r="E1008" s="6" t="n">
        <v>2500</v>
      </c>
      <c r="F1008" s="6" t="n">
        <v>2950</v>
      </c>
      <c r="G1008" s="7" t="n">
        <f aca="false">F1008-E1008</f>
        <v>450</v>
      </c>
      <c r="H1008" s="8" t="n">
        <f aca="false">IF(E1008=0,0,F1008/E1008-1)</f>
        <v>0.18</v>
      </c>
      <c r="I1008" s="3" t="s">
        <v>305</v>
      </c>
    </row>
    <row r="1009" customFormat="false" ht="15" hidden="false" customHeight="false" outlineLevel="0" collapsed="false">
      <c r="A1009" s="3" t="s">
        <v>1144</v>
      </c>
      <c r="B1009" s="3" t="s">
        <v>23</v>
      </c>
      <c r="C1009" s="3" t="s">
        <v>24</v>
      </c>
      <c r="D1009" s="3" t="n">
        <v>1</v>
      </c>
      <c r="E1009" s="6" t="n">
        <v>189.99</v>
      </c>
      <c r="F1009" s="6" t="n">
        <v>232</v>
      </c>
      <c r="G1009" s="7" t="n">
        <f aca="false">F1009-E1009</f>
        <v>42.01</v>
      </c>
      <c r="H1009" s="8" t="n">
        <f aca="false">IF(E1009=0,0,F1009/E1009-1)</f>
        <v>0.22111690088952</v>
      </c>
      <c r="I1009" s="3" t="s">
        <v>27</v>
      </c>
    </row>
    <row r="1010" customFormat="false" ht="15" hidden="false" customHeight="false" outlineLevel="0" collapsed="false">
      <c r="A1010" s="3" t="s">
        <v>1145</v>
      </c>
      <c r="B1010" s="3" t="s">
        <v>23</v>
      </c>
      <c r="C1010" s="3" t="s">
        <v>24</v>
      </c>
      <c r="D1010" s="3" t="n">
        <v>1</v>
      </c>
      <c r="E1010" s="6" t="n">
        <v>229.99</v>
      </c>
      <c r="F1010" s="6" t="n">
        <v>281</v>
      </c>
      <c r="G1010" s="7" t="n">
        <f aca="false">F1010-E1010</f>
        <v>51.01</v>
      </c>
      <c r="H1010" s="8" t="n">
        <f aca="false">IF(E1010=0,0,F1010/E1010-1)</f>
        <v>0.221792251837036</v>
      </c>
      <c r="I1010" s="3" t="s">
        <v>27</v>
      </c>
    </row>
    <row r="1011" customFormat="false" ht="15" hidden="false" customHeight="false" outlineLevel="0" collapsed="false">
      <c r="A1011" s="3" t="s">
        <v>1146</v>
      </c>
      <c r="B1011" s="3" t="s">
        <v>23</v>
      </c>
      <c r="C1011" s="3" t="s">
        <v>24</v>
      </c>
      <c r="D1011" s="3" t="n">
        <v>5</v>
      </c>
      <c r="E1011" s="6" t="n">
        <v>129.99</v>
      </c>
      <c r="F1011" s="6" t="n">
        <v>133</v>
      </c>
      <c r="G1011" s="7" t="n">
        <f aca="false">F1011-E1011</f>
        <v>3.00999999999999</v>
      </c>
      <c r="H1011" s="8" t="n">
        <f aca="false">IF(E1011=0,0,F1011/E1011-1)</f>
        <v>0.0231556273559503</v>
      </c>
      <c r="I1011" s="3" t="s">
        <v>368</v>
      </c>
    </row>
    <row r="1012" customFormat="false" ht="15" hidden="false" customHeight="false" outlineLevel="0" collapsed="false">
      <c r="A1012" s="3" t="s">
        <v>1147</v>
      </c>
      <c r="B1012" s="3" t="s">
        <v>23</v>
      </c>
      <c r="C1012" s="3" t="s">
        <v>24</v>
      </c>
      <c r="D1012" s="3" t="n">
        <v>1</v>
      </c>
      <c r="E1012" s="6" t="n">
        <v>290</v>
      </c>
      <c r="F1012" s="6" t="n">
        <v>354</v>
      </c>
      <c r="G1012" s="7" t="n">
        <f aca="false">F1012-E1012</f>
        <v>64</v>
      </c>
      <c r="H1012" s="8" t="n">
        <f aca="false">IF(E1012=0,0,F1012/E1012-1)</f>
        <v>0.220689655172414</v>
      </c>
      <c r="I1012" s="3" t="s">
        <v>27</v>
      </c>
    </row>
    <row r="1013" customFormat="false" ht="15" hidden="false" customHeight="false" outlineLevel="0" collapsed="false">
      <c r="A1013" s="3" t="s">
        <v>1148</v>
      </c>
      <c r="B1013" s="3" t="s">
        <v>23</v>
      </c>
      <c r="C1013" s="3" t="s">
        <v>24</v>
      </c>
      <c r="D1013" s="3" t="n">
        <v>1</v>
      </c>
      <c r="E1013" s="6" t="n">
        <v>3400</v>
      </c>
      <c r="F1013" s="6" t="n">
        <v>4150</v>
      </c>
      <c r="G1013" s="7" t="n">
        <f aca="false">F1013-E1013</f>
        <v>750</v>
      </c>
      <c r="H1013" s="8" t="n">
        <f aca="false">IF(E1013=0,0,F1013/E1013-1)</f>
        <v>0.220588235294118</v>
      </c>
      <c r="I1013" s="3" t="s">
        <v>27</v>
      </c>
    </row>
    <row r="1014" customFormat="false" ht="15" hidden="false" customHeight="false" outlineLevel="0" collapsed="false">
      <c r="A1014" s="3" t="s">
        <v>1149</v>
      </c>
      <c r="B1014" s="3" t="s">
        <v>23</v>
      </c>
      <c r="C1014" s="3" t="s">
        <v>24</v>
      </c>
      <c r="D1014" s="3" t="n">
        <v>1</v>
      </c>
      <c r="E1014" s="6" t="n">
        <v>45</v>
      </c>
      <c r="F1014" s="6" t="n">
        <v>55</v>
      </c>
      <c r="G1014" s="7" t="n">
        <f aca="false">F1014-E1014</f>
        <v>10</v>
      </c>
      <c r="H1014" s="8" t="n">
        <f aca="false">IF(E1014=0,0,F1014/E1014-1)</f>
        <v>0.222222222222222</v>
      </c>
      <c r="I1014" s="3" t="s">
        <v>27</v>
      </c>
    </row>
    <row r="1015" customFormat="false" ht="15" hidden="false" customHeight="false" outlineLevel="0" collapsed="false">
      <c r="A1015" s="3" t="s">
        <v>1150</v>
      </c>
      <c r="B1015" s="3" t="s">
        <v>23</v>
      </c>
      <c r="C1015" s="3" t="s">
        <v>24</v>
      </c>
      <c r="D1015" s="3" t="n">
        <v>1</v>
      </c>
      <c r="E1015" s="6" t="n">
        <v>24.99</v>
      </c>
      <c r="F1015" s="6" t="n">
        <v>30.5</v>
      </c>
      <c r="G1015" s="7" t="n">
        <f aca="false">F1015-E1015</f>
        <v>5.51</v>
      </c>
      <c r="H1015" s="8" t="n">
        <f aca="false">IF(E1015=0,0,F1015/E1015-1)</f>
        <v>0.220488195278111</v>
      </c>
      <c r="I1015" s="3" t="s">
        <v>27</v>
      </c>
    </row>
    <row r="1016" customFormat="false" ht="15" hidden="false" customHeight="false" outlineLevel="0" collapsed="false">
      <c r="A1016" s="3" t="s">
        <v>1151</v>
      </c>
      <c r="B1016" s="3" t="s">
        <v>23</v>
      </c>
      <c r="C1016" s="3" t="s">
        <v>24</v>
      </c>
      <c r="D1016" s="3" t="n">
        <v>1</v>
      </c>
      <c r="E1016" s="6" t="n">
        <v>8.55</v>
      </c>
      <c r="F1016" s="6" t="n">
        <v>10.5</v>
      </c>
      <c r="G1016" s="7" t="n">
        <f aca="false">F1016-E1016</f>
        <v>1.95</v>
      </c>
      <c r="H1016" s="8" t="n">
        <f aca="false">IF(E1016=0,0,F1016/E1016-1)</f>
        <v>0.228070175438596</v>
      </c>
      <c r="I1016" s="3" t="s">
        <v>27</v>
      </c>
    </row>
    <row r="1017" customFormat="false" ht="15" hidden="false" customHeight="false" outlineLevel="0" collapsed="false">
      <c r="A1017" s="3" t="s">
        <v>1152</v>
      </c>
      <c r="B1017" s="3" t="s">
        <v>23</v>
      </c>
      <c r="C1017" s="3" t="s">
        <v>24</v>
      </c>
      <c r="D1017" s="3" t="n">
        <v>1</v>
      </c>
      <c r="E1017" s="6" t="n">
        <v>289.99</v>
      </c>
      <c r="F1017" s="6" t="n">
        <v>354</v>
      </c>
      <c r="G1017" s="7" t="n">
        <f aca="false">F1017-E1017</f>
        <v>64.01</v>
      </c>
      <c r="H1017" s="8" t="n">
        <f aca="false">IF(E1017=0,0,F1017/E1017-1)</f>
        <v>0.220731749370668</v>
      </c>
      <c r="I1017" s="3" t="s">
        <v>27</v>
      </c>
    </row>
    <row r="1018" customFormat="false" ht="15" hidden="false" customHeight="false" outlineLevel="0" collapsed="false">
      <c r="A1018" s="3" t="s">
        <v>1153</v>
      </c>
      <c r="B1018" s="3" t="s">
        <v>23</v>
      </c>
      <c r="C1018" s="3" t="s">
        <v>24</v>
      </c>
      <c r="D1018" s="3" t="n">
        <v>1</v>
      </c>
      <c r="E1018" s="6" t="n">
        <v>25</v>
      </c>
      <c r="F1018" s="6" t="n">
        <v>30.5</v>
      </c>
      <c r="G1018" s="7" t="n">
        <f aca="false">F1018-E1018</f>
        <v>5.5</v>
      </c>
      <c r="H1018" s="8" t="n">
        <f aca="false">IF(E1018=0,0,F1018/E1018-1)</f>
        <v>0.22</v>
      </c>
      <c r="I1018" s="3" t="s">
        <v>27</v>
      </c>
    </row>
    <row r="1019" customFormat="false" ht="15" hidden="false" customHeight="false" outlineLevel="0" collapsed="false">
      <c r="A1019" s="3" t="s">
        <v>1154</v>
      </c>
      <c r="B1019" s="3" t="s">
        <v>23</v>
      </c>
      <c r="C1019" s="3" t="s">
        <v>24</v>
      </c>
      <c r="D1019" s="3" t="n">
        <v>1</v>
      </c>
      <c r="E1019" s="6" t="n">
        <v>99.99</v>
      </c>
      <c r="F1019" s="6" t="n">
        <v>122</v>
      </c>
      <c r="G1019" s="7" t="n">
        <f aca="false">F1019-E1019</f>
        <v>22.01</v>
      </c>
      <c r="H1019" s="8" t="n">
        <f aca="false">IF(E1019=0,0,F1019/E1019-1)</f>
        <v>0.22012201220122</v>
      </c>
      <c r="I1019" s="3" t="s">
        <v>27</v>
      </c>
    </row>
    <row r="1020" customFormat="false" ht="15" hidden="false" customHeight="false" outlineLevel="0" collapsed="false">
      <c r="A1020" s="3" t="s">
        <v>1155</v>
      </c>
      <c r="B1020" s="3" t="s">
        <v>23</v>
      </c>
      <c r="C1020" s="3" t="s">
        <v>24</v>
      </c>
      <c r="D1020" s="3" t="n">
        <v>1</v>
      </c>
      <c r="E1020" s="6" t="n">
        <v>110</v>
      </c>
      <c r="F1020" s="6" t="n">
        <v>135</v>
      </c>
      <c r="G1020" s="7" t="n">
        <f aca="false">F1020-E1020</f>
        <v>25</v>
      </c>
      <c r="H1020" s="8" t="n">
        <f aca="false">IF(E1020=0,0,F1020/E1020-1)</f>
        <v>0.227272727272727</v>
      </c>
      <c r="I1020" s="3" t="s">
        <v>27</v>
      </c>
    </row>
    <row r="1021" customFormat="false" ht="15" hidden="false" customHeight="false" outlineLevel="0" collapsed="false">
      <c r="A1021" s="3" t="s">
        <v>1156</v>
      </c>
      <c r="B1021" s="3" t="s">
        <v>23</v>
      </c>
      <c r="C1021" s="3" t="s">
        <v>24</v>
      </c>
      <c r="D1021" s="3" t="n">
        <v>1</v>
      </c>
      <c r="E1021" s="6" t="n">
        <v>110</v>
      </c>
      <c r="F1021" s="6" t="n">
        <v>135</v>
      </c>
      <c r="G1021" s="7" t="n">
        <f aca="false">F1021-E1021</f>
        <v>25</v>
      </c>
      <c r="H1021" s="8" t="n">
        <f aca="false">IF(E1021=0,0,F1021/E1021-1)</f>
        <v>0.227272727272727</v>
      </c>
      <c r="I1021" s="3" t="s">
        <v>27</v>
      </c>
    </row>
    <row r="1022" customFormat="false" ht="15" hidden="false" customHeight="false" outlineLevel="0" collapsed="false">
      <c r="A1022" s="3" t="s">
        <v>1157</v>
      </c>
      <c r="B1022" s="3" t="s">
        <v>23</v>
      </c>
      <c r="C1022" s="3" t="s">
        <v>24</v>
      </c>
      <c r="D1022" s="3" t="n">
        <v>1</v>
      </c>
      <c r="E1022" s="6" t="n">
        <v>35</v>
      </c>
      <c r="F1022" s="6" t="n">
        <v>43</v>
      </c>
      <c r="G1022" s="7" t="n">
        <f aca="false">F1022-E1022</f>
        <v>8</v>
      </c>
      <c r="H1022" s="8" t="n">
        <f aca="false">IF(E1022=0,0,F1022/E1022-1)</f>
        <v>0.228571428571429</v>
      </c>
      <c r="I1022" s="3" t="s">
        <v>27</v>
      </c>
    </row>
    <row r="1023" customFormat="false" ht="15" hidden="false" customHeight="false" outlineLevel="0" collapsed="false">
      <c r="A1023" s="3" t="s">
        <v>1158</v>
      </c>
      <c r="B1023" s="3" t="s">
        <v>23</v>
      </c>
      <c r="C1023" s="3" t="s">
        <v>24</v>
      </c>
      <c r="D1023" s="3" t="n">
        <v>1</v>
      </c>
      <c r="E1023" s="6" t="n">
        <v>159.99</v>
      </c>
      <c r="F1023" s="6" t="n">
        <v>196</v>
      </c>
      <c r="G1023" s="7" t="n">
        <f aca="false">F1023-E1023</f>
        <v>36.01</v>
      </c>
      <c r="H1023" s="8" t="n">
        <f aca="false">IF(E1023=0,0,F1023/E1023-1)</f>
        <v>0.225076567285455</v>
      </c>
      <c r="I1023" s="3" t="s">
        <v>27</v>
      </c>
    </row>
    <row r="1024" customFormat="false" ht="15" hidden="false" customHeight="false" outlineLevel="0" collapsed="false">
      <c r="A1024" s="3" t="s">
        <v>1159</v>
      </c>
      <c r="B1024" s="3" t="s">
        <v>23</v>
      </c>
      <c r="C1024" s="3" t="s">
        <v>24</v>
      </c>
      <c r="D1024" s="3" t="n">
        <v>1</v>
      </c>
      <c r="E1024" s="6" t="n">
        <v>60</v>
      </c>
      <c r="F1024" s="6" t="n">
        <v>73.5</v>
      </c>
      <c r="G1024" s="7" t="n">
        <f aca="false">F1024-E1024</f>
        <v>13.5</v>
      </c>
      <c r="H1024" s="8" t="n">
        <f aca="false">IF(E1024=0,0,F1024/E1024-1)</f>
        <v>0.225</v>
      </c>
      <c r="I1024" s="3" t="s">
        <v>27</v>
      </c>
    </row>
    <row r="1025" customFormat="false" ht="15" hidden="false" customHeight="false" outlineLevel="0" collapsed="false">
      <c r="A1025" s="3" t="s">
        <v>1160</v>
      </c>
      <c r="B1025" s="3" t="s">
        <v>23</v>
      </c>
      <c r="C1025" s="3" t="s">
        <v>24</v>
      </c>
      <c r="D1025" s="3" t="n">
        <v>1</v>
      </c>
      <c r="E1025" s="6" t="n">
        <v>133</v>
      </c>
      <c r="F1025" s="6" t="n">
        <v>163</v>
      </c>
      <c r="G1025" s="7" t="n">
        <f aca="false">F1025-E1025</f>
        <v>30</v>
      </c>
      <c r="H1025" s="8" t="n">
        <f aca="false">IF(E1025=0,0,F1025/E1025-1)</f>
        <v>0.225563909774436</v>
      </c>
      <c r="I1025" s="3" t="s">
        <v>27</v>
      </c>
    </row>
    <row r="1026" customFormat="false" ht="15" hidden="false" customHeight="false" outlineLevel="0" collapsed="false">
      <c r="A1026" s="3" t="s">
        <v>1161</v>
      </c>
      <c r="B1026" s="3" t="s">
        <v>23</v>
      </c>
      <c r="C1026" s="3" t="s">
        <v>24</v>
      </c>
      <c r="D1026" s="3" t="n">
        <v>1</v>
      </c>
      <c r="E1026" s="6" t="n">
        <v>199.99</v>
      </c>
      <c r="F1026" s="6" t="n">
        <v>244</v>
      </c>
      <c r="G1026" s="7" t="n">
        <f aca="false">F1026-E1026</f>
        <v>44.01</v>
      </c>
      <c r="H1026" s="8" t="n">
        <f aca="false">IF(E1026=0,0,F1026/E1026-1)</f>
        <v>0.220061003050152</v>
      </c>
      <c r="I1026" s="3" t="s">
        <v>714</v>
      </c>
    </row>
    <row r="1027" customFormat="false" ht="15" hidden="false" customHeight="false" outlineLevel="0" collapsed="false">
      <c r="A1027" s="3" t="s">
        <v>1162</v>
      </c>
      <c r="B1027" s="3" t="s">
        <v>23</v>
      </c>
      <c r="C1027" s="3" t="s">
        <v>24</v>
      </c>
      <c r="D1027" s="3" t="n">
        <v>1</v>
      </c>
      <c r="E1027" s="6" t="n">
        <v>74.99</v>
      </c>
      <c r="F1027" s="6" t="n">
        <v>91.5</v>
      </c>
      <c r="G1027" s="7" t="n">
        <f aca="false">F1027-E1027</f>
        <v>16.51</v>
      </c>
      <c r="H1027" s="8" t="n">
        <f aca="false">IF(E1027=0,0,F1027/E1027-1)</f>
        <v>0.220162688358448</v>
      </c>
      <c r="I1027" s="3" t="s">
        <v>27</v>
      </c>
    </row>
    <row r="1028" customFormat="false" ht="15" hidden="false" customHeight="false" outlineLevel="0" collapsed="false">
      <c r="A1028" s="3" t="s">
        <v>1163</v>
      </c>
      <c r="B1028" s="3" t="s">
        <v>23</v>
      </c>
      <c r="C1028" s="3" t="s">
        <v>24</v>
      </c>
      <c r="D1028" s="3" t="n">
        <v>1</v>
      </c>
      <c r="E1028" s="6" t="n">
        <v>39.64</v>
      </c>
      <c r="F1028" s="6" t="n">
        <v>48.5</v>
      </c>
      <c r="G1028" s="7" t="n">
        <f aca="false">F1028-E1028</f>
        <v>8.86</v>
      </c>
      <c r="H1028" s="8" t="n">
        <f aca="false">IF(E1028=0,0,F1028/E1028-1)</f>
        <v>0.22351160443996</v>
      </c>
      <c r="I1028" s="3" t="s">
        <v>134</v>
      </c>
    </row>
    <row r="1029" customFormat="false" ht="15" hidden="false" customHeight="false" outlineLevel="0" collapsed="false">
      <c r="A1029" s="3" t="s">
        <v>1164</v>
      </c>
      <c r="B1029" s="3" t="s">
        <v>23</v>
      </c>
      <c r="C1029" s="3" t="s">
        <v>24</v>
      </c>
      <c r="D1029" s="3" t="n">
        <v>1</v>
      </c>
      <c r="E1029" s="6" t="n">
        <v>85.41</v>
      </c>
      <c r="F1029" s="6" t="n">
        <v>105</v>
      </c>
      <c r="G1029" s="7" t="n">
        <f aca="false">F1029-E1029</f>
        <v>19.59</v>
      </c>
      <c r="H1029" s="8" t="n">
        <f aca="false">IF(E1029=0,0,F1029/E1029-1)</f>
        <v>0.229364243062873</v>
      </c>
      <c r="I1029" s="3" t="s">
        <v>333</v>
      </c>
    </row>
    <row r="1030" customFormat="false" ht="15" hidden="false" customHeight="false" outlineLevel="0" collapsed="false">
      <c r="A1030" s="3" t="s">
        <v>1165</v>
      </c>
      <c r="B1030" s="3" t="s">
        <v>23</v>
      </c>
      <c r="C1030" s="3" t="s">
        <v>24</v>
      </c>
      <c r="D1030" s="3" t="n">
        <v>1</v>
      </c>
      <c r="E1030" s="6" t="n">
        <v>85.41</v>
      </c>
      <c r="F1030" s="6" t="n">
        <v>105</v>
      </c>
      <c r="G1030" s="7" t="n">
        <f aca="false">F1030-E1030</f>
        <v>19.59</v>
      </c>
      <c r="H1030" s="8" t="n">
        <f aca="false">IF(E1030=0,0,F1030/E1030-1)</f>
        <v>0.229364243062873</v>
      </c>
      <c r="I1030" s="3" t="s">
        <v>333</v>
      </c>
    </row>
    <row r="1031" customFormat="false" ht="15" hidden="false" customHeight="false" outlineLevel="0" collapsed="false">
      <c r="A1031" s="3" t="s">
        <v>1166</v>
      </c>
      <c r="B1031" s="3" t="s">
        <v>23</v>
      </c>
      <c r="C1031" s="3" t="s">
        <v>24</v>
      </c>
      <c r="D1031" s="3" t="n">
        <v>1</v>
      </c>
      <c r="E1031" s="6" t="n">
        <v>99.99</v>
      </c>
      <c r="F1031" s="6" t="n">
        <v>122</v>
      </c>
      <c r="G1031" s="7" t="n">
        <f aca="false">F1031-E1031</f>
        <v>22.01</v>
      </c>
      <c r="H1031" s="8" t="n">
        <f aca="false">IF(E1031=0,0,F1031/E1031-1)</f>
        <v>0.22012201220122</v>
      </c>
      <c r="I1031" s="3" t="s">
        <v>27</v>
      </c>
    </row>
    <row r="1032" customFormat="false" ht="15" hidden="false" customHeight="false" outlineLevel="0" collapsed="false">
      <c r="A1032" s="3" t="s">
        <v>1167</v>
      </c>
      <c r="B1032" s="3" t="s">
        <v>23</v>
      </c>
      <c r="C1032" s="3" t="s">
        <v>24</v>
      </c>
      <c r="D1032" s="3" t="n">
        <v>1</v>
      </c>
      <c r="E1032" s="6" t="n">
        <v>440</v>
      </c>
      <c r="F1032" s="6" t="n">
        <v>537</v>
      </c>
      <c r="G1032" s="7" t="n">
        <f aca="false">F1032-E1032</f>
        <v>97</v>
      </c>
      <c r="H1032" s="8" t="n">
        <f aca="false">IF(E1032=0,0,F1032/E1032-1)</f>
        <v>0.220454545454545</v>
      </c>
      <c r="I1032" s="3" t="s">
        <v>27</v>
      </c>
    </row>
    <row r="1033" customFormat="false" ht="15" hidden="false" customHeight="false" outlineLevel="0" collapsed="false">
      <c r="A1033" s="3" t="s">
        <v>1168</v>
      </c>
      <c r="B1033" s="3" t="s">
        <v>23</v>
      </c>
      <c r="C1033" s="3" t="s">
        <v>179</v>
      </c>
      <c r="D1033" s="3" t="n">
        <v>1</v>
      </c>
      <c r="E1033" s="6" t="n">
        <v>320</v>
      </c>
      <c r="F1033" s="6" t="n">
        <v>391</v>
      </c>
      <c r="G1033" s="7" t="n">
        <f aca="false">F1033-E1033</f>
        <v>71</v>
      </c>
      <c r="H1033" s="8" t="n">
        <f aca="false">IF(E1033=0,0,F1033/E1033-1)</f>
        <v>0.221875</v>
      </c>
      <c r="I1033" s="3" t="s">
        <v>1169</v>
      </c>
    </row>
    <row r="1034" customFormat="false" ht="15" hidden="false" customHeight="false" outlineLevel="0" collapsed="false">
      <c r="A1034" s="3" t="s">
        <v>1170</v>
      </c>
      <c r="B1034" s="3" t="s">
        <v>23</v>
      </c>
      <c r="C1034" s="3" t="s">
        <v>24</v>
      </c>
      <c r="D1034" s="3" t="n">
        <v>1</v>
      </c>
      <c r="E1034" s="6" t="n">
        <v>39.99</v>
      </c>
      <c r="F1034" s="6" t="n">
        <v>49</v>
      </c>
      <c r="G1034" s="7" t="n">
        <f aca="false">F1034-E1034</f>
        <v>9.01</v>
      </c>
      <c r="H1034" s="8" t="n">
        <f aca="false">IF(E1034=0,0,F1034/E1034-1)</f>
        <v>0.225306326581645</v>
      </c>
      <c r="I1034" s="3" t="s">
        <v>27</v>
      </c>
    </row>
    <row r="1035" customFormat="false" ht="15" hidden="false" customHeight="false" outlineLevel="0" collapsed="false">
      <c r="A1035" s="3" t="s">
        <v>1171</v>
      </c>
      <c r="B1035" s="3" t="s">
        <v>23</v>
      </c>
      <c r="C1035" s="3" t="s">
        <v>24</v>
      </c>
      <c r="D1035" s="3" t="n">
        <v>1</v>
      </c>
      <c r="E1035" s="6" t="n">
        <v>84.99</v>
      </c>
      <c r="F1035" s="6" t="n">
        <v>104</v>
      </c>
      <c r="G1035" s="7" t="n">
        <f aca="false">F1035-E1035</f>
        <v>19.01</v>
      </c>
      <c r="H1035" s="8" t="n">
        <f aca="false">IF(E1035=0,0,F1035/E1035-1)</f>
        <v>0.22367337333804</v>
      </c>
      <c r="I1035" s="3" t="s">
        <v>27</v>
      </c>
    </row>
    <row r="1036" customFormat="false" ht="15" hidden="false" customHeight="false" outlineLevel="0" collapsed="false">
      <c r="A1036" s="3" t="s">
        <v>1172</v>
      </c>
      <c r="B1036" s="3" t="s">
        <v>23</v>
      </c>
      <c r="C1036" s="3" t="s">
        <v>24</v>
      </c>
      <c r="D1036" s="3" t="n">
        <v>1</v>
      </c>
      <c r="E1036" s="6" t="n">
        <v>24.99</v>
      </c>
      <c r="F1036" s="6" t="n">
        <v>30.5</v>
      </c>
      <c r="G1036" s="7" t="n">
        <f aca="false">F1036-E1036</f>
        <v>5.51</v>
      </c>
      <c r="H1036" s="8" t="n">
        <f aca="false">IF(E1036=0,0,F1036/E1036-1)</f>
        <v>0.220488195278111</v>
      </c>
      <c r="I1036" s="3" t="s">
        <v>27</v>
      </c>
    </row>
    <row r="1037" customFormat="false" ht="15" hidden="false" customHeight="false" outlineLevel="0" collapsed="false">
      <c r="A1037" s="3" t="s">
        <v>1173</v>
      </c>
      <c r="B1037" s="3" t="s">
        <v>23</v>
      </c>
      <c r="C1037" s="3" t="s">
        <v>179</v>
      </c>
      <c r="D1037" s="3" t="n">
        <v>1</v>
      </c>
      <c r="E1037" s="6" t="n">
        <v>410</v>
      </c>
      <c r="F1037" s="6" t="n">
        <v>501</v>
      </c>
      <c r="G1037" s="7" t="n">
        <f aca="false">F1037-E1037</f>
        <v>91</v>
      </c>
      <c r="H1037" s="8" t="n">
        <f aca="false">IF(E1037=0,0,F1037/E1037-1)</f>
        <v>0.221951219512195</v>
      </c>
      <c r="I1037" s="3" t="s">
        <v>1174</v>
      </c>
    </row>
    <row r="1038" customFormat="false" ht="15" hidden="false" customHeight="false" outlineLevel="0" collapsed="false">
      <c r="A1038" s="3" t="s">
        <v>1175</v>
      </c>
      <c r="B1038" s="3" t="s">
        <v>23</v>
      </c>
      <c r="C1038" s="3" t="s">
        <v>24</v>
      </c>
      <c r="D1038" s="3" t="n">
        <v>1</v>
      </c>
      <c r="E1038" s="6" t="n">
        <v>79.99</v>
      </c>
      <c r="F1038" s="6" t="n">
        <v>98</v>
      </c>
      <c r="G1038" s="7" t="n">
        <f aca="false">F1038-E1038</f>
        <v>18.01</v>
      </c>
      <c r="H1038" s="8" t="n">
        <f aca="false">IF(E1038=0,0,F1038/E1038-1)</f>
        <v>0.225153144143018</v>
      </c>
      <c r="I1038" s="3" t="s">
        <v>27</v>
      </c>
    </row>
    <row r="1039" customFormat="false" ht="15" hidden="false" customHeight="false" outlineLevel="0" collapsed="false">
      <c r="A1039" s="3" t="s">
        <v>1176</v>
      </c>
      <c r="B1039" s="3" t="s">
        <v>23</v>
      </c>
      <c r="C1039" s="3" t="s">
        <v>24</v>
      </c>
      <c r="D1039" s="3" t="n">
        <v>1</v>
      </c>
      <c r="E1039" s="6" t="n">
        <v>399.99</v>
      </c>
      <c r="F1039" s="6" t="n">
        <v>488</v>
      </c>
      <c r="G1039" s="7" t="n">
        <f aca="false">F1039-E1039</f>
        <v>88.01</v>
      </c>
      <c r="H1039" s="8" t="n">
        <f aca="false">IF(E1039=0,0,F1039/E1039-1)</f>
        <v>0.220030500762519</v>
      </c>
      <c r="I1039" s="3" t="s">
        <v>27</v>
      </c>
    </row>
    <row r="1040" customFormat="false" ht="15" hidden="false" customHeight="false" outlineLevel="0" collapsed="false">
      <c r="A1040" s="3" t="s">
        <v>1177</v>
      </c>
      <c r="B1040" s="3" t="s">
        <v>23</v>
      </c>
      <c r="C1040" s="3" t="s">
        <v>179</v>
      </c>
      <c r="D1040" s="3" t="n">
        <v>1</v>
      </c>
      <c r="E1040" s="6" t="n">
        <v>1150</v>
      </c>
      <c r="F1040" s="6" t="n">
        <v>1405</v>
      </c>
      <c r="G1040" s="7" t="n">
        <f aca="false">F1040-E1040</f>
        <v>255</v>
      </c>
      <c r="H1040" s="8" t="n">
        <f aca="false">IF(E1040=0,0,F1040/E1040-1)</f>
        <v>0.221739130434783</v>
      </c>
      <c r="I1040" s="3" t="s">
        <v>1178</v>
      </c>
    </row>
    <row r="1041" customFormat="false" ht="15" hidden="false" customHeight="false" outlineLevel="0" collapsed="false">
      <c r="A1041" s="3" t="s">
        <v>1179</v>
      </c>
      <c r="B1041" s="3" t="s">
        <v>23</v>
      </c>
      <c r="C1041" s="3" t="s">
        <v>24</v>
      </c>
      <c r="D1041" s="3" t="n">
        <v>1</v>
      </c>
      <c r="E1041" s="6" t="n">
        <v>184.25</v>
      </c>
      <c r="F1041" s="6" t="n">
        <v>225</v>
      </c>
      <c r="G1041" s="7" t="n">
        <f aca="false">F1041-E1041</f>
        <v>40.75</v>
      </c>
      <c r="H1041" s="8" t="n">
        <f aca="false">IF(E1041=0,0,F1041/E1041-1)</f>
        <v>0.221166892808684</v>
      </c>
      <c r="I1041" s="3" t="s">
        <v>210</v>
      </c>
    </row>
    <row r="1042" customFormat="false" ht="15" hidden="false" customHeight="false" outlineLevel="0" collapsed="false">
      <c r="A1042" s="3" t="s">
        <v>1180</v>
      </c>
      <c r="B1042" s="3" t="s">
        <v>23</v>
      </c>
      <c r="C1042" s="3" t="s">
        <v>24</v>
      </c>
      <c r="D1042" s="3" t="n">
        <v>1</v>
      </c>
      <c r="E1042" s="6" t="n">
        <v>49.99</v>
      </c>
      <c r="F1042" s="6" t="n">
        <v>61</v>
      </c>
      <c r="G1042" s="7" t="n">
        <f aca="false">F1042-E1042</f>
        <v>11.01</v>
      </c>
      <c r="H1042" s="8" t="n">
        <f aca="false">IF(E1042=0,0,F1042/E1042-1)</f>
        <v>0.220244048809762</v>
      </c>
      <c r="I1042" s="3" t="s">
        <v>27</v>
      </c>
    </row>
    <row r="1043" customFormat="false" ht="15" hidden="false" customHeight="false" outlineLevel="0" collapsed="false">
      <c r="A1043" s="3" t="s">
        <v>1181</v>
      </c>
      <c r="B1043" s="3" t="s">
        <v>23</v>
      </c>
      <c r="C1043" s="3" t="s">
        <v>24</v>
      </c>
      <c r="D1043" s="3" t="n">
        <v>1</v>
      </c>
      <c r="E1043" s="6" t="n">
        <v>299.99</v>
      </c>
      <c r="F1043" s="6" t="n">
        <v>366</v>
      </c>
      <c r="G1043" s="7" t="n">
        <f aca="false">F1043-E1043</f>
        <v>66.01</v>
      </c>
      <c r="H1043" s="8" t="n">
        <f aca="false">IF(E1043=0,0,F1043/E1043-1)</f>
        <v>0.220040668022267</v>
      </c>
      <c r="I1043" s="3" t="s">
        <v>27</v>
      </c>
    </row>
    <row r="1044" customFormat="false" ht="15" hidden="false" customHeight="false" outlineLevel="0" collapsed="false">
      <c r="A1044" s="3" t="s">
        <v>1182</v>
      </c>
      <c r="B1044" s="3" t="s">
        <v>23</v>
      </c>
      <c r="C1044" s="3" t="s">
        <v>24</v>
      </c>
      <c r="D1044" s="3" t="n">
        <v>1</v>
      </c>
      <c r="E1044" s="6" t="n">
        <v>174.99</v>
      </c>
      <c r="F1044" s="6" t="n">
        <v>214</v>
      </c>
      <c r="G1044" s="7" t="n">
        <f aca="false">F1044-E1044</f>
        <v>39.01</v>
      </c>
      <c r="H1044" s="8" t="n">
        <f aca="false">IF(E1044=0,0,F1044/E1044-1)</f>
        <v>0.222927024401394</v>
      </c>
      <c r="I1044" s="3" t="s">
        <v>27</v>
      </c>
    </row>
    <row r="1045" customFormat="false" ht="15" hidden="false" customHeight="false" outlineLevel="0" collapsed="false">
      <c r="A1045" s="3" t="s">
        <v>1183</v>
      </c>
      <c r="B1045" s="3" t="s">
        <v>23</v>
      </c>
      <c r="C1045" s="3" t="s">
        <v>24</v>
      </c>
      <c r="D1045" s="3" t="n">
        <v>1</v>
      </c>
      <c r="E1045" s="6" t="n">
        <v>179.99</v>
      </c>
      <c r="F1045" s="6" t="n">
        <v>220</v>
      </c>
      <c r="G1045" s="7" t="n">
        <f aca="false">F1045-E1045</f>
        <v>40.01</v>
      </c>
      <c r="H1045" s="8" t="n">
        <f aca="false">IF(E1045=0,0,F1045/E1045-1)</f>
        <v>0.222290127229291</v>
      </c>
      <c r="I1045" s="3" t="s">
        <v>27</v>
      </c>
    </row>
    <row r="1046" customFormat="false" ht="15" hidden="false" customHeight="false" outlineLevel="0" collapsed="false">
      <c r="A1046" s="3" t="s">
        <v>1184</v>
      </c>
      <c r="B1046" s="3" t="s">
        <v>23</v>
      </c>
      <c r="C1046" s="3" t="s">
        <v>24</v>
      </c>
      <c r="D1046" s="3" t="n">
        <v>1</v>
      </c>
      <c r="E1046" s="6" t="n">
        <v>199.99</v>
      </c>
      <c r="F1046" s="6" t="n">
        <v>244</v>
      </c>
      <c r="G1046" s="7" t="n">
        <f aca="false">F1046-E1046</f>
        <v>44.01</v>
      </c>
      <c r="H1046" s="8" t="n">
        <f aca="false">IF(E1046=0,0,F1046/E1046-1)</f>
        <v>0.220061003050152</v>
      </c>
      <c r="I1046" s="3" t="s">
        <v>27</v>
      </c>
    </row>
    <row r="1047" customFormat="false" ht="15" hidden="false" customHeight="false" outlineLevel="0" collapsed="false">
      <c r="A1047" s="3" t="s">
        <v>1185</v>
      </c>
      <c r="B1047" s="3" t="s">
        <v>23</v>
      </c>
      <c r="C1047" s="3" t="s">
        <v>24</v>
      </c>
      <c r="D1047" s="3" t="n">
        <v>1</v>
      </c>
      <c r="E1047" s="6" t="n">
        <v>163.05</v>
      </c>
      <c r="F1047" s="6" t="n">
        <v>199</v>
      </c>
      <c r="G1047" s="7" t="n">
        <f aca="false">F1047-E1047</f>
        <v>35.95</v>
      </c>
      <c r="H1047" s="8" t="n">
        <f aca="false">IF(E1047=0,0,F1047/E1047-1)</f>
        <v>0.220484513952775</v>
      </c>
      <c r="I1047" s="3" t="s">
        <v>333</v>
      </c>
    </row>
    <row r="1048" customFormat="false" ht="15" hidden="false" customHeight="false" outlineLevel="0" collapsed="false">
      <c r="A1048" s="3" t="s">
        <v>1186</v>
      </c>
      <c r="B1048" s="3" t="s">
        <v>23</v>
      </c>
      <c r="C1048" s="3" t="s">
        <v>24</v>
      </c>
      <c r="D1048" s="3" t="n">
        <v>1</v>
      </c>
      <c r="E1048" s="6" t="n">
        <v>220</v>
      </c>
      <c r="F1048" s="6" t="n">
        <v>269</v>
      </c>
      <c r="G1048" s="7" t="n">
        <f aca="false">F1048-E1048</f>
        <v>49</v>
      </c>
      <c r="H1048" s="8" t="n">
        <f aca="false">IF(E1048=0,0,F1048/E1048-1)</f>
        <v>0.222727272727273</v>
      </c>
      <c r="I1048" s="3" t="s">
        <v>27</v>
      </c>
    </row>
    <row r="1049" customFormat="false" ht="15" hidden="false" customHeight="false" outlineLevel="0" collapsed="false">
      <c r="A1049" s="3" t="s">
        <v>1187</v>
      </c>
      <c r="B1049" s="3" t="s">
        <v>23</v>
      </c>
      <c r="C1049" s="3" t="s">
        <v>24</v>
      </c>
      <c r="D1049" s="3" t="n">
        <v>1</v>
      </c>
      <c r="E1049" s="6" t="n">
        <v>259.99</v>
      </c>
      <c r="F1049" s="6" t="n">
        <v>318</v>
      </c>
      <c r="G1049" s="7" t="n">
        <f aca="false">F1049-E1049</f>
        <v>58.01</v>
      </c>
      <c r="H1049" s="8" t="n">
        <f aca="false">IF(E1049=0,0,F1049/E1049-1)</f>
        <v>0.223123966306396</v>
      </c>
      <c r="I1049" s="3" t="s">
        <v>27</v>
      </c>
    </row>
    <row r="1050" customFormat="false" ht="15" hidden="false" customHeight="false" outlineLevel="0" collapsed="false">
      <c r="A1050" s="3" t="s">
        <v>1188</v>
      </c>
      <c r="B1050" s="3" t="s">
        <v>23</v>
      </c>
      <c r="C1050" s="3" t="s">
        <v>24</v>
      </c>
      <c r="D1050" s="3" t="n">
        <v>1</v>
      </c>
      <c r="E1050" s="6" t="n">
        <v>79.99</v>
      </c>
      <c r="F1050" s="6" t="n">
        <v>98</v>
      </c>
      <c r="G1050" s="7" t="n">
        <f aca="false">F1050-E1050</f>
        <v>18.01</v>
      </c>
      <c r="H1050" s="8" t="n">
        <f aca="false">IF(E1050=0,0,F1050/E1050-1)</f>
        <v>0.225153144143018</v>
      </c>
      <c r="I1050" s="3" t="s">
        <v>27</v>
      </c>
    </row>
    <row r="1051" customFormat="false" ht="15" hidden="false" customHeight="false" outlineLevel="0" collapsed="false">
      <c r="A1051" s="3" t="s">
        <v>1189</v>
      </c>
      <c r="B1051" s="3" t="s">
        <v>23</v>
      </c>
      <c r="C1051" s="3" t="s">
        <v>24</v>
      </c>
      <c r="D1051" s="3" t="n">
        <v>1</v>
      </c>
      <c r="E1051" s="6" t="n">
        <v>164.99</v>
      </c>
      <c r="F1051" s="6" t="n">
        <v>202</v>
      </c>
      <c r="G1051" s="7" t="n">
        <f aca="false">F1051-E1051</f>
        <v>37.01</v>
      </c>
      <c r="H1051" s="8" t="n">
        <f aca="false">IF(E1051=0,0,F1051/E1051-1)</f>
        <v>0.224316625250015</v>
      </c>
      <c r="I1051" s="3" t="s">
        <v>844</v>
      </c>
    </row>
    <row r="1052" customFormat="false" ht="15" hidden="false" customHeight="false" outlineLevel="0" collapsed="false">
      <c r="A1052" s="3" t="s">
        <v>1190</v>
      </c>
      <c r="B1052" s="3" t="s">
        <v>23</v>
      </c>
      <c r="C1052" s="3" t="s">
        <v>24</v>
      </c>
      <c r="D1052" s="3" t="n">
        <v>1</v>
      </c>
      <c r="E1052" s="6" t="n">
        <v>18.42</v>
      </c>
      <c r="F1052" s="6" t="n">
        <v>22.5</v>
      </c>
      <c r="G1052" s="7" t="n">
        <f aca="false">F1052-E1052</f>
        <v>4.08</v>
      </c>
      <c r="H1052" s="8" t="n">
        <f aca="false">IF(E1052=0,0,F1052/E1052-1)</f>
        <v>0.221498371335505</v>
      </c>
      <c r="I1052" s="3" t="s">
        <v>210</v>
      </c>
    </row>
    <row r="1053" customFormat="false" ht="15" hidden="false" customHeight="false" outlineLevel="0" collapsed="false">
      <c r="A1053" s="3" t="s">
        <v>1191</v>
      </c>
      <c r="B1053" s="3" t="s">
        <v>23</v>
      </c>
      <c r="C1053" s="3" t="s">
        <v>24</v>
      </c>
      <c r="D1053" s="3" t="n">
        <v>1</v>
      </c>
      <c r="E1053" s="6" t="n">
        <v>210</v>
      </c>
      <c r="F1053" s="6" t="n">
        <v>257</v>
      </c>
      <c r="G1053" s="7" t="n">
        <f aca="false">F1053-E1053</f>
        <v>47</v>
      </c>
      <c r="H1053" s="8" t="n">
        <f aca="false">IF(E1053=0,0,F1053/E1053-1)</f>
        <v>0.223809523809524</v>
      </c>
      <c r="I1053" s="3" t="s">
        <v>27</v>
      </c>
    </row>
    <row r="1054" customFormat="false" ht="15" hidden="false" customHeight="false" outlineLevel="0" collapsed="false">
      <c r="A1054" s="3" t="s">
        <v>1192</v>
      </c>
      <c r="B1054" s="3" t="s">
        <v>23</v>
      </c>
      <c r="C1054" s="3" t="s">
        <v>24</v>
      </c>
      <c r="D1054" s="3" t="n">
        <v>1</v>
      </c>
      <c r="E1054" s="6" t="n">
        <v>249.99</v>
      </c>
      <c r="F1054" s="6" t="n">
        <v>305</v>
      </c>
      <c r="G1054" s="7" t="n">
        <f aca="false">F1054-E1054</f>
        <v>55.01</v>
      </c>
      <c r="H1054" s="8" t="n">
        <f aca="false">IF(E1054=0,0,F1054/E1054-1)</f>
        <v>0.220048801952078</v>
      </c>
      <c r="I1054" s="3" t="s">
        <v>27</v>
      </c>
    </row>
    <row r="1055" customFormat="false" ht="15" hidden="false" customHeight="false" outlineLevel="0" collapsed="false">
      <c r="A1055" s="3" t="s">
        <v>1193</v>
      </c>
      <c r="B1055" s="3" t="s">
        <v>23</v>
      </c>
      <c r="C1055" s="3" t="s">
        <v>24</v>
      </c>
      <c r="D1055" s="3" t="n">
        <v>1</v>
      </c>
      <c r="E1055" s="6" t="n">
        <v>249.99</v>
      </c>
      <c r="F1055" s="6" t="n">
        <v>305</v>
      </c>
      <c r="G1055" s="7" t="n">
        <f aca="false">F1055-E1055</f>
        <v>55.01</v>
      </c>
      <c r="H1055" s="8" t="n">
        <f aca="false">IF(E1055=0,0,F1055/E1055-1)</f>
        <v>0.220048801952078</v>
      </c>
      <c r="I1055" s="3" t="s">
        <v>27</v>
      </c>
    </row>
    <row r="1056" customFormat="false" ht="15" hidden="false" customHeight="false" outlineLevel="0" collapsed="false">
      <c r="A1056" s="3" t="s">
        <v>1194</v>
      </c>
      <c r="B1056" s="3" t="s">
        <v>23</v>
      </c>
      <c r="C1056" s="3" t="s">
        <v>24</v>
      </c>
      <c r="D1056" s="3" t="n">
        <v>1</v>
      </c>
      <c r="E1056" s="6" t="n">
        <v>211.5</v>
      </c>
      <c r="F1056" s="6" t="n">
        <v>259</v>
      </c>
      <c r="G1056" s="7" t="n">
        <f aca="false">F1056-E1056</f>
        <v>47.5</v>
      </c>
      <c r="H1056" s="8" t="n">
        <f aca="false">IF(E1056=0,0,F1056/E1056-1)</f>
        <v>0.224586288416076</v>
      </c>
      <c r="I1056" s="3" t="s">
        <v>27</v>
      </c>
    </row>
    <row r="1057" customFormat="false" ht="15" hidden="false" customHeight="false" outlineLevel="0" collapsed="false">
      <c r="A1057" s="3" t="s">
        <v>1195</v>
      </c>
      <c r="B1057" s="3" t="s">
        <v>23</v>
      </c>
      <c r="C1057" s="3" t="s">
        <v>24</v>
      </c>
      <c r="D1057" s="3" t="n">
        <v>1</v>
      </c>
      <c r="E1057" s="6" t="n">
        <v>79.99</v>
      </c>
      <c r="F1057" s="6" t="n">
        <v>98</v>
      </c>
      <c r="G1057" s="7" t="n">
        <f aca="false">F1057-E1057</f>
        <v>18.01</v>
      </c>
      <c r="H1057" s="8" t="n">
        <f aca="false">IF(E1057=0,0,F1057/E1057-1)</f>
        <v>0.225153144143018</v>
      </c>
      <c r="I1057" s="3" t="s">
        <v>27</v>
      </c>
    </row>
    <row r="1058" customFormat="false" ht="15" hidden="false" customHeight="false" outlineLevel="0" collapsed="false">
      <c r="A1058" s="3" t="s">
        <v>1196</v>
      </c>
      <c r="B1058" s="3" t="s">
        <v>23</v>
      </c>
      <c r="C1058" s="3" t="s">
        <v>24</v>
      </c>
      <c r="D1058" s="3" t="n">
        <v>1</v>
      </c>
      <c r="E1058" s="6" t="n">
        <v>174.33</v>
      </c>
      <c r="F1058" s="6" t="n">
        <v>213</v>
      </c>
      <c r="G1058" s="7" t="n">
        <f aca="false">F1058-E1058</f>
        <v>38.67</v>
      </c>
      <c r="H1058" s="8" t="n">
        <f aca="false">IF(E1058=0,0,F1058/E1058-1)</f>
        <v>0.221820684907933</v>
      </c>
      <c r="I1058" s="3" t="s">
        <v>27</v>
      </c>
    </row>
    <row r="1059" customFormat="false" ht="15" hidden="false" customHeight="false" outlineLevel="0" collapsed="false">
      <c r="A1059" s="3" t="s">
        <v>1197</v>
      </c>
      <c r="B1059" s="3" t="s">
        <v>23</v>
      </c>
      <c r="C1059" s="3" t="s">
        <v>24</v>
      </c>
      <c r="D1059" s="3" t="n">
        <v>1</v>
      </c>
      <c r="E1059" s="6" t="n">
        <v>339.99</v>
      </c>
      <c r="F1059" s="6" t="n">
        <v>415</v>
      </c>
      <c r="G1059" s="7" t="n">
        <f aca="false">F1059-E1059</f>
        <v>75.01</v>
      </c>
      <c r="H1059" s="8" t="n">
        <f aca="false">IF(E1059=0,0,F1059/E1059-1)</f>
        <v>0.220624136004</v>
      </c>
      <c r="I1059" s="3" t="s">
        <v>27</v>
      </c>
    </row>
    <row r="1060" customFormat="false" ht="15" hidden="false" customHeight="false" outlineLevel="0" collapsed="false">
      <c r="A1060" s="3" t="s">
        <v>1198</v>
      </c>
      <c r="B1060" s="3" t="s">
        <v>23</v>
      </c>
      <c r="C1060" s="3" t="s">
        <v>24</v>
      </c>
      <c r="D1060" s="3" t="n">
        <v>1</v>
      </c>
      <c r="E1060" s="6" t="n">
        <v>19.99</v>
      </c>
      <c r="F1060" s="6" t="n">
        <v>24.5</v>
      </c>
      <c r="G1060" s="7" t="n">
        <f aca="false">F1060-E1060</f>
        <v>4.51</v>
      </c>
      <c r="H1060" s="8" t="n">
        <f aca="false">IF(E1060=0,0,F1060/E1060-1)</f>
        <v>0.225612806403202</v>
      </c>
      <c r="I1060" s="3" t="s">
        <v>27</v>
      </c>
    </row>
    <row r="1061" customFormat="false" ht="15" hidden="false" customHeight="false" outlineLevel="0" collapsed="false">
      <c r="A1061" s="3" t="s">
        <v>1199</v>
      </c>
      <c r="B1061" s="3" t="s">
        <v>23</v>
      </c>
      <c r="C1061" s="3" t="s">
        <v>24</v>
      </c>
      <c r="D1061" s="3" t="n">
        <v>1</v>
      </c>
      <c r="E1061" s="6" t="n">
        <v>19.99</v>
      </c>
      <c r="F1061" s="6" t="n">
        <v>24.5</v>
      </c>
      <c r="G1061" s="7" t="n">
        <f aca="false">F1061-E1061</f>
        <v>4.51</v>
      </c>
      <c r="H1061" s="8" t="n">
        <f aca="false">IF(E1061=0,0,F1061/E1061-1)</f>
        <v>0.225612806403202</v>
      </c>
      <c r="I1061" s="3" t="s">
        <v>27</v>
      </c>
    </row>
    <row r="1062" customFormat="false" ht="15" hidden="false" customHeight="false" outlineLevel="0" collapsed="false">
      <c r="A1062" s="3" t="s">
        <v>1200</v>
      </c>
      <c r="B1062" s="3" t="s">
        <v>23</v>
      </c>
      <c r="C1062" s="3" t="s">
        <v>24</v>
      </c>
      <c r="D1062" s="3" t="n">
        <v>1</v>
      </c>
      <c r="E1062" s="6" t="n">
        <v>99.99</v>
      </c>
      <c r="F1062" s="6" t="n">
        <v>122</v>
      </c>
      <c r="G1062" s="7" t="n">
        <f aca="false">F1062-E1062</f>
        <v>22.01</v>
      </c>
      <c r="H1062" s="8" t="n">
        <f aca="false">IF(E1062=0,0,F1062/E1062-1)</f>
        <v>0.22012201220122</v>
      </c>
      <c r="I1062" s="3" t="s">
        <v>27</v>
      </c>
    </row>
    <row r="1063" customFormat="false" ht="15" hidden="false" customHeight="false" outlineLevel="0" collapsed="false">
      <c r="A1063" s="3" t="s">
        <v>1201</v>
      </c>
      <c r="B1063" s="3" t="s">
        <v>23</v>
      </c>
      <c r="C1063" s="3" t="s">
        <v>24</v>
      </c>
      <c r="D1063" s="3" t="n">
        <v>1</v>
      </c>
      <c r="E1063" s="6" t="n">
        <v>99.99</v>
      </c>
      <c r="F1063" s="6" t="n">
        <v>122</v>
      </c>
      <c r="G1063" s="7" t="n">
        <f aca="false">F1063-E1063</f>
        <v>22.01</v>
      </c>
      <c r="H1063" s="8" t="n">
        <f aca="false">IF(E1063=0,0,F1063/E1063-1)</f>
        <v>0.22012201220122</v>
      </c>
      <c r="I1063" s="3" t="s">
        <v>27</v>
      </c>
    </row>
    <row r="1064" customFormat="false" ht="15" hidden="false" customHeight="false" outlineLevel="0" collapsed="false">
      <c r="A1064" s="3" t="s">
        <v>1202</v>
      </c>
      <c r="B1064" s="3" t="s">
        <v>23</v>
      </c>
      <c r="C1064" s="3" t="s">
        <v>24</v>
      </c>
      <c r="D1064" s="3" t="n">
        <v>1</v>
      </c>
      <c r="E1064" s="6" t="n">
        <v>159.99</v>
      </c>
      <c r="F1064" s="6" t="n">
        <v>196</v>
      </c>
      <c r="G1064" s="7" t="n">
        <f aca="false">F1064-E1064</f>
        <v>36.01</v>
      </c>
      <c r="H1064" s="8" t="n">
        <f aca="false">IF(E1064=0,0,F1064/E1064-1)</f>
        <v>0.225076567285455</v>
      </c>
      <c r="I1064" s="3" t="s">
        <v>27</v>
      </c>
    </row>
    <row r="1065" customFormat="false" ht="15" hidden="false" customHeight="false" outlineLevel="0" collapsed="false">
      <c r="A1065" s="3" t="s">
        <v>1203</v>
      </c>
      <c r="B1065" s="3" t="s">
        <v>23</v>
      </c>
      <c r="C1065" s="3" t="s">
        <v>24</v>
      </c>
      <c r="D1065" s="3" t="n">
        <v>1</v>
      </c>
      <c r="E1065" s="6" t="n">
        <v>159.99</v>
      </c>
      <c r="F1065" s="6" t="n">
        <v>196</v>
      </c>
      <c r="G1065" s="7" t="n">
        <f aca="false">F1065-E1065</f>
        <v>36.01</v>
      </c>
      <c r="H1065" s="8" t="n">
        <f aca="false">IF(E1065=0,0,F1065/E1065-1)</f>
        <v>0.225076567285455</v>
      </c>
      <c r="I1065" s="3" t="s">
        <v>27</v>
      </c>
    </row>
    <row r="1066" customFormat="false" ht="15" hidden="false" customHeight="false" outlineLevel="0" collapsed="false">
      <c r="A1066" s="3" t="s">
        <v>1204</v>
      </c>
      <c r="B1066" s="3" t="s">
        <v>23</v>
      </c>
      <c r="C1066" s="3" t="s">
        <v>179</v>
      </c>
      <c r="D1066" s="3" t="s">
        <v>112</v>
      </c>
      <c r="E1066" s="6" t="n">
        <v>1250</v>
      </c>
      <c r="F1066" s="6" t="n">
        <v>969</v>
      </c>
      <c r="G1066" s="7" t="n">
        <f aca="false">F1066-E1066</f>
        <v>-281</v>
      </c>
      <c r="H1066" s="8" t="n">
        <f aca="false">IF(E1066=0,0,F1066/E1066-1)</f>
        <v>-0.2248</v>
      </c>
      <c r="I1066" s="3" t="s">
        <v>113</v>
      </c>
    </row>
    <row r="1067" customFormat="false" ht="15" hidden="false" customHeight="false" outlineLevel="0" collapsed="false">
      <c r="A1067" s="3" t="s">
        <v>1205</v>
      </c>
      <c r="B1067" s="3" t="s">
        <v>23</v>
      </c>
      <c r="C1067" s="3" t="s">
        <v>24</v>
      </c>
      <c r="D1067" s="3" t="n">
        <v>1</v>
      </c>
      <c r="E1067" s="6" t="n">
        <v>349.99</v>
      </c>
      <c r="F1067" s="6" t="n">
        <v>427</v>
      </c>
      <c r="G1067" s="7" t="n">
        <f aca="false">F1067-E1067</f>
        <v>77.01</v>
      </c>
      <c r="H1067" s="8" t="n">
        <f aca="false">IF(E1067=0,0,F1067/E1067-1)</f>
        <v>0.220034858138804</v>
      </c>
      <c r="I1067" s="3" t="s">
        <v>27</v>
      </c>
    </row>
    <row r="1068" customFormat="false" ht="15" hidden="false" customHeight="false" outlineLevel="0" collapsed="false">
      <c r="A1068" s="3" t="s">
        <v>1206</v>
      </c>
      <c r="B1068" s="3" t="s">
        <v>23</v>
      </c>
      <c r="C1068" s="3" t="s">
        <v>24</v>
      </c>
      <c r="D1068" s="3" t="n">
        <v>1</v>
      </c>
      <c r="E1068" s="6" t="n">
        <v>499.99</v>
      </c>
      <c r="F1068" s="6" t="n">
        <v>610</v>
      </c>
      <c r="G1068" s="7" t="n">
        <f aca="false">F1068-E1068</f>
        <v>110.01</v>
      </c>
      <c r="H1068" s="8" t="n">
        <f aca="false">IF(E1068=0,0,F1068/E1068-1)</f>
        <v>0.22002440048801</v>
      </c>
      <c r="I1068" s="3" t="s">
        <v>27</v>
      </c>
    </row>
    <row r="1069" customFormat="false" ht="15" hidden="false" customHeight="false" outlineLevel="0" collapsed="false">
      <c r="A1069" s="3" t="s">
        <v>1207</v>
      </c>
      <c r="B1069" s="3" t="s">
        <v>23</v>
      </c>
      <c r="C1069" s="3" t="s">
        <v>24</v>
      </c>
      <c r="D1069" s="3" t="n">
        <v>1</v>
      </c>
      <c r="E1069" s="6" t="n">
        <v>259.99</v>
      </c>
      <c r="F1069" s="6" t="n">
        <v>318</v>
      </c>
      <c r="G1069" s="7" t="n">
        <f aca="false">F1069-E1069</f>
        <v>58.01</v>
      </c>
      <c r="H1069" s="8" t="n">
        <f aca="false">IF(E1069=0,0,F1069/E1069-1)</f>
        <v>0.223123966306396</v>
      </c>
      <c r="I1069" s="3" t="s">
        <v>27</v>
      </c>
    </row>
    <row r="1070" customFormat="false" ht="15" hidden="false" customHeight="false" outlineLevel="0" collapsed="false">
      <c r="A1070" s="3" t="s">
        <v>1208</v>
      </c>
      <c r="B1070" s="3" t="s">
        <v>23</v>
      </c>
      <c r="C1070" s="3" t="s">
        <v>24</v>
      </c>
      <c r="D1070" s="3" t="n">
        <v>1</v>
      </c>
      <c r="E1070" s="6" t="n">
        <v>85.41</v>
      </c>
      <c r="F1070" s="6" t="n">
        <v>105</v>
      </c>
      <c r="G1070" s="7" t="n">
        <f aca="false">F1070-E1070</f>
        <v>19.59</v>
      </c>
      <c r="H1070" s="8" t="n">
        <f aca="false">IF(E1070=0,0,F1070/E1070-1)</f>
        <v>0.229364243062873</v>
      </c>
      <c r="I1070" s="3" t="s">
        <v>333</v>
      </c>
    </row>
    <row r="1071" customFormat="false" ht="15" hidden="false" customHeight="false" outlineLevel="0" collapsed="false">
      <c r="A1071" s="3" t="s">
        <v>1209</v>
      </c>
      <c r="B1071" s="3" t="s">
        <v>23</v>
      </c>
      <c r="C1071" s="3" t="s">
        <v>24</v>
      </c>
      <c r="D1071" s="3" t="n">
        <v>1</v>
      </c>
      <c r="E1071" s="6" t="n">
        <v>85.41</v>
      </c>
      <c r="F1071" s="6" t="n">
        <v>105</v>
      </c>
      <c r="G1071" s="7" t="n">
        <f aca="false">F1071-E1071</f>
        <v>19.59</v>
      </c>
      <c r="H1071" s="8" t="n">
        <f aca="false">IF(E1071=0,0,F1071/E1071-1)</f>
        <v>0.229364243062873</v>
      </c>
      <c r="I1071" s="3" t="s">
        <v>333</v>
      </c>
    </row>
    <row r="1072" customFormat="false" ht="15" hidden="false" customHeight="false" outlineLevel="0" collapsed="false">
      <c r="A1072" s="3" t="s">
        <v>1210</v>
      </c>
      <c r="B1072" s="3" t="s">
        <v>23</v>
      </c>
      <c r="C1072" s="3" t="s">
        <v>24</v>
      </c>
      <c r="D1072" s="3" t="n">
        <v>1</v>
      </c>
      <c r="E1072" s="6" t="n">
        <v>105.74</v>
      </c>
      <c r="F1072" s="6" t="n">
        <v>129</v>
      </c>
      <c r="G1072" s="7" t="n">
        <f aca="false">F1072-E1072</f>
        <v>23.26</v>
      </c>
      <c r="H1072" s="8" t="n">
        <f aca="false">IF(E1072=0,0,F1072/E1072-1)</f>
        <v>0.219973519954606</v>
      </c>
      <c r="I1072" s="3" t="s">
        <v>27</v>
      </c>
    </row>
    <row r="1073" customFormat="false" ht="15" hidden="false" customHeight="false" outlineLevel="0" collapsed="false">
      <c r="A1073" s="3" t="s">
        <v>1211</v>
      </c>
      <c r="B1073" s="3" t="s">
        <v>23</v>
      </c>
      <c r="C1073" s="3" t="s">
        <v>24</v>
      </c>
      <c r="D1073" s="3" t="n">
        <v>1</v>
      </c>
      <c r="E1073" s="6" t="n">
        <v>149.99</v>
      </c>
      <c r="F1073" s="6" t="n">
        <v>183</v>
      </c>
      <c r="G1073" s="7" t="n">
        <f aca="false">F1073-E1073</f>
        <v>33.01</v>
      </c>
      <c r="H1073" s="8" t="n">
        <f aca="false">IF(E1073=0,0,F1073/E1073-1)</f>
        <v>0.220081338755917</v>
      </c>
      <c r="I1073" s="3" t="s">
        <v>27</v>
      </c>
    </row>
    <row r="1074" customFormat="false" ht="15" hidden="false" customHeight="false" outlineLevel="0" collapsed="false">
      <c r="A1074" s="3" t="s">
        <v>1212</v>
      </c>
      <c r="B1074" s="3" t="s">
        <v>23</v>
      </c>
      <c r="C1074" s="3" t="s">
        <v>24</v>
      </c>
      <c r="D1074" s="3" t="n">
        <v>1</v>
      </c>
      <c r="E1074" s="6" t="n">
        <v>99.99</v>
      </c>
      <c r="F1074" s="6" t="n">
        <v>122</v>
      </c>
      <c r="G1074" s="7" t="n">
        <f aca="false">F1074-E1074</f>
        <v>22.01</v>
      </c>
      <c r="H1074" s="8" t="n">
        <f aca="false">IF(E1074=0,0,F1074/E1074-1)</f>
        <v>0.22012201220122</v>
      </c>
      <c r="I1074" s="3" t="s">
        <v>27</v>
      </c>
    </row>
    <row r="1075" customFormat="false" ht="15" hidden="false" customHeight="false" outlineLevel="0" collapsed="false">
      <c r="A1075" s="3" t="s">
        <v>1213</v>
      </c>
      <c r="B1075" s="3" t="s">
        <v>23</v>
      </c>
      <c r="C1075" s="3" t="s">
        <v>24</v>
      </c>
      <c r="D1075" s="3" t="n">
        <v>1</v>
      </c>
      <c r="E1075" s="6" t="n">
        <v>179.99</v>
      </c>
      <c r="F1075" s="6" t="n">
        <v>220</v>
      </c>
      <c r="G1075" s="7" t="n">
        <f aca="false">F1075-E1075</f>
        <v>40.01</v>
      </c>
      <c r="H1075" s="8" t="n">
        <f aca="false">IF(E1075=0,0,F1075/E1075-1)</f>
        <v>0.222290127229291</v>
      </c>
      <c r="I1075" s="3" t="s">
        <v>27</v>
      </c>
    </row>
    <row r="1076" customFormat="false" ht="15" hidden="false" customHeight="false" outlineLevel="0" collapsed="false">
      <c r="A1076" s="3" t="s">
        <v>1214</v>
      </c>
      <c r="B1076" s="3" t="s">
        <v>23</v>
      </c>
      <c r="C1076" s="3" t="s">
        <v>24</v>
      </c>
      <c r="D1076" s="3" t="n">
        <v>1</v>
      </c>
      <c r="E1076" s="6" t="n">
        <v>2500</v>
      </c>
      <c r="F1076" s="6" t="n">
        <v>3050</v>
      </c>
      <c r="G1076" s="7" t="n">
        <f aca="false">F1076-E1076</f>
        <v>550</v>
      </c>
      <c r="H1076" s="8" t="n">
        <f aca="false">IF(E1076=0,0,F1076/E1076-1)</f>
        <v>0.22</v>
      </c>
      <c r="I1076" s="3" t="s">
        <v>27</v>
      </c>
    </row>
    <row r="1077" customFormat="false" ht="15" hidden="false" customHeight="false" outlineLevel="0" collapsed="false">
      <c r="A1077" s="3" t="s">
        <v>1215</v>
      </c>
      <c r="B1077" s="3" t="s">
        <v>23</v>
      </c>
      <c r="C1077" s="3" t="s">
        <v>24</v>
      </c>
      <c r="D1077" s="3" t="n">
        <v>1</v>
      </c>
      <c r="E1077" s="6" t="n">
        <v>151.99</v>
      </c>
      <c r="F1077" s="6" t="n">
        <v>186</v>
      </c>
      <c r="G1077" s="7" t="n">
        <f aca="false">F1077-E1077</f>
        <v>34.01</v>
      </c>
      <c r="H1077" s="8" t="n">
        <f aca="false">IF(E1077=0,0,F1077/E1077-1)</f>
        <v>0.223764721363247</v>
      </c>
      <c r="I1077" s="3" t="s">
        <v>27</v>
      </c>
    </row>
    <row r="1078" customFormat="false" ht="15" hidden="false" customHeight="false" outlineLevel="0" collapsed="false">
      <c r="A1078" s="3" t="s">
        <v>1216</v>
      </c>
      <c r="B1078" s="3" t="s">
        <v>23</v>
      </c>
      <c r="C1078" s="3" t="s">
        <v>24</v>
      </c>
      <c r="D1078" s="3" t="n">
        <v>1</v>
      </c>
      <c r="E1078" s="6" t="n">
        <v>84.99</v>
      </c>
      <c r="F1078" s="6" t="n">
        <v>104</v>
      </c>
      <c r="G1078" s="7" t="n">
        <f aca="false">F1078-E1078</f>
        <v>19.01</v>
      </c>
      <c r="H1078" s="8" t="n">
        <f aca="false">IF(E1078=0,0,F1078/E1078-1)</f>
        <v>0.22367337333804</v>
      </c>
      <c r="I1078" s="3" t="s">
        <v>27</v>
      </c>
    </row>
    <row r="1079" customFormat="false" ht="15" hidden="false" customHeight="false" outlineLevel="0" collapsed="false">
      <c r="A1079" s="3" t="s">
        <v>1217</v>
      </c>
      <c r="B1079" s="3" t="s">
        <v>23</v>
      </c>
      <c r="C1079" s="3" t="s">
        <v>24</v>
      </c>
      <c r="D1079" s="3" t="n">
        <v>1</v>
      </c>
      <c r="E1079" s="6" t="n">
        <v>120</v>
      </c>
      <c r="F1079" s="6" t="n">
        <v>147</v>
      </c>
      <c r="G1079" s="7" t="n">
        <f aca="false">F1079-E1079</f>
        <v>27</v>
      </c>
      <c r="H1079" s="8" t="n">
        <f aca="false">IF(E1079=0,0,F1079/E1079-1)</f>
        <v>0.225</v>
      </c>
      <c r="I1079" s="3" t="s">
        <v>27</v>
      </c>
    </row>
    <row r="1080" customFormat="false" ht="15" hidden="false" customHeight="false" outlineLevel="0" collapsed="false">
      <c r="A1080" s="3" t="s">
        <v>1218</v>
      </c>
      <c r="B1080" s="3" t="s">
        <v>23</v>
      </c>
      <c r="C1080" s="3" t="s">
        <v>24</v>
      </c>
      <c r="D1080" s="3" t="n">
        <v>1</v>
      </c>
      <c r="E1080" s="6" t="n">
        <v>699.99</v>
      </c>
      <c r="F1080" s="6" t="n">
        <v>854</v>
      </c>
      <c r="G1080" s="7" t="n">
        <f aca="false">F1080-E1080</f>
        <v>154.01</v>
      </c>
      <c r="H1080" s="8" t="n">
        <f aca="false">IF(E1080=0,0,F1080/E1080-1)</f>
        <v>0.220017428820412</v>
      </c>
      <c r="I1080" s="3" t="s">
        <v>27</v>
      </c>
    </row>
    <row r="1081" customFormat="false" ht="15" hidden="false" customHeight="false" outlineLevel="0" collapsed="false">
      <c r="A1081" s="3" t="s">
        <v>1219</v>
      </c>
      <c r="B1081" s="3" t="s">
        <v>23</v>
      </c>
      <c r="C1081" s="3" t="s">
        <v>24</v>
      </c>
      <c r="D1081" s="3" t="n">
        <v>1</v>
      </c>
      <c r="E1081" s="6" t="n">
        <v>39.99</v>
      </c>
      <c r="F1081" s="6" t="n">
        <v>49</v>
      </c>
      <c r="G1081" s="7" t="n">
        <f aca="false">F1081-E1081</f>
        <v>9.01</v>
      </c>
      <c r="H1081" s="8" t="n">
        <f aca="false">IF(E1081=0,0,F1081/E1081-1)</f>
        <v>0.225306326581645</v>
      </c>
      <c r="I1081" s="3" t="s">
        <v>27</v>
      </c>
    </row>
    <row r="1082" customFormat="false" ht="15" hidden="false" customHeight="false" outlineLevel="0" collapsed="false">
      <c r="A1082" s="3" t="s">
        <v>1220</v>
      </c>
      <c r="B1082" s="3" t="s">
        <v>23</v>
      </c>
      <c r="C1082" s="3" t="s">
        <v>24</v>
      </c>
      <c r="D1082" s="3" t="n">
        <v>1</v>
      </c>
      <c r="E1082" s="6" t="n">
        <v>649.99</v>
      </c>
      <c r="F1082" s="6" t="n">
        <v>793</v>
      </c>
      <c r="G1082" s="7" t="n">
        <f aca="false">F1082-E1082</f>
        <v>143.01</v>
      </c>
      <c r="H1082" s="8" t="n">
        <f aca="false">IF(E1082=0,0,F1082/E1082-1)</f>
        <v>0.220018769519531</v>
      </c>
      <c r="I1082" s="3" t="s">
        <v>27</v>
      </c>
    </row>
    <row r="1083" customFormat="false" ht="15" hidden="false" customHeight="false" outlineLevel="0" collapsed="false">
      <c r="A1083" s="3" t="s">
        <v>1221</v>
      </c>
      <c r="B1083" s="3" t="s">
        <v>23</v>
      </c>
      <c r="C1083" s="3" t="s">
        <v>24</v>
      </c>
      <c r="D1083" s="3" t="n">
        <v>5</v>
      </c>
      <c r="E1083" s="6" t="n">
        <v>1150</v>
      </c>
      <c r="F1083" s="6" t="n">
        <v>1175</v>
      </c>
      <c r="G1083" s="7" t="n">
        <f aca="false">F1083-E1083</f>
        <v>25</v>
      </c>
      <c r="H1083" s="8" t="n">
        <f aca="false">IF(E1083=0,0,F1083/E1083-1)</f>
        <v>0.0217391304347827</v>
      </c>
      <c r="I1083" s="3" t="s">
        <v>368</v>
      </c>
    </row>
    <row r="1084" customFormat="false" ht="15" hidden="false" customHeight="false" outlineLevel="0" collapsed="false">
      <c r="A1084" s="3" t="s">
        <v>1222</v>
      </c>
      <c r="B1084" s="3" t="s">
        <v>23</v>
      </c>
      <c r="C1084" s="3" t="s">
        <v>179</v>
      </c>
      <c r="D1084" s="3" t="n">
        <v>1</v>
      </c>
      <c r="E1084" s="6" t="n">
        <v>865</v>
      </c>
      <c r="F1084" s="6" t="n">
        <v>1060</v>
      </c>
      <c r="G1084" s="7" t="n">
        <f aca="false">F1084-E1084</f>
        <v>195</v>
      </c>
      <c r="H1084" s="8" t="n">
        <f aca="false">IF(E1084=0,0,F1084/E1084-1)</f>
        <v>0.225433526011561</v>
      </c>
      <c r="I1084" s="3" t="s">
        <v>1223</v>
      </c>
    </row>
    <row r="1085" customFormat="false" ht="15" hidden="false" customHeight="false" outlineLevel="0" collapsed="false">
      <c r="A1085" s="3" t="s">
        <v>1224</v>
      </c>
      <c r="B1085" s="3" t="s">
        <v>23</v>
      </c>
      <c r="C1085" s="3" t="s">
        <v>179</v>
      </c>
      <c r="D1085" s="3" t="n">
        <v>1</v>
      </c>
      <c r="E1085" s="6" t="n">
        <v>1020</v>
      </c>
      <c r="F1085" s="6" t="n">
        <v>1245</v>
      </c>
      <c r="G1085" s="7" t="n">
        <f aca="false">F1085-E1085</f>
        <v>225</v>
      </c>
      <c r="H1085" s="8" t="n">
        <f aca="false">IF(E1085=0,0,F1085/E1085-1)</f>
        <v>0.220588235294118</v>
      </c>
      <c r="I1085" s="3" t="s">
        <v>1225</v>
      </c>
    </row>
    <row r="1086" customFormat="false" ht="15" hidden="false" customHeight="false" outlineLevel="0" collapsed="false">
      <c r="A1086" s="3" t="s">
        <v>1226</v>
      </c>
      <c r="B1086" s="3" t="s">
        <v>23</v>
      </c>
      <c r="C1086" s="3" t="s">
        <v>24</v>
      </c>
      <c r="D1086" s="3" t="n">
        <v>1</v>
      </c>
      <c r="E1086" s="6" t="n">
        <v>149.99</v>
      </c>
      <c r="F1086" s="6" t="n">
        <v>183</v>
      </c>
      <c r="G1086" s="7" t="n">
        <f aca="false">F1086-E1086</f>
        <v>33.01</v>
      </c>
      <c r="H1086" s="8" t="n">
        <f aca="false">IF(E1086=0,0,F1086/E1086-1)</f>
        <v>0.220081338755917</v>
      </c>
      <c r="I1086" s="3" t="s">
        <v>27</v>
      </c>
    </row>
    <row r="1087" customFormat="false" ht="15" hidden="false" customHeight="false" outlineLevel="0" collapsed="false">
      <c r="A1087" s="3" t="s">
        <v>1227</v>
      </c>
      <c r="B1087" s="3" t="s">
        <v>23</v>
      </c>
      <c r="C1087" s="3" t="s">
        <v>24</v>
      </c>
      <c r="D1087" s="3" t="n">
        <v>1</v>
      </c>
      <c r="E1087" s="6" t="n">
        <v>179.99</v>
      </c>
      <c r="F1087" s="6" t="n">
        <v>220</v>
      </c>
      <c r="G1087" s="7" t="n">
        <f aca="false">F1087-E1087</f>
        <v>40.01</v>
      </c>
      <c r="H1087" s="8" t="n">
        <f aca="false">IF(E1087=0,0,F1087/E1087-1)</f>
        <v>0.222290127229291</v>
      </c>
      <c r="I1087" s="3" t="s">
        <v>27</v>
      </c>
    </row>
    <row r="1088" customFormat="false" ht="15" hidden="false" customHeight="false" outlineLevel="0" collapsed="false">
      <c r="A1088" s="3" t="s">
        <v>1228</v>
      </c>
      <c r="B1088" s="3" t="s">
        <v>23</v>
      </c>
      <c r="C1088" s="3" t="s">
        <v>24</v>
      </c>
      <c r="D1088" s="3" t="n">
        <v>1</v>
      </c>
      <c r="E1088" s="6" t="n">
        <v>110</v>
      </c>
      <c r="F1088" s="6" t="n">
        <v>135</v>
      </c>
      <c r="G1088" s="7" t="n">
        <f aca="false">F1088-E1088</f>
        <v>25</v>
      </c>
      <c r="H1088" s="8" t="n">
        <f aca="false">IF(E1088=0,0,F1088/E1088-1)</f>
        <v>0.227272727272727</v>
      </c>
      <c r="I1088" s="3" t="s">
        <v>27</v>
      </c>
    </row>
    <row r="1089" customFormat="false" ht="15" hidden="false" customHeight="false" outlineLevel="0" collapsed="false">
      <c r="A1089" s="3" t="s">
        <v>1229</v>
      </c>
      <c r="B1089" s="3" t="s">
        <v>23</v>
      </c>
      <c r="C1089" s="3" t="s">
        <v>24</v>
      </c>
      <c r="D1089" s="3" t="n">
        <v>1</v>
      </c>
      <c r="E1089" s="6" t="n">
        <v>2200</v>
      </c>
      <c r="F1089" s="6" t="n">
        <v>2685</v>
      </c>
      <c r="G1089" s="7" t="n">
        <f aca="false">F1089-E1089</f>
        <v>485</v>
      </c>
      <c r="H1089" s="8" t="n">
        <f aca="false">IF(E1089=0,0,F1089/E1089-1)</f>
        <v>0.220454545454545</v>
      </c>
      <c r="I1089" s="3" t="s">
        <v>27</v>
      </c>
    </row>
    <row r="1090" customFormat="false" ht="15" hidden="false" customHeight="false" outlineLevel="0" collapsed="false">
      <c r="A1090" s="3" t="s">
        <v>1230</v>
      </c>
      <c r="B1090" s="3" t="s">
        <v>23</v>
      </c>
      <c r="C1090" s="3" t="s">
        <v>24</v>
      </c>
      <c r="D1090" s="3" t="n">
        <v>1</v>
      </c>
      <c r="E1090" s="6" t="n">
        <v>219.99</v>
      </c>
      <c r="F1090" s="6" t="n">
        <v>269</v>
      </c>
      <c r="G1090" s="7" t="n">
        <f aca="false">F1090-E1090</f>
        <v>49.01</v>
      </c>
      <c r="H1090" s="8" t="n">
        <f aca="false">IF(E1090=0,0,F1090/E1090-1)</f>
        <v>0.22278285376608</v>
      </c>
      <c r="I1090" s="3" t="s">
        <v>27</v>
      </c>
    </row>
    <row r="1091" customFormat="false" ht="15" hidden="false" customHeight="false" outlineLevel="0" collapsed="false">
      <c r="A1091" s="3" t="s">
        <v>1231</v>
      </c>
      <c r="B1091" s="3" t="s">
        <v>23</v>
      </c>
      <c r="C1091" s="3" t="s">
        <v>24</v>
      </c>
      <c r="D1091" s="3" t="n">
        <v>1</v>
      </c>
      <c r="E1091" s="6" t="n">
        <v>219.99</v>
      </c>
      <c r="F1091" s="6" t="n">
        <v>269</v>
      </c>
      <c r="G1091" s="7" t="n">
        <f aca="false">F1091-E1091</f>
        <v>49.01</v>
      </c>
      <c r="H1091" s="8" t="n">
        <f aca="false">IF(E1091=0,0,F1091/E1091-1)</f>
        <v>0.22278285376608</v>
      </c>
      <c r="I1091" s="3" t="s">
        <v>27</v>
      </c>
    </row>
    <row r="1092" customFormat="false" ht="15" hidden="false" customHeight="false" outlineLevel="0" collapsed="false">
      <c r="A1092" s="3" t="s">
        <v>1232</v>
      </c>
      <c r="B1092" s="3" t="s">
        <v>23</v>
      </c>
      <c r="C1092" s="3" t="s">
        <v>24</v>
      </c>
      <c r="D1092" s="3" t="n">
        <v>1</v>
      </c>
      <c r="E1092" s="6" t="n">
        <v>219.99</v>
      </c>
      <c r="F1092" s="6" t="n">
        <v>269</v>
      </c>
      <c r="G1092" s="7" t="n">
        <f aca="false">F1092-E1092</f>
        <v>49.01</v>
      </c>
      <c r="H1092" s="8" t="n">
        <f aca="false">IF(E1092=0,0,F1092/E1092-1)</f>
        <v>0.22278285376608</v>
      </c>
      <c r="I1092" s="3" t="s">
        <v>27</v>
      </c>
    </row>
    <row r="1093" customFormat="false" ht="15" hidden="false" customHeight="false" outlineLevel="0" collapsed="false">
      <c r="A1093" s="3" t="s">
        <v>1233</v>
      </c>
      <c r="B1093" s="3" t="s">
        <v>23</v>
      </c>
      <c r="C1093" s="3" t="s">
        <v>24</v>
      </c>
      <c r="D1093" s="3" t="n">
        <v>2</v>
      </c>
      <c r="E1093" s="6" t="n">
        <v>2500</v>
      </c>
      <c r="F1093" s="6" t="n">
        <v>2950</v>
      </c>
      <c r="G1093" s="7" t="n">
        <f aca="false">F1093-E1093</f>
        <v>450</v>
      </c>
      <c r="H1093" s="8" t="n">
        <f aca="false">IF(E1093=0,0,F1093/E1093-1)</f>
        <v>0.18</v>
      </c>
      <c r="I1093" s="3" t="s">
        <v>305</v>
      </c>
    </row>
    <row r="1094" customFormat="false" ht="15" hidden="false" customHeight="false" outlineLevel="0" collapsed="false">
      <c r="A1094" s="3" t="s">
        <v>1234</v>
      </c>
      <c r="B1094" s="3" t="s">
        <v>23</v>
      </c>
      <c r="C1094" s="3" t="s">
        <v>179</v>
      </c>
      <c r="D1094" s="3" t="n">
        <v>1</v>
      </c>
      <c r="E1094" s="6" t="n">
        <v>1020</v>
      </c>
      <c r="F1094" s="6" t="n">
        <v>1245</v>
      </c>
      <c r="G1094" s="7" t="n">
        <f aca="false">F1094-E1094</f>
        <v>225</v>
      </c>
      <c r="H1094" s="8" t="n">
        <f aca="false">IF(E1094=0,0,F1094/E1094-1)</f>
        <v>0.220588235294118</v>
      </c>
      <c r="I1094" s="3" t="s">
        <v>1235</v>
      </c>
    </row>
    <row r="1095" customFormat="false" ht="15" hidden="false" customHeight="false" outlineLevel="0" collapsed="false">
      <c r="A1095" s="3" t="s">
        <v>1236</v>
      </c>
      <c r="B1095" s="3" t="s">
        <v>23</v>
      </c>
      <c r="C1095" s="3" t="s">
        <v>24</v>
      </c>
      <c r="D1095" s="3" t="n">
        <v>1</v>
      </c>
      <c r="E1095" s="6" t="n">
        <v>18</v>
      </c>
      <c r="F1095" s="6" t="n">
        <v>22</v>
      </c>
      <c r="G1095" s="7" t="n">
        <f aca="false">F1095-E1095</f>
        <v>4</v>
      </c>
      <c r="H1095" s="8" t="n">
        <f aca="false">IF(E1095=0,0,F1095/E1095-1)</f>
        <v>0.222222222222222</v>
      </c>
      <c r="I1095" s="3" t="s">
        <v>27</v>
      </c>
    </row>
    <row r="1096" customFormat="false" ht="15" hidden="false" customHeight="false" outlineLevel="0" collapsed="false">
      <c r="A1096" s="3" t="s">
        <v>1237</v>
      </c>
      <c r="B1096" s="3" t="s">
        <v>23</v>
      </c>
      <c r="C1096" s="3" t="s">
        <v>24</v>
      </c>
      <c r="D1096" s="3" t="n">
        <v>1</v>
      </c>
      <c r="E1096" s="6" t="n">
        <v>153.23</v>
      </c>
      <c r="F1096" s="6" t="n">
        <v>187</v>
      </c>
      <c r="G1096" s="7" t="n">
        <f aca="false">F1096-E1096</f>
        <v>33.77</v>
      </c>
      <c r="H1096" s="8" t="n">
        <f aca="false">IF(E1096=0,0,F1096/E1096-1)</f>
        <v>0.220387652548457</v>
      </c>
      <c r="I1096" s="3" t="s">
        <v>333</v>
      </c>
    </row>
    <row r="1097" customFormat="false" ht="15" hidden="false" customHeight="false" outlineLevel="0" collapsed="false">
      <c r="A1097" s="3" t="s">
        <v>1238</v>
      </c>
      <c r="B1097" s="3" t="s">
        <v>23</v>
      </c>
      <c r="C1097" s="3" t="s">
        <v>24</v>
      </c>
      <c r="D1097" s="3" t="n">
        <v>1</v>
      </c>
      <c r="E1097" s="6" t="n">
        <v>79.99</v>
      </c>
      <c r="F1097" s="6" t="n">
        <v>98</v>
      </c>
      <c r="G1097" s="7" t="n">
        <f aca="false">F1097-E1097</f>
        <v>18.01</v>
      </c>
      <c r="H1097" s="8" t="n">
        <f aca="false">IF(E1097=0,0,F1097/E1097-1)</f>
        <v>0.225153144143018</v>
      </c>
      <c r="I1097" s="3" t="s">
        <v>27</v>
      </c>
    </row>
    <row r="1098" customFormat="false" ht="15" hidden="false" customHeight="false" outlineLevel="0" collapsed="false">
      <c r="A1098" s="3" t="s">
        <v>1239</v>
      </c>
      <c r="B1098" s="3" t="s">
        <v>23</v>
      </c>
      <c r="C1098" s="3" t="s">
        <v>24</v>
      </c>
      <c r="D1098" s="3" t="n">
        <v>1</v>
      </c>
      <c r="E1098" s="6" t="n">
        <v>99.99</v>
      </c>
      <c r="F1098" s="6" t="n">
        <v>122</v>
      </c>
      <c r="G1098" s="7" t="n">
        <f aca="false">F1098-E1098</f>
        <v>22.01</v>
      </c>
      <c r="H1098" s="8" t="n">
        <f aca="false">IF(E1098=0,0,F1098/E1098-1)</f>
        <v>0.22012201220122</v>
      </c>
      <c r="I1098" s="3" t="s">
        <v>671</v>
      </c>
    </row>
    <row r="1099" customFormat="false" ht="15" hidden="false" customHeight="false" outlineLevel="0" collapsed="false">
      <c r="A1099" s="3" t="s">
        <v>1240</v>
      </c>
      <c r="B1099" s="3" t="s">
        <v>23</v>
      </c>
      <c r="C1099" s="3" t="s">
        <v>24</v>
      </c>
      <c r="D1099" s="3" t="n">
        <v>1</v>
      </c>
      <c r="E1099" s="6" t="n">
        <v>349.99</v>
      </c>
      <c r="F1099" s="6" t="n">
        <v>427</v>
      </c>
      <c r="G1099" s="7" t="n">
        <f aca="false">F1099-E1099</f>
        <v>77.01</v>
      </c>
      <c r="H1099" s="8" t="n">
        <f aca="false">IF(E1099=0,0,F1099/E1099-1)</f>
        <v>0.220034858138804</v>
      </c>
      <c r="I1099" s="3" t="s">
        <v>27</v>
      </c>
    </row>
    <row r="1100" customFormat="false" ht="15" hidden="false" customHeight="false" outlineLevel="0" collapsed="false">
      <c r="A1100" s="3" t="s">
        <v>1241</v>
      </c>
      <c r="B1100" s="3" t="s">
        <v>23</v>
      </c>
      <c r="C1100" s="3" t="s">
        <v>24</v>
      </c>
      <c r="D1100" s="3" t="n">
        <v>1</v>
      </c>
      <c r="E1100" s="6" t="n">
        <v>174.99</v>
      </c>
      <c r="F1100" s="6" t="n">
        <v>214</v>
      </c>
      <c r="G1100" s="7" t="n">
        <f aca="false">F1100-E1100</f>
        <v>39.01</v>
      </c>
      <c r="H1100" s="8" t="n">
        <f aca="false">IF(E1100=0,0,F1100/E1100-1)</f>
        <v>0.222927024401394</v>
      </c>
      <c r="I1100" s="3" t="s">
        <v>27</v>
      </c>
    </row>
    <row r="1101" customFormat="false" ht="15" hidden="false" customHeight="false" outlineLevel="0" collapsed="false">
      <c r="A1101" s="3" t="s">
        <v>1242</v>
      </c>
      <c r="B1101" s="3" t="s">
        <v>23</v>
      </c>
      <c r="C1101" s="3" t="s">
        <v>24</v>
      </c>
      <c r="D1101" s="3" t="n">
        <v>1</v>
      </c>
      <c r="E1101" s="6" t="n">
        <v>19</v>
      </c>
      <c r="F1101" s="6" t="n">
        <v>23.5</v>
      </c>
      <c r="G1101" s="7" t="n">
        <f aca="false">F1101-E1101</f>
        <v>4.5</v>
      </c>
      <c r="H1101" s="8" t="n">
        <f aca="false">IF(E1101=0,0,F1101/E1101-1)</f>
        <v>0.236842105263158</v>
      </c>
      <c r="I1101" s="3" t="s">
        <v>27</v>
      </c>
    </row>
    <row r="1102" customFormat="false" ht="15" hidden="false" customHeight="false" outlineLevel="0" collapsed="false">
      <c r="A1102" s="3" t="s">
        <v>1243</v>
      </c>
      <c r="B1102" s="3" t="s">
        <v>23</v>
      </c>
      <c r="C1102" s="3" t="s">
        <v>24</v>
      </c>
      <c r="D1102" s="3" t="n">
        <v>1</v>
      </c>
      <c r="E1102" s="6" t="n">
        <v>99.99</v>
      </c>
      <c r="F1102" s="6" t="n">
        <v>122</v>
      </c>
      <c r="G1102" s="7" t="n">
        <f aca="false">F1102-E1102</f>
        <v>22.01</v>
      </c>
      <c r="H1102" s="8" t="n">
        <f aca="false">IF(E1102=0,0,F1102/E1102-1)</f>
        <v>0.22012201220122</v>
      </c>
      <c r="I1102" s="3" t="s">
        <v>27</v>
      </c>
    </row>
    <row r="1103" customFormat="false" ht="15" hidden="false" customHeight="false" outlineLevel="0" collapsed="false">
      <c r="A1103" s="3" t="s">
        <v>1244</v>
      </c>
      <c r="B1103" s="3" t="s">
        <v>23</v>
      </c>
      <c r="C1103" s="3" t="s">
        <v>24</v>
      </c>
      <c r="D1103" s="3" t="n">
        <v>1</v>
      </c>
      <c r="E1103" s="6" t="n">
        <v>99.99</v>
      </c>
      <c r="F1103" s="6" t="n">
        <v>122</v>
      </c>
      <c r="G1103" s="7" t="n">
        <f aca="false">F1103-E1103</f>
        <v>22.01</v>
      </c>
      <c r="H1103" s="8" t="n">
        <f aca="false">IF(E1103=0,0,F1103/E1103-1)</f>
        <v>0.22012201220122</v>
      </c>
      <c r="I1103" s="3" t="s">
        <v>27</v>
      </c>
    </row>
    <row r="1104" customFormat="false" ht="15" hidden="false" customHeight="false" outlineLevel="0" collapsed="false">
      <c r="A1104" s="3" t="s">
        <v>1245</v>
      </c>
      <c r="B1104" s="3" t="s">
        <v>23</v>
      </c>
      <c r="C1104" s="3" t="s">
        <v>24</v>
      </c>
      <c r="D1104" s="3" t="n">
        <v>1</v>
      </c>
      <c r="E1104" s="6" t="n">
        <v>99.99</v>
      </c>
      <c r="F1104" s="6" t="n">
        <v>122</v>
      </c>
      <c r="G1104" s="7" t="n">
        <f aca="false">F1104-E1104</f>
        <v>22.01</v>
      </c>
      <c r="H1104" s="8" t="n">
        <f aca="false">IF(E1104=0,0,F1104/E1104-1)</f>
        <v>0.22012201220122</v>
      </c>
      <c r="I1104" s="3" t="s">
        <v>27</v>
      </c>
    </row>
    <row r="1105" customFormat="false" ht="15" hidden="false" customHeight="false" outlineLevel="0" collapsed="false">
      <c r="A1105" s="3" t="s">
        <v>1246</v>
      </c>
      <c r="B1105" s="3" t="s">
        <v>23</v>
      </c>
      <c r="C1105" s="3" t="s">
        <v>24</v>
      </c>
      <c r="D1105" s="3" t="n">
        <v>1</v>
      </c>
      <c r="E1105" s="6" t="n">
        <v>140.03</v>
      </c>
      <c r="F1105" s="6" t="n">
        <v>171</v>
      </c>
      <c r="G1105" s="7" t="n">
        <f aca="false">F1105-E1105</f>
        <v>30.97</v>
      </c>
      <c r="H1105" s="8" t="n">
        <f aca="false">IF(E1105=0,0,F1105/E1105-1)</f>
        <v>0.221166892808684</v>
      </c>
      <c r="I1105" s="3" t="s">
        <v>333</v>
      </c>
    </row>
    <row r="1106" customFormat="false" ht="15" hidden="false" customHeight="false" outlineLevel="0" collapsed="false">
      <c r="A1106" s="3" t="s">
        <v>1247</v>
      </c>
      <c r="B1106" s="3" t="s">
        <v>23</v>
      </c>
      <c r="C1106" s="3" t="s">
        <v>24</v>
      </c>
      <c r="D1106" s="3" t="n">
        <v>1</v>
      </c>
      <c r="E1106" s="6" t="n">
        <v>399.99</v>
      </c>
      <c r="F1106" s="6" t="n">
        <v>488</v>
      </c>
      <c r="G1106" s="7" t="n">
        <f aca="false">F1106-E1106</f>
        <v>88.01</v>
      </c>
      <c r="H1106" s="8" t="n">
        <f aca="false">IF(E1106=0,0,F1106/E1106-1)</f>
        <v>0.220030500762519</v>
      </c>
      <c r="I1106" s="3" t="s">
        <v>27</v>
      </c>
    </row>
    <row r="1107" customFormat="false" ht="15" hidden="false" customHeight="false" outlineLevel="0" collapsed="false">
      <c r="A1107" s="3" t="s">
        <v>1248</v>
      </c>
      <c r="B1107" s="3" t="s">
        <v>23</v>
      </c>
      <c r="C1107" s="3" t="s">
        <v>24</v>
      </c>
      <c r="D1107" s="3" t="n">
        <v>1</v>
      </c>
      <c r="E1107" s="6" t="n">
        <v>399.99</v>
      </c>
      <c r="F1107" s="6" t="n">
        <v>488</v>
      </c>
      <c r="G1107" s="7" t="n">
        <f aca="false">F1107-E1107</f>
        <v>88.01</v>
      </c>
      <c r="H1107" s="8" t="n">
        <f aca="false">IF(E1107=0,0,F1107/E1107-1)</f>
        <v>0.220030500762519</v>
      </c>
      <c r="I1107" s="3" t="s">
        <v>27</v>
      </c>
    </row>
    <row r="1108" customFormat="false" ht="15" hidden="false" customHeight="false" outlineLevel="0" collapsed="false">
      <c r="A1108" s="3" t="s">
        <v>1249</v>
      </c>
      <c r="B1108" s="3" t="s">
        <v>23</v>
      </c>
      <c r="C1108" s="3" t="s">
        <v>24</v>
      </c>
      <c r="D1108" s="3" t="n">
        <v>1</v>
      </c>
      <c r="E1108" s="6" t="n">
        <v>110</v>
      </c>
      <c r="F1108" s="6" t="n">
        <v>135</v>
      </c>
      <c r="G1108" s="7" t="n">
        <f aca="false">F1108-E1108</f>
        <v>25</v>
      </c>
      <c r="H1108" s="8" t="n">
        <f aca="false">IF(E1108=0,0,F1108/E1108-1)</f>
        <v>0.227272727272727</v>
      </c>
      <c r="I1108" s="3" t="s">
        <v>27</v>
      </c>
    </row>
    <row r="1109" customFormat="false" ht="15" hidden="false" customHeight="false" outlineLevel="0" collapsed="false">
      <c r="A1109" s="3" t="s">
        <v>1250</v>
      </c>
      <c r="B1109" s="3" t="s">
        <v>23</v>
      </c>
      <c r="C1109" s="3" t="s">
        <v>24</v>
      </c>
      <c r="D1109" s="3" t="n">
        <v>1</v>
      </c>
      <c r="E1109" s="6" t="n">
        <v>649.99</v>
      </c>
      <c r="F1109" s="6" t="n">
        <v>793</v>
      </c>
      <c r="G1109" s="7" t="n">
        <f aca="false">F1109-E1109</f>
        <v>143.01</v>
      </c>
      <c r="H1109" s="8" t="n">
        <f aca="false">IF(E1109=0,0,F1109/E1109-1)</f>
        <v>0.220018769519531</v>
      </c>
      <c r="I1109" s="3" t="s">
        <v>27</v>
      </c>
    </row>
    <row r="1110" customFormat="false" ht="15" hidden="false" customHeight="false" outlineLevel="0" collapsed="false">
      <c r="A1110" s="3" t="s">
        <v>1251</v>
      </c>
      <c r="B1110" s="3" t="s">
        <v>23</v>
      </c>
      <c r="C1110" s="3" t="s">
        <v>24</v>
      </c>
      <c r="D1110" s="3" t="n">
        <v>1</v>
      </c>
      <c r="E1110" s="6" t="n">
        <v>600</v>
      </c>
      <c r="F1110" s="6" t="n">
        <v>732</v>
      </c>
      <c r="G1110" s="7" t="n">
        <f aca="false">F1110-E1110</f>
        <v>132</v>
      </c>
      <c r="H1110" s="8" t="n">
        <f aca="false">IF(E1110=0,0,F1110/E1110-1)</f>
        <v>0.22</v>
      </c>
      <c r="I1110" s="3" t="s">
        <v>27</v>
      </c>
    </row>
    <row r="1111" customFormat="false" ht="15" hidden="false" customHeight="false" outlineLevel="0" collapsed="false">
      <c r="A1111" s="3" t="s">
        <v>1252</v>
      </c>
      <c r="B1111" s="3" t="s">
        <v>23</v>
      </c>
      <c r="C1111" s="3" t="s">
        <v>24</v>
      </c>
      <c r="D1111" s="3" t="n">
        <v>1</v>
      </c>
      <c r="E1111" s="6" t="n">
        <v>199.99</v>
      </c>
      <c r="F1111" s="6" t="n">
        <v>244</v>
      </c>
      <c r="G1111" s="7" t="n">
        <f aca="false">F1111-E1111</f>
        <v>44.01</v>
      </c>
      <c r="H1111" s="8" t="n">
        <f aca="false">IF(E1111=0,0,F1111/E1111-1)</f>
        <v>0.220061003050152</v>
      </c>
      <c r="I1111" s="3" t="s">
        <v>27</v>
      </c>
    </row>
    <row r="1112" customFormat="false" ht="15" hidden="false" customHeight="false" outlineLevel="0" collapsed="false">
      <c r="A1112" s="3" t="s">
        <v>1253</v>
      </c>
      <c r="B1112" s="3" t="s">
        <v>23</v>
      </c>
      <c r="C1112" s="3" t="s">
        <v>24</v>
      </c>
      <c r="D1112" s="3" t="n">
        <v>1</v>
      </c>
      <c r="E1112" s="6" t="n">
        <v>39.99</v>
      </c>
      <c r="F1112" s="6" t="n">
        <v>49</v>
      </c>
      <c r="G1112" s="7" t="n">
        <f aca="false">F1112-E1112</f>
        <v>9.01</v>
      </c>
      <c r="H1112" s="8" t="n">
        <f aca="false">IF(E1112=0,0,F1112/E1112-1)</f>
        <v>0.225306326581645</v>
      </c>
      <c r="I1112" s="3" t="s">
        <v>27</v>
      </c>
    </row>
    <row r="1113" customFormat="false" ht="15" hidden="false" customHeight="false" outlineLevel="0" collapsed="false">
      <c r="A1113" s="3" t="s">
        <v>1254</v>
      </c>
      <c r="B1113" s="3" t="s">
        <v>23</v>
      </c>
      <c r="C1113" s="3" t="s">
        <v>24</v>
      </c>
      <c r="D1113" s="3" t="n">
        <v>1</v>
      </c>
      <c r="E1113" s="6" t="n">
        <v>279.99</v>
      </c>
      <c r="F1113" s="6" t="n">
        <v>342</v>
      </c>
      <c r="G1113" s="7" t="n">
        <f aca="false">F1113-E1113</f>
        <v>62.01</v>
      </c>
      <c r="H1113" s="8" t="n">
        <f aca="false">IF(E1113=0,0,F1113/E1113-1)</f>
        <v>0.221472195435551</v>
      </c>
      <c r="I1113" s="3" t="s">
        <v>27</v>
      </c>
    </row>
    <row r="1114" customFormat="false" ht="15" hidden="false" customHeight="false" outlineLevel="0" collapsed="false">
      <c r="A1114" s="3" t="s">
        <v>1255</v>
      </c>
      <c r="B1114" s="3" t="s">
        <v>23</v>
      </c>
      <c r="C1114" s="3" t="s">
        <v>24</v>
      </c>
      <c r="D1114" s="3" t="n">
        <v>1</v>
      </c>
      <c r="E1114" s="6" t="n">
        <v>159.99</v>
      </c>
      <c r="F1114" s="6" t="n">
        <v>196</v>
      </c>
      <c r="G1114" s="7" t="n">
        <f aca="false">F1114-E1114</f>
        <v>36.01</v>
      </c>
      <c r="H1114" s="8" t="n">
        <f aca="false">IF(E1114=0,0,F1114/E1114-1)</f>
        <v>0.225076567285455</v>
      </c>
      <c r="I1114" s="3" t="s">
        <v>27</v>
      </c>
    </row>
    <row r="1115" customFormat="false" ht="15" hidden="false" customHeight="false" outlineLevel="0" collapsed="false">
      <c r="A1115" s="3" t="s">
        <v>1256</v>
      </c>
      <c r="B1115" s="3" t="s">
        <v>23</v>
      </c>
      <c r="C1115" s="3" t="s">
        <v>179</v>
      </c>
      <c r="D1115" s="3" t="s">
        <v>112</v>
      </c>
      <c r="E1115" s="6" t="n">
        <v>349.99</v>
      </c>
      <c r="F1115" s="6" t="n">
        <v>368</v>
      </c>
      <c r="G1115" s="7" t="n">
        <f aca="false">F1115-E1115</f>
        <v>18.01</v>
      </c>
      <c r="H1115" s="8" t="n">
        <f aca="false">IF(E1115=0,0,F1115/E1115-1)</f>
        <v>0.0514586131032315</v>
      </c>
      <c r="I1115" s="3" t="s">
        <v>215</v>
      </c>
    </row>
    <row r="1116" customFormat="false" ht="15" hidden="false" customHeight="false" outlineLevel="0" collapsed="false">
      <c r="A1116" s="3" t="s">
        <v>1257</v>
      </c>
      <c r="B1116" s="3" t="s">
        <v>23</v>
      </c>
      <c r="C1116" s="3" t="s">
        <v>24</v>
      </c>
      <c r="D1116" s="3" t="n">
        <v>1</v>
      </c>
      <c r="E1116" s="6" t="n">
        <v>219.99</v>
      </c>
      <c r="F1116" s="6" t="n">
        <v>269</v>
      </c>
      <c r="G1116" s="7" t="n">
        <f aca="false">F1116-E1116</f>
        <v>49.01</v>
      </c>
      <c r="H1116" s="8" t="n">
        <f aca="false">IF(E1116=0,0,F1116/E1116-1)</f>
        <v>0.22278285376608</v>
      </c>
      <c r="I1116" s="3" t="s">
        <v>27</v>
      </c>
    </row>
    <row r="1117" customFormat="false" ht="15" hidden="false" customHeight="false" outlineLevel="0" collapsed="false">
      <c r="A1117" s="3" t="s">
        <v>1258</v>
      </c>
      <c r="B1117" s="3" t="s">
        <v>23</v>
      </c>
      <c r="C1117" s="3" t="s">
        <v>24</v>
      </c>
      <c r="D1117" s="3" t="n">
        <v>2</v>
      </c>
      <c r="E1117" s="6" t="n">
        <v>2500</v>
      </c>
      <c r="F1117" s="6" t="n">
        <v>2950</v>
      </c>
      <c r="G1117" s="7" t="n">
        <f aca="false">F1117-E1117</f>
        <v>450</v>
      </c>
      <c r="H1117" s="8" t="n">
        <f aca="false">IF(E1117=0,0,F1117/E1117-1)</f>
        <v>0.18</v>
      </c>
      <c r="I1117" s="3" t="s">
        <v>305</v>
      </c>
    </row>
    <row r="1118" customFormat="false" ht="15" hidden="false" customHeight="false" outlineLevel="0" collapsed="false">
      <c r="A1118" s="3" t="s">
        <v>1259</v>
      </c>
      <c r="B1118" s="3" t="s">
        <v>23</v>
      </c>
      <c r="C1118" s="3" t="s">
        <v>24</v>
      </c>
      <c r="D1118" s="3" t="n">
        <v>1</v>
      </c>
      <c r="E1118" s="6" t="n">
        <v>74.99</v>
      </c>
      <c r="F1118" s="6" t="n">
        <v>91.5</v>
      </c>
      <c r="G1118" s="7" t="n">
        <f aca="false">F1118-E1118</f>
        <v>16.51</v>
      </c>
      <c r="H1118" s="8" t="n">
        <f aca="false">IF(E1118=0,0,F1118/E1118-1)</f>
        <v>0.220162688358448</v>
      </c>
      <c r="I1118" s="3" t="s">
        <v>27</v>
      </c>
    </row>
    <row r="1119" customFormat="false" ht="15" hidden="false" customHeight="false" outlineLevel="0" collapsed="false">
      <c r="A1119" s="3" t="s">
        <v>1260</v>
      </c>
      <c r="B1119" s="3" t="s">
        <v>23</v>
      </c>
      <c r="C1119" s="3" t="s">
        <v>24</v>
      </c>
      <c r="D1119" s="3" t="n">
        <v>1</v>
      </c>
      <c r="E1119" s="6" t="n">
        <v>85.41</v>
      </c>
      <c r="F1119" s="6" t="n">
        <v>105</v>
      </c>
      <c r="G1119" s="7" t="n">
        <f aca="false">F1119-E1119</f>
        <v>19.59</v>
      </c>
      <c r="H1119" s="8" t="n">
        <f aca="false">IF(E1119=0,0,F1119/E1119-1)</f>
        <v>0.229364243062873</v>
      </c>
      <c r="I1119" s="3" t="s">
        <v>333</v>
      </c>
    </row>
    <row r="1120" customFormat="false" ht="15" hidden="false" customHeight="false" outlineLevel="0" collapsed="false">
      <c r="A1120" s="3" t="s">
        <v>1261</v>
      </c>
      <c r="B1120" s="3" t="s">
        <v>23</v>
      </c>
      <c r="C1120" s="3" t="s">
        <v>179</v>
      </c>
      <c r="D1120" s="3" t="n">
        <v>3</v>
      </c>
      <c r="E1120" s="6" t="n">
        <v>2600</v>
      </c>
      <c r="F1120" s="6" t="n">
        <v>3020</v>
      </c>
      <c r="G1120" s="7" t="n">
        <f aca="false">F1120-E1120</f>
        <v>420</v>
      </c>
      <c r="H1120" s="8" t="n">
        <f aca="false">IF(E1120=0,0,F1120/E1120-1)</f>
        <v>0.161538461538462</v>
      </c>
      <c r="I1120" s="3" t="s">
        <v>1262</v>
      </c>
    </row>
    <row r="1121" customFormat="false" ht="15" hidden="false" customHeight="false" outlineLevel="0" collapsed="false">
      <c r="A1121" s="3" t="s">
        <v>1263</v>
      </c>
      <c r="B1121" s="3" t="s">
        <v>23</v>
      </c>
      <c r="C1121" s="3" t="s">
        <v>24</v>
      </c>
      <c r="D1121" s="3" t="n">
        <v>1</v>
      </c>
      <c r="E1121" s="6" t="n">
        <v>350</v>
      </c>
      <c r="F1121" s="6" t="n">
        <v>427</v>
      </c>
      <c r="G1121" s="7" t="n">
        <f aca="false">F1121-E1121</f>
        <v>77</v>
      </c>
      <c r="H1121" s="8" t="n">
        <f aca="false">IF(E1121=0,0,F1121/E1121-1)</f>
        <v>0.22</v>
      </c>
      <c r="I1121" s="3" t="s">
        <v>27</v>
      </c>
    </row>
    <row r="1122" customFormat="false" ht="15" hidden="false" customHeight="false" outlineLevel="0" collapsed="false">
      <c r="A1122" s="3" t="s">
        <v>1264</v>
      </c>
      <c r="B1122" s="3" t="s">
        <v>23</v>
      </c>
      <c r="C1122" s="3" t="s">
        <v>24</v>
      </c>
      <c r="D1122" s="3" t="n">
        <v>1</v>
      </c>
      <c r="E1122" s="6" t="n">
        <v>599.99</v>
      </c>
      <c r="F1122" s="6" t="n">
        <v>732</v>
      </c>
      <c r="G1122" s="7" t="n">
        <f aca="false">F1122-E1122</f>
        <v>132.01</v>
      </c>
      <c r="H1122" s="8" t="n">
        <f aca="false">IF(E1122=0,0,F1122/E1122-1)</f>
        <v>0.220020333672228</v>
      </c>
      <c r="I1122" s="3" t="s">
        <v>27</v>
      </c>
    </row>
    <row r="1123" customFormat="false" ht="15" hidden="false" customHeight="false" outlineLevel="0" collapsed="false">
      <c r="A1123" s="3" t="s">
        <v>1265</v>
      </c>
      <c r="B1123" s="3" t="s">
        <v>23</v>
      </c>
      <c r="C1123" s="3" t="s">
        <v>24</v>
      </c>
      <c r="D1123" s="3" t="n">
        <v>1</v>
      </c>
      <c r="E1123" s="6" t="n">
        <v>599.99</v>
      </c>
      <c r="F1123" s="6" t="n">
        <v>732</v>
      </c>
      <c r="G1123" s="7" t="n">
        <f aca="false">F1123-E1123</f>
        <v>132.01</v>
      </c>
      <c r="H1123" s="8" t="n">
        <f aca="false">IF(E1123=0,0,F1123/E1123-1)</f>
        <v>0.220020333672228</v>
      </c>
      <c r="I1123" s="3" t="s">
        <v>27</v>
      </c>
    </row>
    <row r="1124" customFormat="false" ht="15" hidden="false" customHeight="false" outlineLevel="0" collapsed="false">
      <c r="A1124" s="3" t="s">
        <v>1266</v>
      </c>
      <c r="B1124" s="3" t="s">
        <v>23</v>
      </c>
      <c r="C1124" s="3" t="s">
        <v>24</v>
      </c>
      <c r="D1124" s="3" t="n">
        <v>1</v>
      </c>
      <c r="E1124" s="6" t="n">
        <v>599.99</v>
      </c>
      <c r="F1124" s="6" t="n">
        <v>732</v>
      </c>
      <c r="G1124" s="7" t="n">
        <f aca="false">F1124-E1124</f>
        <v>132.01</v>
      </c>
      <c r="H1124" s="8" t="n">
        <f aca="false">IF(E1124=0,0,F1124/E1124-1)</f>
        <v>0.220020333672228</v>
      </c>
      <c r="I1124" s="3" t="s">
        <v>27</v>
      </c>
    </row>
    <row r="1125" customFormat="false" ht="15" hidden="false" customHeight="false" outlineLevel="0" collapsed="false">
      <c r="A1125" s="3" t="s">
        <v>1267</v>
      </c>
      <c r="B1125" s="3" t="s">
        <v>23</v>
      </c>
      <c r="C1125" s="3" t="s">
        <v>24</v>
      </c>
      <c r="D1125" s="3" t="n">
        <v>1</v>
      </c>
      <c r="E1125" s="6" t="n">
        <v>649.99</v>
      </c>
      <c r="F1125" s="6" t="n">
        <v>793</v>
      </c>
      <c r="G1125" s="7" t="n">
        <f aca="false">F1125-E1125</f>
        <v>143.01</v>
      </c>
      <c r="H1125" s="8" t="n">
        <f aca="false">IF(E1125=0,0,F1125/E1125-1)</f>
        <v>0.220018769519531</v>
      </c>
      <c r="I1125" s="3" t="s">
        <v>27</v>
      </c>
    </row>
    <row r="1126" customFormat="false" ht="15" hidden="false" customHeight="false" outlineLevel="0" collapsed="false">
      <c r="A1126" s="3" t="s">
        <v>1268</v>
      </c>
      <c r="B1126" s="3" t="s">
        <v>23</v>
      </c>
      <c r="C1126" s="3" t="s">
        <v>24</v>
      </c>
      <c r="D1126" s="3" t="n">
        <v>1</v>
      </c>
      <c r="E1126" s="6" t="n">
        <v>649.99</v>
      </c>
      <c r="F1126" s="6" t="n">
        <v>793</v>
      </c>
      <c r="G1126" s="7" t="n">
        <f aca="false">F1126-E1126</f>
        <v>143.01</v>
      </c>
      <c r="H1126" s="8" t="n">
        <f aca="false">IF(E1126=0,0,F1126/E1126-1)</f>
        <v>0.220018769519531</v>
      </c>
      <c r="I1126" s="3" t="s">
        <v>27</v>
      </c>
    </row>
    <row r="1127" customFormat="false" ht="15" hidden="false" customHeight="false" outlineLevel="0" collapsed="false">
      <c r="A1127" s="3" t="s">
        <v>1269</v>
      </c>
      <c r="B1127" s="3" t="s">
        <v>23</v>
      </c>
      <c r="C1127" s="3" t="s">
        <v>24</v>
      </c>
      <c r="D1127" s="3" t="n">
        <v>1</v>
      </c>
      <c r="E1127" s="6" t="n">
        <v>89.09</v>
      </c>
      <c r="F1127" s="6" t="n">
        <v>109</v>
      </c>
      <c r="G1127" s="7" t="n">
        <f aca="false">F1127-E1127</f>
        <v>19.91</v>
      </c>
      <c r="H1127" s="8" t="n">
        <f aca="false">IF(E1127=0,0,F1127/E1127-1)</f>
        <v>0.223481872264003</v>
      </c>
      <c r="I1127" s="3" t="s">
        <v>27</v>
      </c>
    </row>
    <row r="1128" customFormat="false" ht="15" hidden="false" customHeight="false" outlineLevel="0" collapsed="false">
      <c r="A1128" s="3" t="s">
        <v>1270</v>
      </c>
      <c r="B1128" s="3" t="s">
        <v>23</v>
      </c>
      <c r="C1128" s="3" t="s">
        <v>24</v>
      </c>
      <c r="D1128" s="3" t="n">
        <v>1</v>
      </c>
      <c r="E1128" s="6" t="n">
        <v>99.99</v>
      </c>
      <c r="F1128" s="6" t="n">
        <v>122</v>
      </c>
      <c r="G1128" s="7" t="n">
        <f aca="false">F1128-E1128</f>
        <v>22.01</v>
      </c>
      <c r="H1128" s="8" t="n">
        <f aca="false">IF(E1128=0,0,F1128/E1128-1)</f>
        <v>0.22012201220122</v>
      </c>
      <c r="I1128" s="3" t="s">
        <v>27</v>
      </c>
    </row>
    <row r="1129" customFormat="false" ht="15" hidden="false" customHeight="false" outlineLevel="0" collapsed="false">
      <c r="A1129" s="3" t="s">
        <v>1271</v>
      </c>
      <c r="B1129" s="3" t="s">
        <v>23</v>
      </c>
      <c r="C1129" s="3" t="s">
        <v>24</v>
      </c>
      <c r="D1129" s="3" t="n">
        <v>1</v>
      </c>
      <c r="E1129" s="6" t="n">
        <v>24.99</v>
      </c>
      <c r="F1129" s="6" t="n">
        <v>30.5</v>
      </c>
      <c r="G1129" s="7" t="n">
        <f aca="false">F1129-E1129</f>
        <v>5.51</v>
      </c>
      <c r="H1129" s="8" t="n">
        <f aca="false">IF(E1129=0,0,F1129/E1129-1)</f>
        <v>0.220488195278111</v>
      </c>
      <c r="I1129" s="3" t="s">
        <v>27</v>
      </c>
    </row>
    <row r="1130" customFormat="false" ht="15" hidden="false" customHeight="false" outlineLevel="0" collapsed="false">
      <c r="A1130" s="3" t="s">
        <v>1272</v>
      </c>
      <c r="B1130" s="3" t="s">
        <v>23</v>
      </c>
      <c r="C1130" s="3" t="s">
        <v>24</v>
      </c>
      <c r="D1130" s="3" t="n">
        <v>1</v>
      </c>
      <c r="E1130" s="6" t="n">
        <v>22.8</v>
      </c>
      <c r="F1130" s="6" t="n">
        <v>28</v>
      </c>
      <c r="G1130" s="7" t="n">
        <f aca="false">F1130-E1130</f>
        <v>5.2</v>
      </c>
      <c r="H1130" s="8" t="n">
        <f aca="false">IF(E1130=0,0,F1130/E1130-1)</f>
        <v>0.228070175438597</v>
      </c>
      <c r="I1130" s="3" t="s">
        <v>1273</v>
      </c>
    </row>
    <row r="1131" customFormat="false" ht="15" hidden="false" customHeight="false" outlineLevel="0" collapsed="false">
      <c r="A1131" s="3" t="s">
        <v>1274</v>
      </c>
      <c r="B1131" s="3" t="s">
        <v>23</v>
      </c>
      <c r="C1131" s="3" t="s">
        <v>24</v>
      </c>
      <c r="D1131" s="3" t="n">
        <v>1</v>
      </c>
      <c r="E1131" s="6" t="n">
        <v>149.99</v>
      </c>
      <c r="F1131" s="6" t="n">
        <v>183</v>
      </c>
      <c r="G1131" s="7" t="n">
        <f aca="false">F1131-E1131</f>
        <v>33.01</v>
      </c>
      <c r="H1131" s="8" t="n">
        <f aca="false">IF(E1131=0,0,F1131/E1131-1)</f>
        <v>0.220081338755917</v>
      </c>
      <c r="I1131" s="3" t="s">
        <v>205</v>
      </c>
    </row>
    <row r="1132" customFormat="false" ht="15" hidden="false" customHeight="false" outlineLevel="0" collapsed="false">
      <c r="A1132" s="3" t="s">
        <v>1275</v>
      </c>
      <c r="B1132" s="3" t="s">
        <v>23</v>
      </c>
      <c r="C1132" s="3" t="s">
        <v>24</v>
      </c>
      <c r="D1132" s="3" t="n">
        <v>1</v>
      </c>
      <c r="E1132" s="6" t="n">
        <v>119.99</v>
      </c>
      <c r="F1132" s="6" t="n">
        <v>147</v>
      </c>
      <c r="G1132" s="7" t="n">
        <f aca="false">F1132-E1132</f>
        <v>27.01</v>
      </c>
      <c r="H1132" s="8" t="n">
        <f aca="false">IF(E1132=0,0,F1132/E1132-1)</f>
        <v>0.225102091840987</v>
      </c>
      <c r="I1132" s="3" t="s">
        <v>27</v>
      </c>
    </row>
    <row r="1133" customFormat="false" ht="15" hidden="false" customHeight="false" outlineLevel="0" collapsed="false">
      <c r="A1133" s="3" t="s">
        <v>1276</v>
      </c>
      <c r="B1133" s="3" t="s">
        <v>23</v>
      </c>
      <c r="C1133" s="3" t="s">
        <v>24</v>
      </c>
      <c r="D1133" s="3" t="n">
        <v>1</v>
      </c>
      <c r="E1133" s="6" t="n">
        <v>149.99</v>
      </c>
      <c r="F1133" s="6" t="n">
        <v>183</v>
      </c>
      <c r="G1133" s="7" t="n">
        <f aca="false">F1133-E1133</f>
        <v>33.01</v>
      </c>
      <c r="H1133" s="8" t="n">
        <f aca="false">IF(E1133=0,0,F1133/E1133-1)</f>
        <v>0.220081338755917</v>
      </c>
      <c r="I1133" s="3" t="s">
        <v>27</v>
      </c>
    </row>
    <row r="1134" customFormat="false" ht="15" hidden="false" customHeight="false" outlineLevel="0" collapsed="false">
      <c r="A1134" s="3" t="s">
        <v>1277</v>
      </c>
      <c r="B1134" s="3" t="s">
        <v>23</v>
      </c>
      <c r="C1134" s="3" t="s">
        <v>24</v>
      </c>
      <c r="D1134" s="3" t="n">
        <v>1</v>
      </c>
      <c r="E1134" s="6" t="n">
        <v>74.99</v>
      </c>
      <c r="F1134" s="6" t="n">
        <v>91.5</v>
      </c>
      <c r="G1134" s="7" t="n">
        <f aca="false">F1134-E1134</f>
        <v>16.51</v>
      </c>
      <c r="H1134" s="8" t="n">
        <f aca="false">IF(E1134=0,0,F1134/E1134-1)</f>
        <v>0.220162688358448</v>
      </c>
      <c r="I1134" s="3" t="s">
        <v>27</v>
      </c>
    </row>
    <row r="1135" customFormat="false" ht="15" hidden="false" customHeight="false" outlineLevel="0" collapsed="false">
      <c r="A1135" s="3" t="s">
        <v>1278</v>
      </c>
      <c r="B1135" s="3" t="s">
        <v>23</v>
      </c>
      <c r="C1135" s="3" t="s">
        <v>24</v>
      </c>
      <c r="D1135" s="3" t="n">
        <v>1</v>
      </c>
      <c r="E1135" s="6" t="n">
        <v>74.99</v>
      </c>
      <c r="F1135" s="6" t="n">
        <v>91.5</v>
      </c>
      <c r="G1135" s="7" t="n">
        <f aca="false">F1135-E1135</f>
        <v>16.51</v>
      </c>
      <c r="H1135" s="8" t="n">
        <f aca="false">IF(E1135=0,0,F1135/E1135-1)</f>
        <v>0.220162688358448</v>
      </c>
      <c r="I1135" s="3" t="s">
        <v>27</v>
      </c>
    </row>
    <row r="1136" customFormat="false" ht="15" hidden="false" customHeight="false" outlineLevel="0" collapsed="false">
      <c r="A1136" s="3" t="s">
        <v>1279</v>
      </c>
      <c r="B1136" s="3" t="s">
        <v>23</v>
      </c>
      <c r="C1136" s="3" t="s">
        <v>24</v>
      </c>
      <c r="D1136" s="3" t="n">
        <v>1</v>
      </c>
      <c r="E1136" s="6" t="n">
        <v>85.41</v>
      </c>
      <c r="F1136" s="6" t="n">
        <v>105</v>
      </c>
      <c r="G1136" s="7" t="n">
        <f aca="false">F1136-E1136</f>
        <v>19.59</v>
      </c>
      <c r="H1136" s="8" t="n">
        <f aca="false">IF(E1136=0,0,F1136/E1136-1)</f>
        <v>0.229364243062873</v>
      </c>
      <c r="I1136" s="3" t="s">
        <v>333</v>
      </c>
    </row>
    <row r="1137" customFormat="false" ht="15" hidden="false" customHeight="false" outlineLevel="0" collapsed="false">
      <c r="A1137" s="3" t="s">
        <v>1280</v>
      </c>
      <c r="B1137" s="3" t="s">
        <v>23</v>
      </c>
      <c r="C1137" s="3" t="s">
        <v>24</v>
      </c>
      <c r="D1137" s="3" t="n">
        <v>1</v>
      </c>
      <c r="E1137" s="6" t="n">
        <v>499.99</v>
      </c>
      <c r="F1137" s="6" t="n">
        <v>610</v>
      </c>
      <c r="G1137" s="7" t="n">
        <f aca="false">F1137-E1137</f>
        <v>110.01</v>
      </c>
      <c r="H1137" s="8" t="n">
        <f aca="false">IF(E1137=0,0,F1137/E1137-1)</f>
        <v>0.22002440048801</v>
      </c>
      <c r="I1137" s="3" t="s">
        <v>27</v>
      </c>
    </row>
    <row r="1138" customFormat="false" ht="15" hidden="false" customHeight="false" outlineLevel="0" collapsed="false">
      <c r="A1138" s="3" t="s">
        <v>1281</v>
      </c>
      <c r="B1138" s="3" t="s">
        <v>23</v>
      </c>
      <c r="C1138" s="3" t="s">
        <v>24</v>
      </c>
      <c r="D1138" s="3" t="n">
        <v>1</v>
      </c>
      <c r="E1138" s="6" t="n">
        <v>32</v>
      </c>
      <c r="F1138" s="6" t="n">
        <v>39.5</v>
      </c>
      <c r="G1138" s="7" t="n">
        <f aca="false">F1138-E1138</f>
        <v>7.5</v>
      </c>
      <c r="H1138" s="8" t="n">
        <f aca="false">IF(E1138=0,0,F1138/E1138-1)</f>
        <v>0.234375</v>
      </c>
      <c r="I1138" s="3" t="s">
        <v>27</v>
      </c>
    </row>
    <row r="1139" customFormat="false" ht="15" hidden="false" customHeight="false" outlineLevel="0" collapsed="false">
      <c r="A1139" s="3" t="s">
        <v>1282</v>
      </c>
      <c r="B1139" s="3" t="s">
        <v>23</v>
      </c>
      <c r="C1139" s="3" t="s">
        <v>24</v>
      </c>
      <c r="D1139" s="3" t="n">
        <v>5</v>
      </c>
      <c r="E1139" s="6" t="n">
        <v>774.99</v>
      </c>
      <c r="F1139" s="6" t="n">
        <v>791</v>
      </c>
      <c r="G1139" s="7" t="n">
        <f aca="false">F1139-E1139</f>
        <v>16.01</v>
      </c>
      <c r="H1139" s="8" t="n">
        <f aca="false">IF(E1139=0,0,F1139/E1139-1)</f>
        <v>0.0206583310752397</v>
      </c>
      <c r="I1139" s="3" t="s">
        <v>368</v>
      </c>
    </row>
    <row r="1140" customFormat="false" ht="15" hidden="false" customHeight="false" outlineLevel="0" collapsed="false">
      <c r="A1140" s="3" t="s">
        <v>1283</v>
      </c>
      <c r="B1140" s="3" t="s">
        <v>23</v>
      </c>
      <c r="C1140" s="3" t="s">
        <v>24</v>
      </c>
      <c r="D1140" s="3" t="n">
        <v>5</v>
      </c>
      <c r="E1140" s="6" t="n">
        <v>799</v>
      </c>
      <c r="F1140" s="6" t="n">
        <v>815</v>
      </c>
      <c r="G1140" s="7" t="n">
        <f aca="false">F1140-E1140</f>
        <v>16</v>
      </c>
      <c r="H1140" s="8" t="n">
        <f aca="false">IF(E1140=0,0,F1140/E1140-1)</f>
        <v>0.0200250312891115</v>
      </c>
      <c r="I1140" s="3" t="s">
        <v>368</v>
      </c>
    </row>
    <row r="1141" customFormat="false" ht="15" hidden="false" customHeight="false" outlineLevel="0" collapsed="false">
      <c r="A1141" s="3" t="s">
        <v>1284</v>
      </c>
      <c r="B1141" s="3" t="s">
        <v>23</v>
      </c>
      <c r="C1141" s="3" t="s">
        <v>24</v>
      </c>
      <c r="D1141" s="3" t="n">
        <v>1</v>
      </c>
      <c r="E1141" s="6" t="n">
        <v>63</v>
      </c>
      <c r="F1141" s="6" t="n">
        <v>77</v>
      </c>
      <c r="G1141" s="7" t="n">
        <f aca="false">F1141-E1141</f>
        <v>14</v>
      </c>
      <c r="H1141" s="8" t="n">
        <f aca="false">IF(E1141=0,0,F1141/E1141-1)</f>
        <v>0.222222222222222</v>
      </c>
      <c r="I1141" s="3" t="s">
        <v>27</v>
      </c>
    </row>
    <row r="1142" customFormat="false" ht="15" hidden="false" customHeight="false" outlineLevel="0" collapsed="false">
      <c r="A1142" s="3" t="s">
        <v>1285</v>
      </c>
      <c r="B1142" s="3" t="s">
        <v>23</v>
      </c>
      <c r="C1142" s="3" t="s">
        <v>24</v>
      </c>
      <c r="D1142" s="3" t="n">
        <v>1</v>
      </c>
      <c r="E1142" s="6" t="n">
        <v>224.99</v>
      </c>
      <c r="F1142" s="6" t="n">
        <v>275</v>
      </c>
      <c r="G1142" s="7" t="n">
        <f aca="false">F1142-E1142</f>
        <v>50.01</v>
      </c>
      <c r="H1142" s="8" t="n">
        <f aca="false">IF(E1142=0,0,F1142/E1142-1)</f>
        <v>0.22227654562425</v>
      </c>
      <c r="I1142" s="3" t="s">
        <v>27</v>
      </c>
    </row>
    <row r="1143" customFormat="false" ht="15" hidden="false" customHeight="false" outlineLevel="0" collapsed="false">
      <c r="A1143" s="3" t="s">
        <v>1286</v>
      </c>
      <c r="B1143" s="3" t="s">
        <v>23</v>
      </c>
      <c r="C1143" s="3" t="s">
        <v>24</v>
      </c>
      <c r="D1143" s="3" t="n">
        <v>1</v>
      </c>
      <c r="E1143" s="6" t="n">
        <v>224.99</v>
      </c>
      <c r="F1143" s="6" t="n">
        <v>275</v>
      </c>
      <c r="G1143" s="7" t="n">
        <f aca="false">F1143-E1143</f>
        <v>50.01</v>
      </c>
      <c r="H1143" s="8" t="n">
        <f aca="false">IF(E1143=0,0,F1143/E1143-1)</f>
        <v>0.22227654562425</v>
      </c>
      <c r="I1143" s="3" t="s">
        <v>27</v>
      </c>
    </row>
    <row r="1144" customFormat="false" ht="15" hidden="false" customHeight="false" outlineLevel="0" collapsed="false">
      <c r="A1144" s="3" t="s">
        <v>1287</v>
      </c>
      <c r="B1144" s="3" t="s">
        <v>23</v>
      </c>
      <c r="C1144" s="3" t="s">
        <v>24</v>
      </c>
      <c r="D1144" s="3" t="n">
        <v>1</v>
      </c>
      <c r="E1144" s="6" t="n">
        <v>319.99</v>
      </c>
      <c r="F1144" s="6" t="n">
        <v>391</v>
      </c>
      <c r="G1144" s="7" t="n">
        <f aca="false">F1144-E1144</f>
        <v>71.01</v>
      </c>
      <c r="H1144" s="8" t="n">
        <f aca="false">IF(E1144=0,0,F1144/E1144-1)</f>
        <v>0.221913184787025</v>
      </c>
      <c r="I1144" s="3" t="s">
        <v>27</v>
      </c>
    </row>
    <row r="1145" customFormat="false" ht="15" hidden="false" customHeight="false" outlineLevel="0" collapsed="false">
      <c r="A1145" s="3" t="s">
        <v>1288</v>
      </c>
      <c r="B1145" s="3" t="s">
        <v>23</v>
      </c>
      <c r="C1145" s="3" t="s">
        <v>24</v>
      </c>
      <c r="D1145" s="3" t="n">
        <v>2</v>
      </c>
      <c r="E1145" s="6" t="n">
        <v>3000</v>
      </c>
      <c r="F1145" s="6" t="n">
        <v>3540</v>
      </c>
      <c r="G1145" s="7" t="n">
        <f aca="false">F1145-E1145</f>
        <v>540</v>
      </c>
      <c r="H1145" s="8" t="n">
        <f aca="false">IF(E1145=0,0,F1145/E1145-1)</f>
        <v>0.18</v>
      </c>
      <c r="I1145" s="3" t="s">
        <v>305</v>
      </c>
    </row>
    <row r="1146" customFormat="false" ht="15" hidden="false" customHeight="false" outlineLevel="0" collapsed="false">
      <c r="A1146" s="3" t="s">
        <v>1289</v>
      </c>
      <c r="B1146" s="3" t="s">
        <v>23</v>
      </c>
      <c r="C1146" s="3" t="s">
        <v>24</v>
      </c>
      <c r="D1146" s="3" t="n">
        <v>1</v>
      </c>
      <c r="E1146" s="6" t="n">
        <v>570</v>
      </c>
      <c r="F1146" s="6" t="n">
        <v>696</v>
      </c>
      <c r="G1146" s="7" t="n">
        <f aca="false">F1146-E1146</f>
        <v>126</v>
      </c>
      <c r="H1146" s="8" t="n">
        <f aca="false">IF(E1146=0,0,F1146/E1146-1)</f>
        <v>0.221052631578947</v>
      </c>
      <c r="I1146" s="3" t="s">
        <v>27</v>
      </c>
    </row>
    <row r="1147" customFormat="false" ht="15" hidden="false" customHeight="false" outlineLevel="0" collapsed="false">
      <c r="A1147" s="3" t="s">
        <v>1290</v>
      </c>
      <c r="B1147" s="3" t="s">
        <v>23</v>
      </c>
      <c r="C1147" s="3" t="s">
        <v>24</v>
      </c>
      <c r="D1147" s="3" t="n">
        <v>2</v>
      </c>
      <c r="E1147" s="6" t="n">
        <v>1900</v>
      </c>
      <c r="F1147" s="6" t="n">
        <v>2245</v>
      </c>
      <c r="G1147" s="7" t="n">
        <f aca="false">F1147-E1147</f>
        <v>345</v>
      </c>
      <c r="H1147" s="8" t="n">
        <f aca="false">IF(E1147=0,0,F1147/E1147-1)</f>
        <v>0.181578947368421</v>
      </c>
      <c r="I1147" s="3" t="s">
        <v>305</v>
      </c>
    </row>
    <row r="1148" customFormat="false" ht="15" hidden="false" customHeight="false" outlineLevel="0" collapsed="false">
      <c r="A1148" s="3" t="s">
        <v>1291</v>
      </c>
      <c r="B1148" s="3" t="s">
        <v>23</v>
      </c>
      <c r="C1148" s="3" t="s">
        <v>24</v>
      </c>
      <c r="D1148" s="3" t="n">
        <v>1</v>
      </c>
      <c r="E1148" s="6" t="n">
        <v>129.99</v>
      </c>
      <c r="F1148" s="6" t="n">
        <v>159</v>
      </c>
      <c r="G1148" s="7" t="n">
        <f aca="false">F1148-E1148</f>
        <v>29.01</v>
      </c>
      <c r="H1148" s="8" t="n">
        <f aca="false">IF(E1148=0,0,F1148/E1148-1)</f>
        <v>0.223171013154858</v>
      </c>
      <c r="I1148" s="3" t="s">
        <v>27</v>
      </c>
    </row>
    <row r="1149" customFormat="false" ht="15" hidden="false" customHeight="false" outlineLevel="0" collapsed="false">
      <c r="A1149" s="3" t="s">
        <v>1292</v>
      </c>
      <c r="B1149" s="3" t="s">
        <v>23</v>
      </c>
      <c r="C1149" s="3" t="s">
        <v>24</v>
      </c>
      <c r="D1149" s="3" t="n">
        <v>1</v>
      </c>
      <c r="E1149" s="6" t="n">
        <v>19.99</v>
      </c>
      <c r="F1149" s="6" t="n">
        <v>24.5</v>
      </c>
      <c r="G1149" s="7" t="n">
        <f aca="false">F1149-E1149</f>
        <v>4.51</v>
      </c>
      <c r="H1149" s="8" t="n">
        <f aca="false">IF(E1149=0,0,F1149/E1149-1)</f>
        <v>0.225612806403202</v>
      </c>
      <c r="I1149" s="3" t="s">
        <v>27</v>
      </c>
    </row>
    <row r="1150" customFormat="false" ht="15" hidden="false" customHeight="false" outlineLevel="0" collapsed="false">
      <c r="A1150" s="3" t="s">
        <v>1293</v>
      </c>
      <c r="B1150" s="3" t="s">
        <v>23</v>
      </c>
      <c r="C1150" s="3" t="s">
        <v>24</v>
      </c>
      <c r="D1150" s="3" t="n">
        <v>1</v>
      </c>
      <c r="E1150" s="6" t="n">
        <v>99.99</v>
      </c>
      <c r="F1150" s="6" t="n">
        <v>122</v>
      </c>
      <c r="G1150" s="7" t="n">
        <f aca="false">F1150-E1150</f>
        <v>22.01</v>
      </c>
      <c r="H1150" s="8" t="n">
        <f aca="false">IF(E1150=0,0,F1150/E1150-1)</f>
        <v>0.22012201220122</v>
      </c>
      <c r="I1150" s="3" t="s">
        <v>27</v>
      </c>
    </row>
    <row r="1151" customFormat="false" ht="15" hidden="false" customHeight="false" outlineLevel="0" collapsed="false">
      <c r="A1151" s="3" t="s">
        <v>1294</v>
      </c>
      <c r="B1151" s="3" t="s">
        <v>23</v>
      </c>
      <c r="C1151" s="3" t="s">
        <v>24</v>
      </c>
      <c r="D1151" s="3" t="n">
        <v>1</v>
      </c>
      <c r="E1151" s="6" t="n">
        <v>141.74</v>
      </c>
      <c r="F1151" s="6" t="n">
        <v>173</v>
      </c>
      <c r="G1151" s="7" t="n">
        <f aca="false">F1151-E1151</f>
        <v>31.26</v>
      </c>
      <c r="H1151" s="8" t="n">
        <f aca="false">IF(E1151=0,0,F1151/E1151-1)</f>
        <v>0.220544659235219</v>
      </c>
      <c r="I1151" s="3" t="s">
        <v>210</v>
      </c>
    </row>
    <row r="1152" customFormat="false" ht="15" hidden="false" customHeight="false" outlineLevel="0" collapsed="false">
      <c r="A1152" s="3" t="s">
        <v>1295</v>
      </c>
      <c r="B1152" s="3" t="s">
        <v>23</v>
      </c>
      <c r="C1152" s="3" t="s">
        <v>24</v>
      </c>
      <c r="D1152" s="3" t="n">
        <v>1</v>
      </c>
      <c r="E1152" s="6" t="n">
        <v>39</v>
      </c>
      <c r="F1152" s="6" t="n">
        <v>48</v>
      </c>
      <c r="G1152" s="7" t="n">
        <f aca="false">F1152-E1152</f>
        <v>9</v>
      </c>
      <c r="H1152" s="8" t="n">
        <f aca="false">IF(E1152=0,0,F1152/E1152-1)</f>
        <v>0.230769230769231</v>
      </c>
      <c r="I1152" s="3" t="s">
        <v>27</v>
      </c>
    </row>
    <row r="1153" customFormat="false" ht="15" hidden="false" customHeight="false" outlineLevel="0" collapsed="false">
      <c r="A1153" s="3" t="s">
        <v>1296</v>
      </c>
      <c r="B1153" s="3" t="s">
        <v>23</v>
      </c>
      <c r="C1153" s="3" t="s">
        <v>179</v>
      </c>
      <c r="D1153" s="3" t="n">
        <v>1</v>
      </c>
      <c r="E1153" s="6" t="n">
        <v>1330</v>
      </c>
      <c r="F1153" s="6" t="n">
        <v>1625</v>
      </c>
      <c r="G1153" s="7" t="n">
        <f aca="false">F1153-E1153</f>
        <v>295</v>
      </c>
      <c r="H1153" s="8" t="n">
        <f aca="false">IF(E1153=0,0,F1153/E1153-1)</f>
        <v>0.221804511278195</v>
      </c>
      <c r="I1153" s="3" t="s">
        <v>1297</v>
      </c>
    </row>
    <row r="1154" customFormat="false" ht="15" hidden="false" customHeight="false" outlineLevel="0" collapsed="false">
      <c r="A1154" s="3" t="s">
        <v>1298</v>
      </c>
      <c r="B1154" s="3" t="s">
        <v>23</v>
      </c>
      <c r="C1154" s="3" t="s">
        <v>24</v>
      </c>
      <c r="D1154" s="3" t="n">
        <v>2</v>
      </c>
      <c r="E1154" s="6" t="n">
        <v>18.58</v>
      </c>
      <c r="F1154" s="6" t="n">
        <v>22</v>
      </c>
      <c r="G1154" s="7" t="n">
        <f aca="false">F1154-E1154</f>
        <v>3.42</v>
      </c>
      <c r="H1154" s="8" t="n">
        <f aca="false">IF(E1154=0,0,F1154/E1154-1)</f>
        <v>0.184068891280947</v>
      </c>
      <c r="I1154" s="3" t="s">
        <v>305</v>
      </c>
    </row>
    <row r="1155" customFormat="false" ht="15" hidden="false" customHeight="false" outlineLevel="0" collapsed="false">
      <c r="A1155" s="3" t="s">
        <v>1299</v>
      </c>
      <c r="B1155" s="3" t="s">
        <v>23</v>
      </c>
      <c r="C1155" s="3" t="s">
        <v>24</v>
      </c>
      <c r="D1155" s="3" t="n">
        <v>1</v>
      </c>
      <c r="E1155" s="6" t="n">
        <v>9.99</v>
      </c>
      <c r="F1155" s="6" t="n">
        <v>12.5</v>
      </c>
      <c r="G1155" s="7" t="n">
        <f aca="false">F1155-E1155</f>
        <v>2.51</v>
      </c>
      <c r="H1155" s="8" t="n">
        <f aca="false">IF(E1155=0,0,F1155/E1155-1)</f>
        <v>0.251251251251251</v>
      </c>
      <c r="I1155" s="3" t="s">
        <v>27</v>
      </c>
    </row>
    <row r="1156" customFormat="false" ht="15" hidden="false" customHeight="false" outlineLevel="0" collapsed="false">
      <c r="A1156" s="3" t="s">
        <v>1300</v>
      </c>
      <c r="B1156" s="3" t="s">
        <v>23</v>
      </c>
      <c r="C1156" s="3" t="s">
        <v>24</v>
      </c>
      <c r="D1156" s="3" t="n">
        <v>1</v>
      </c>
      <c r="E1156" s="6" t="n">
        <v>249.99</v>
      </c>
      <c r="F1156" s="6" t="n">
        <v>305</v>
      </c>
      <c r="G1156" s="7" t="n">
        <f aca="false">F1156-E1156</f>
        <v>55.01</v>
      </c>
      <c r="H1156" s="8" t="n">
        <f aca="false">IF(E1156=0,0,F1156/E1156-1)</f>
        <v>0.220048801952078</v>
      </c>
      <c r="I1156" s="3" t="s">
        <v>27</v>
      </c>
    </row>
    <row r="1157" customFormat="false" ht="15" hidden="false" customHeight="false" outlineLevel="0" collapsed="false">
      <c r="A1157" s="3" t="s">
        <v>1301</v>
      </c>
      <c r="B1157" s="3" t="s">
        <v>23</v>
      </c>
      <c r="C1157" s="3" t="s">
        <v>179</v>
      </c>
      <c r="D1157" s="3" t="s">
        <v>112</v>
      </c>
      <c r="E1157" s="6" t="n">
        <v>1200</v>
      </c>
      <c r="F1157" s="6" t="n">
        <v>1170</v>
      </c>
      <c r="G1157" s="7" t="n">
        <f aca="false">F1157-E1157</f>
        <v>-30</v>
      </c>
      <c r="H1157" s="8" t="n">
        <f aca="false">IF(E1157=0,0,F1157/E1157-1)</f>
        <v>-0.025</v>
      </c>
      <c r="I1157" s="3" t="s">
        <v>113</v>
      </c>
    </row>
    <row r="1158" customFormat="false" ht="15" hidden="false" customHeight="false" outlineLevel="0" collapsed="false">
      <c r="A1158" s="3" t="s">
        <v>1302</v>
      </c>
      <c r="B1158" s="3" t="s">
        <v>23</v>
      </c>
      <c r="C1158" s="3" t="s">
        <v>24</v>
      </c>
      <c r="D1158" s="3" t="n">
        <v>1</v>
      </c>
      <c r="E1158" s="6" t="n">
        <v>219.99</v>
      </c>
      <c r="F1158" s="6" t="n">
        <v>269</v>
      </c>
      <c r="G1158" s="7" t="n">
        <f aca="false">F1158-E1158</f>
        <v>49.01</v>
      </c>
      <c r="H1158" s="8" t="n">
        <f aca="false">IF(E1158=0,0,F1158/E1158-1)</f>
        <v>0.22278285376608</v>
      </c>
      <c r="I1158" s="3" t="s">
        <v>27</v>
      </c>
    </row>
    <row r="1159" customFormat="false" ht="15" hidden="false" customHeight="false" outlineLevel="0" collapsed="false">
      <c r="A1159" s="3" t="s">
        <v>1303</v>
      </c>
      <c r="B1159" s="3" t="s">
        <v>23</v>
      </c>
      <c r="C1159" s="3" t="s">
        <v>24</v>
      </c>
      <c r="D1159" s="3" t="n">
        <v>1</v>
      </c>
      <c r="E1159" s="6" t="n">
        <v>219.99</v>
      </c>
      <c r="F1159" s="6" t="n">
        <v>269</v>
      </c>
      <c r="G1159" s="7" t="n">
        <f aca="false">F1159-E1159</f>
        <v>49.01</v>
      </c>
      <c r="H1159" s="8" t="n">
        <f aca="false">IF(E1159=0,0,F1159/E1159-1)</f>
        <v>0.22278285376608</v>
      </c>
      <c r="I1159" s="3" t="s">
        <v>27</v>
      </c>
    </row>
    <row r="1160" customFormat="false" ht="15" hidden="false" customHeight="false" outlineLevel="0" collapsed="false">
      <c r="A1160" s="3" t="s">
        <v>1304</v>
      </c>
      <c r="B1160" s="3" t="s">
        <v>23</v>
      </c>
      <c r="C1160" s="3" t="s">
        <v>24</v>
      </c>
      <c r="D1160" s="3" t="n">
        <v>1</v>
      </c>
      <c r="E1160" s="6" t="n">
        <v>62.08</v>
      </c>
      <c r="F1160" s="6" t="n">
        <v>76</v>
      </c>
      <c r="G1160" s="7" t="n">
        <f aca="false">F1160-E1160</f>
        <v>13.92</v>
      </c>
      <c r="H1160" s="8" t="n">
        <f aca="false">IF(E1160=0,0,F1160/E1160-1)</f>
        <v>0.224226804123711</v>
      </c>
      <c r="I1160" s="3" t="s">
        <v>210</v>
      </c>
    </row>
    <row r="1161" customFormat="false" ht="15" hidden="false" customHeight="false" outlineLevel="0" collapsed="false">
      <c r="A1161" s="3" t="s">
        <v>1305</v>
      </c>
      <c r="B1161" s="3" t="s">
        <v>23</v>
      </c>
      <c r="C1161" s="3" t="s">
        <v>24</v>
      </c>
      <c r="D1161" s="3" t="n">
        <v>1</v>
      </c>
      <c r="E1161" s="6" t="n">
        <v>85.41</v>
      </c>
      <c r="F1161" s="6" t="n">
        <v>105</v>
      </c>
      <c r="G1161" s="7" t="n">
        <f aca="false">F1161-E1161</f>
        <v>19.59</v>
      </c>
      <c r="H1161" s="8" t="n">
        <f aca="false">IF(E1161=0,0,F1161/E1161-1)</f>
        <v>0.229364243062873</v>
      </c>
      <c r="I1161" s="3" t="s">
        <v>333</v>
      </c>
    </row>
    <row r="1162" customFormat="false" ht="15" hidden="false" customHeight="false" outlineLevel="0" collapsed="false">
      <c r="A1162" s="3" t="s">
        <v>1306</v>
      </c>
      <c r="B1162" s="3" t="s">
        <v>23</v>
      </c>
      <c r="C1162" s="3" t="s">
        <v>179</v>
      </c>
      <c r="D1162" s="3" t="n">
        <v>1</v>
      </c>
      <c r="E1162" s="6" t="n">
        <v>900</v>
      </c>
      <c r="F1162" s="6" t="n">
        <v>1100</v>
      </c>
      <c r="G1162" s="7" t="n">
        <f aca="false">F1162-E1162</f>
        <v>200</v>
      </c>
      <c r="H1162" s="8" t="n">
        <f aca="false">IF(E1162=0,0,F1162/E1162-1)</f>
        <v>0.222222222222222</v>
      </c>
      <c r="I1162" s="3" t="s">
        <v>1307</v>
      </c>
    </row>
    <row r="1163" customFormat="false" ht="15" hidden="false" customHeight="false" outlineLevel="0" collapsed="false">
      <c r="A1163" s="3" t="s">
        <v>1308</v>
      </c>
      <c r="B1163" s="3" t="s">
        <v>23</v>
      </c>
      <c r="C1163" s="3" t="s">
        <v>24</v>
      </c>
      <c r="D1163" s="3" t="n">
        <v>1</v>
      </c>
      <c r="E1163" s="6" t="n">
        <v>799.99</v>
      </c>
      <c r="F1163" s="6" t="n">
        <v>976</v>
      </c>
      <c r="G1163" s="7" t="n">
        <f aca="false">F1163-E1163</f>
        <v>176.01</v>
      </c>
      <c r="H1163" s="8" t="n">
        <f aca="false">IF(E1163=0,0,F1163/E1163-1)</f>
        <v>0.220015250190627</v>
      </c>
      <c r="I1163" s="3" t="s">
        <v>27</v>
      </c>
    </row>
    <row r="1164" customFormat="false" ht="15" hidden="false" customHeight="false" outlineLevel="0" collapsed="false">
      <c r="A1164" s="3" t="s">
        <v>1309</v>
      </c>
      <c r="B1164" s="3" t="s">
        <v>23</v>
      </c>
      <c r="C1164" s="3" t="s">
        <v>24</v>
      </c>
      <c r="D1164" s="3" t="n">
        <v>1</v>
      </c>
      <c r="E1164" s="6" t="n">
        <v>3200</v>
      </c>
      <c r="F1164" s="6" t="n">
        <v>3905</v>
      </c>
      <c r="G1164" s="7" t="n">
        <f aca="false">F1164-E1164</f>
        <v>705</v>
      </c>
      <c r="H1164" s="8" t="n">
        <f aca="false">IF(E1164=0,0,F1164/E1164-1)</f>
        <v>0.2203125</v>
      </c>
      <c r="I1164" s="3" t="s">
        <v>330</v>
      </c>
    </row>
    <row r="1165" customFormat="false" ht="15" hidden="false" customHeight="false" outlineLevel="0" collapsed="false">
      <c r="A1165" s="3" t="s">
        <v>1310</v>
      </c>
      <c r="B1165" s="3" t="s">
        <v>23</v>
      </c>
      <c r="C1165" s="3" t="s">
        <v>24</v>
      </c>
      <c r="D1165" s="3" t="n">
        <v>1</v>
      </c>
      <c r="E1165" s="6" t="n">
        <v>32</v>
      </c>
      <c r="F1165" s="6" t="n">
        <v>39.5</v>
      </c>
      <c r="G1165" s="7" t="n">
        <f aca="false">F1165-E1165</f>
        <v>7.5</v>
      </c>
      <c r="H1165" s="8" t="n">
        <f aca="false">IF(E1165=0,0,F1165/E1165-1)</f>
        <v>0.234375</v>
      </c>
      <c r="I1165" s="3" t="s">
        <v>27</v>
      </c>
    </row>
    <row r="1166" customFormat="false" ht="15" hidden="false" customHeight="false" outlineLevel="0" collapsed="false">
      <c r="A1166" s="3" t="s">
        <v>1311</v>
      </c>
      <c r="B1166" s="3" t="s">
        <v>23</v>
      </c>
      <c r="C1166" s="3" t="s">
        <v>24</v>
      </c>
      <c r="D1166" s="3" t="n">
        <v>5</v>
      </c>
      <c r="E1166" s="6" t="n">
        <v>199.99</v>
      </c>
      <c r="F1166" s="6" t="n">
        <v>204</v>
      </c>
      <c r="G1166" s="7" t="n">
        <f aca="false">F1166-E1166</f>
        <v>4.00999999999999</v>
      </c>
      <c r="H1166" s="8" t="n">
        <f aca="false">IF(E1166=0,0,F1166/E1166-1)</f>
        <v>0.0200510025501275</v>
      </c>
      <c r="I1166" s="3" t="s">
        <v>368</v>
      </c>
    </row>
    <row r="1167" customFormat="false" ht="15" hidden="false" customHeight="false" outlineLevel="0" collapsed="false">
      <c r="A1167" s="3" t="s">
        <v>1312</v>
      </c>
      <c r="B1167" s="3" t="s">
        <v>23</v>
      </c>
      <c r="C1167" s="3" t="s">
        <v>24</v>
      </c>
      <c r="D1167" s="3" t="n">
        <v>1</v>
      </c>
      <c r="E1167" s="6" t="n">
        <v>1970</v>
      </c>
      <c r="F1167" s="6" t="n">
        <v>2405</v>
      </c>
      <c r="G1167" s="7" t="n">
        <f aca="false">F1167-E1167</f>
        <v>435</v>
      </c>
      <c r="H1167" s="8" t="n">
        <f aca="false">IF(E1167=0,0,F1167/E1167-1)</f>
        <v>0.220812182741117</v>
      </c>
      <c r="I1167" s="3" t="s">
        <v>27</v>
      </c>
    </row>
    <row r="1168" customFormat="false" ht="15" hidden="false" customHeight="false" outlineLevel="0" collapsed="false">
      <c r="A1168" s="3" t="s">
        <v>1313</v>
      </c>
      <c r="B1168" s="3" t="s">
        <v>23</v>
      </c>
      <c r="C1168" s="3" t="s">
        <v>24</v>
      </c>
      <c r="D1168" s="3" t="n">
        <v>1</v>
      </c>
      <c r="E1168" s="6" t="n">
        <v>399.99</v>
      </c>
      <c r="F1168" s="6" t="n">
        <v>488</v>
      </c>
      <c r="G1168" s="7" t="n">
        <f aca="false">F1168-E1168</f>
        <v>88.01</v>
      </c>
      <c r="H1168" s="8" t="n">
        <f aca="false">IF(E1168=0,0,F1168/E1168-1)</f>
        <v>0.220030500762519</v>
      </c>
      <c r="I1168" s="3" t="s">
        <v>27</v>
      </c>
    </row>
    <row r="1169" customFormat="false" ht="15" hidden="false" customHeight="false" outlineLevel="0" collapsed="false">
      <c r="A1169" s="3" t="s">
        <v>1314</v>
      </c>
      <c r="B1169" s="3" t="s">
        <v>23</v>
      </c>
      <c r="C1169" s="3" t="s">
        <v>24</v>
      </c>
      <c r="D1169" s="3" t="n">
        <v>1</v>
      </c>
      <c r="E1169" s="6" t="n">
        <v>14.99</v>
      </c>
      <c r="F1169" s="6" t="n">
        <v>18.5</v>
      </c>
      <c r="G1169" s="7" t="n">
        <f aca="false">F1169-E1169</f>
        <v>3.51</v>
      </c>
      <c r="H1169" s="8" t="n">
        <f aca="false">IF(E1169=0,0,F1169/E1169-1)</f>
        <v>0.23415610406938</v>
      </c>
      <c r="I1169" s="3" t="s">
        <v>27</v>
      </c>
    </row>
    <row r="1170" customFormat="false" ht="15" hidden="false" customHeight="false" outlineLevel="0" collapsed="false">
      <c r="A1170" s="3" t="s">
        <v>1315</v>
      </c>
      <c r="B1170" s="3" t="s">
        <v>23</v>
      </c>
      <c r="C1170" s="3" t="s">
        <v>24</v>
      </c>
      <c r="D1170" s="3" t="n">
        <v>1</v>
      </c>
      <c r="E1170" s="6" t="n">
        <v>169.99</v>
      </c>
      <c r="F1170" s="6" t="n">
        <v>208</v>
      </c>
      <c r="G1170" s="7" t="n">
        <f aca="false">F1170-E1170</f>
        <v>38.01</v>
      </c>
      <c r="H1170" s="8" t="n">
        <f aca="false">IF(E1170=0,0,F1170/E1170-1)</f>
        <v>0.22360138831696</v>
      </c>
      <c r="I1170" s="3" t="s">
        <v>27</v>
      </c>
    </row>
    <row r="1171" customFormat="false" ht="15" hidden="false" customHeight="false" outlineLevel="0" collapsed="false">
      <c r="A1171" s="3" t="s">
        <v>1316</v>
      </c>
      <c r="B1171" s="3" t="s">
        <v>23</v>
      </c>
      <c r="C1171" s="3" t="s">
        <v>24</v>
      </c>
      <c r="D1171" s="3" t="n">
        <v>1</v>
      </c>
      <c r="E1171" s="6" t="n">
        <v>169.99</v>
      </c>
      <c r="F1171" s="6" t="n">
        <v>208</v>
      </c>
      <c r="G1171" s="7" t="n">
        <f aca="false">F1171-E1171</f>
        <v>38.01</v>
      </c>
      <c r="H1171" s="8" t="n">
        <f aca="false">IF(E1171=0,0,F1171/E1171-1)</f>
        <v>0.22360138831696</v>
      </c>
      <c r="I1171" s="3" t="s">
        <v>27</v>
      </c>
    </row>
    <row r="1172" customFormat="false" ht="15" hidden="false" customHeight="false" outlineLevel="0" collapsed="false">
      <c r="A1172" s="3" t="s">
        <v>1317</v>
      </c>
      <c r="B1172" s="3" t="s">
        <v>23</v>
      </c>
      <c r="C1172" s="3" t="s">
        <v>24</v>
      </c>
      <c r="D1172" s="3" t="n">
        <v>1</v>
      </c>
      <c r="E1172" s="6" t="n">
        <v>169.99</v>
      </c>
      <c r="F1172" s="6" t="n">
        <v>208</v>
      </c>
      <c r="G1172" s="7" t="n">
        <f aca="false">F1172-E1172</f>
        <v>38.01</v>
      </c>
      <c r="H1172" s="8" t="n">
        <f aca="false">IF(E1172=0,0,F1172/E1172-1)</f>
        <v>0.22360138831696</v>
      </c>
      <c r="I1172" s="3" t="s">
        <v>27</v>
      </c>
    </row>
    <row r="1173" customFormat="false" ht="15" hidden="false" customHeight="false" outlineLevel="0" collapsed="false">
      <c r="A1173" s="3" t="s">
        <v>1318</v>
      </c>
      <c r="B1173" s="3" t="s">
        <v>23</v>
      </c>
      <c r="C1173" s="3" t="s">
        <v>24</v>
      </c>
      <c r="D1173" s="3" t="n">
        <v>1</v>
      </c>
      <c r="E1173" s="6" t="n">
        <v>870</v>
      </c>
      <c r="F1173" s="6" t="n">
        <v>1065</v>
      </c>
      <c r="G1173" s="7" t="n">
        <f aca="false">F1173-E1173</f>
        <v>195</v>
      </c>
      <c r="H1173" s="8" t="n">
        <f aca="false">IF(E1173=0,0,F1173/E1173-1)</f>
        <v>0.224137931034483</v>
      </c>
      <c r="I1173" s="3" t="s">
        <v>27</v>
      </c>
    </row>
    <row r="1174" customFormat="false" ht="15" hidden="false" customHeight="false" outlineLevel="0" collapsed="false">
      <c r="A1174" s="3" t="s">
        <v>1319</v>
      </c>
      <c r="B1174" s="3" t="s">
        <v>23</v>
      </c>
      <c r="C1174" s="3" t="s">
        <v>24</v>
      </c>
      <c r="D1174" s="3" t="n">
        <v>1</v>
      </c>
      <c r="E1174" s="6" t="n">
        <v>24</v>
      </c>
      <c r="F1174" s="6" t="n">
        <v>29.5</v>
      </c>
      <c r="G1174" s="7" t="n">
        <f aca="false">F1174-E1174</f>
        <v>5.5</v>
      </c>
      <c r="H1174" s="8" t="n">
        <f aca="false">IF(E1174=0,0,F1174/E1174-1)</f>
        <v>0.229166666666667</v>
      </c>
      <c r="I1174" s="3" t="s">
        <v>27</v>
      </c>
    </row>
    <row r="1175" customFormat="false" ht="15" hidden="false" customHeight="false" outlineLevel="0" collapsed="false">
      <c r="A1175" s="3" t="s">
        <v>1320</v>
      </c>
      <c r="B1175" s="3" t="s">
        <v>23</v>
      </c>
      <c r="C1175" s="3" t="s">
        <v>24</v>
      </c>
      <c r="D1175" s="3" t="n">
        <v>1</v>
      </c>
      <c r="E1175" s="6" t="n">
        <v>54</v>
      </c>
      <c r="F1175" s="6" t="n">
        <v>66</v>
      </c>
      <c r="G1175" s="7" t="n">
        <f aca="false">F1175-E1175</f>
        <v>12</v>
      </c>
      <c r="H1175" s="8" t="n">
        <f aca="false">IF(E1175=0,0,F1175/E1175-1)</f>
        <v>0.222222222222222</v>
      </c>
      <c r="I1175" s="3" t="s">
        <v>27</v>
      </c>
    </row>
    <row r="1176" customFormat="false" ht="15" hidden="false" customHeight="false" outlineLevel="0" collapsed="false">
      <c r="A1176" s="3" t="s">
        <v>1321</v>
      </c>
      <c r="B1176" s="3" t="s">
        <v>23</v>
      </c>
      <c r="C1176" s="3" t="s">
        <v>24</v>
      </c>
      <c r="D1176" s="3" t="n">
        <v>1</v>
      </c>
      <c r="E1176" s="6" t="n">
        <v>24</v>
      </c>
      <c r="F1176" s="6" t="n">
        <v>29.5</v>
      </c>
      <c r="G1176" s="7" t="n">
        <f aca="false">F1176-E1176</f>
        <v>5.5</v>
      </c>
      <c r="H1176" s="8" t="n">
        <f aca="false">IF(E1176=0,0,F1176/E1176-1)</f>
        <v>0.229166666666667</v>
      </c>
      <c r="I1176" s="3" t="s">
        <v>27</v>
      </c>
    </row>
    <row r="1177" customFormat="false" ht="15" hidden="false" customHeight="false" outlineLevel="0" collapsed="false">
      <c r="A1177" s="3" t="s">
        <v>1322</v>
      </c>
      <c r="B1177" s="3" t="s">
        <v>23</v>
      </c>
      <c r="C1177" s="3" t="s">
        <v>24</v>
      </c>
      <c r="D1177" s="3" t="n">
        <v>1</v>
      </c>
      <c r="E1177" s="6" t="n">
        <v>649.99</v>
      </c>
      <c r="F1177" s="6" t="n">
        <v>793</v>
      </c>
      <c r="G1177" s="7" t="n">
        <f aca="false">F1177-E1177</f>
        <v>143.01</v>
      </c>
      <c r="H1177" s="8" t="n">
        <f aca="false">IF(E1177=0,0,F1177/E1177-1)</f>
        <v>0.220018769519531</v>
      </c>
      <c r="I1177" s="3" t="s">
        <v>27</v>
      </c>
    </row>
    <row r="1178" customFormat="false" ht="15" hidden="false" customHeight="false" outlineLevel="0" collapsed="false">
      <c r="A1178" s="3" t="s">
        <v>1323</v>
      </c>
      <c r="B1178" s="3" t="s">
        <v>23</v>
      </c>
      <c r="C1178" s="3" t="s">
        <v>24</v>
      </c>
      <c r="D1178" s="3" t="n">
        <v>1</v>
      </c>
      <c r="E1178" s="6" t="n">
        <v>53</v>
      </c>
      <c r="F1178" s="6" t="n">
        <v>65</v>
      </c>
      <c r="G1178" s="7" t="n">
        <f aca="false">F1178-E1178</f>
        <v>12</v>
      </c>
      <c r="H1178" s="8" t="n">
        <f aca="false">IF(E1178=0,0,F1178/E1178-1)</f>
        <v>0.226415094339623</v>
      </c>
      <c r="I1178" s="3" t="s">
        <v>27</v>
      </c>
    </row>
    <row r="1179" customFormat="false" ht="15" hidden="false" customHeight="false" outlineLevel="0" collapsed="false">
      <c r="A1179" s="3" t="s">
        <v>1324</v>
      </c>
      <c r="B1179" s="3" t="s">
        <v>23</v>
      </c>
      <c r="C1179" s="3" t="s">
        <v>24</v>
      </c>
      <c r="D1179" s="3" t="n">
        <v>1</v>
      </c>
      <c r="E1179" s="6" t="n">
        <v>59</v>
      </c>
      <c r="F1179" s="6" t="n">
        <v>72</v>
      </c>
      <c r="G1179" s="7" t="n">
        <f aca="false">F1179-E1179</f>
        <v>13</v>
      </c>
      <c r="H1179" s="8" t="n">
        <f aca="false">IF(E1179=0,0,F1179/E1179-1)</f>
        <v>0.220338983050848</v>
      </c>
      <c r="I1179" s="3" t="s">
        <v>27</v>
      </c>
    </row>
    <row r="1180" customFormat="false" ht="15" hidden="false" customHeight="false" outlineLevel="0" collapsed="false">
      <c r="A1180" s="3" t="s">
        <v>1325</v>
      </c>
      <c r="B1180" s="3" t="s">
        <v>23</v>
      </c>
      <c r="C1180" s="3" t="s">
        <v>24</v>
      </c>
      <c r="D1180" s="3" t="n">
        <v>1</v>
      </c>
      <c r="E1180" s="6" t="n">
        <v>55</v>
      </c>
      <c r="F1180" s="6" t="n">
        <v>67.5</v>
      </c>
      <c r="G1180" s="7" t="n">
        <f aca="false">F1180-E1180</f>
        <v>12.5</v>
      </c>
      <c r="H1180" s="8" t="n">
        <f aca="false">IF(E1180=0,0,F1180/E1180-1)</f>
        <v>0.227272727272727</v>
      </c>
      <c r="I1180" s="3" t="s">
        <v>27</v>
      </c>
    </row>
    <row r="1181" customFormat="false" ht="15" hidden="false" customHeight="false" outlineLevel="0" collapsed="false">
      <c r="A1181" s="3" t="s">
        <v>1326</v>
      </c>
      <c r="B1181" s="3" t="s">
        <v>23</v>
      </c>
      <c r="C1181" s="3" t="s">
        <v>24</v>
      </c>
      <c r="D1181" s="3" t="n">
        <v>1</v>
      </c>
      <c r="E1181" s="6" t="n">
        <v>23</v>
      </c>
      <c r="F1181" s="6" t="n">
        <v>28.5</v>
      </c>
      <c r="G1181" s="7" t="n">
        <f aca="false">F1181-E1181</f>
        <v>5.5</v>
      </c>
      <c r="H1181" s="8" t="n">
        <f aca="false">IF(E1181=0,0,F1181/E1181-1)</f>
        <v>0.239130434782609</v>
      </c>
      <c r="I1181" s="3" t="s">
        <v>27</v>
      </c>
    </row>
    <row r="1182" customFormat="false" ht="15" hidden="false" customHeight="false" outlineLevel="0" collapsed="false">
      <c r="A1182" s="3" t="s">
        <v>1327</v>
      </c>
      <c r="B1182" s="3" t="s">
        <v>1328</v>
      </c>
      <c r="C1182" s="3" t="s">
        <v>24</v>
      </c>
      <c r="D1182" s="3" t="n">
        <v>2</v>
      </c>
      <c r="E1182" s="6" t="n">
        <v>760</v>
      </c>
      <c r="F1182" s="6" t="n">
        <v>897</v>
      </c>
      <c r="G1182" s="7" t="n">
        <f aca="false">F1182-E1182</f>
        <v>137</v>
      </c>
      <c r="H1182" s="8" t="n">
        <f aca="false">IF(E1182=0,0,F1182/E1182-1)</f>
        <v>0.180263157894737</v>
      </c>
      <c r="I1182" s="3" t="s">
        <v>305</v>
      </c>
    </row>
    <row r="1183" customFormat="false" ht="15" hidden="false" customHeight="false" outlineLevel="0" collapsed="false">
      <c r="A1183" s="3" t="s">
        <v>1327</v>
      </c>
      <c r="B1183" s="3" t="s">
        <v>1329</v>
      </c>
      <c r="C1183" s="3" t="s">
        <v>24</v>
      </c>
      <c r="D1183" s="3" t="n">
        <v>2</v>
      </c>
      <c r="E1183" s="6" t="n">
        <v>850</v>
      </c>
      <c r="F1183" s="6" t="n">
        <v>1005</v>
      </c>
      <c r="G1183" s="7" t="n">
        <f aca="false">F1183-E1183</f>
        <v>155</v>
      </c>
      <c r="H1183" s="8" t="n">
        <f aca="false">IF(E1183=0,0,F1183/E1183-1)</f>
        <v>0.182352941176471</v>
      </c>
      <c r="I1183" s="3" t="s">
        <v>305</v>
      </c>
    </row>
    <row r="1184" customFormat="false" ht="15" hidden="false" customHeight="false" outlineLevel="0" collapsed="false">
      <c r="A1184" s="3" t="s">
        <v>1327</v>
      </c>
      <c r="B1184" s="3" t="s">
        <v>1330</v>
      </c>
      <c r="C1184" s="3" t="s">
        <v>24</v>
      </c>
      <c r="D1184" s="3" t="n">
        <v>2</v>
      </c>
      <c r="E1184" s="6" t="n">
        <v>999</v>
      </c>
      <c r="F1184" s="6" t="n">
        <v>1180</v>
      </c>
      <c r="G1184" s="7" t="n">
        <f aca="false">F1184-E1184</f>
        <v>181</v>
      </c>
      <c r="H1184" s="8" t="n">
        <f aca="false">IF(E1184=0,0,F1184/E1184-1)</f>
        <v>0.181181181181181</v>
      </c>
      <c r="I1184" s="3" t="s">
        <v>305</v>
      </c>
    </row>
    <row r="1185" customFormat="false" ht="15" hidden="false" customHeight="false" outlineLevel="0" collapsed="false">
      <c r="A1185" s="3" t="s">
        <v>1331</v>
      </c>
      <c r="B1185" s="3" t="s">
        <v>1332</v>
      </c>
      <c r="C1185" s="3" t="s">
        <v>24</v>
      </c>
      <c r="D1185" s="3" t="n">
        <v>2</v>
      </c>
      <c r="E1185" s="6" t="n">
        <v>60</v>
      </c>
      <c r="F1185" s="6" t="n">
        <v>71</v>
      </c>
      <c r="G1185" s="7" t="n">
        <f aca="false">F1185-E1185</f>
        <v>11</v>
      </c>
      <c r="H1185" s="8" t="n">
        <f aca="false">IF(E1185=0,0,F1185/E1185-1)</f>
        <v>0.183333333333333</v>
      </c>
      <c r="I1185" s="3" t="s">
        <v>305</v>
      </c>
    </row>
    <row r="1186" customFormat="false" ht="15" hidden="false" customHeight="false" outlineLevel="0" collapsed="false">
      <c r="A1186" s="3" t="s">
        <v>1331</v>
      </c>
      <c r="B1186" s="3" t="s">
        <v>1333</v>
      </c>
      <c r="C1186" s="3" t="s">
        <v>24</v>
      </c>
      <c r="D1186" s="3" t="n">
        <v>2</v>
      </c>
      <c r="E1186" s="6" t="n">
        <v>60</v>
      </c>
      <c r="F1186" s="6" t="n">
        <v>71</v>
      </c>
      <c r="G1186" s="7" t="n">
        <f aca="false">F1186-E1186</f>
        <v>11</v>
      </c>
      <c r="H1186" s="8" t="n">
        <f aca="false">IF(E1186=0,0,F1186/E1186-1)</f>
        <v>0.183333333333333</v>
      </c>
      <c r="I1186" s="3" t="s">
        <v>305</v>
      </c>
    </row>
  </sheetData>
  <autoFilter ref="A1:I118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30" hidden="false" customHeight="true" outlineLevel="0" collapsed="false">
      <c r="A1" s="5" t="s">
        <v>14</v>
      </c>
      <c r="B1" s="5" t="s">
        <v>15</v>
      </c>
      <c r="C1" s="5" t="s">
        <v>1334</v>
      </c>
      <c r="D1" s="5" t="s">
        <v>1335</v>
      </c>
    </row>
    <row r="2" customFormat="false" ht="15" hidden="false" customHeight="false" outlineLevel="0" collapsed="false">
      <c r="A2" s="3" t="s">
        <v>1336</v>
      </c>
      <c r="B2" s="3" t="s">
        <v>1337</v>
      </c>
      <c r="C2" s="6" t="n">
        <v>580</v>
      </c>
      <c r="D2" s="3" t="s">
        <v>1338</v>
      </c>
    </row>
    <row r="3" customFormat="false" ht="15" hidden="false" customHeight="false" outlineLevel="0" collapsed="false">
      <c r="A3" s="3" t="s">
        <v>1336</v>
      </c>
      <c r="B3" s="3" t="s">
        <v>1339</v>
      </c>
      <c r="C3" s="6" t="n">
        <v>580</v>
      </c>
      <c r="D3" s="3" t="s">
        <v>1338</v>
      </c>
    </row>
    <row r="4" customFormat="false" ht="15" hidden="false" customHeight="false" outlineLevel="0" collapsed="false">
      <c r="A4" s="3" t="s">
        <v>1336</v>
      </c>
      <c r="B4" s="3" t="s">
        <v>1340</v>
      </c>
      <c r="C4" s="6" t="n">
        <v>580</v>
      </c>
      <c r="D4" s="3" t="s">
        <v>1338</v>
      </c>
    </row>
    <row r="5" customFormat="false" ht="15" hidden="false" customHeight="false" outlineLevel="0" collapsed="false">
      <c r="A5" s="3" t="s">
        <v>1336</v>
      </c>
      <c r="B5" s="3" t="s">
        <v>1341</v>
      </c>
      <c r="C5" s="6" t="n">
        <v>580</v>
      </c>
      <c r="D5" s="3" t="s">
        <v>1338</v>
      </c>
    </row>
    <row r="6" customFormat="false" ht="15" hidden="false" customHeight="false" outlineLevel="0" collapsed="false">
      <c r="A6" s="3" t="s">
        <v>1336</v>
      </c>
      <c r="B6" s="3" t="s">
        <v>1342</v>
      </c>
      <c r="C6" s="6" t="n">
        <v>420</v>
      </c>
      <c r="D6" s="3" t="s">
        <v>1338</v>
      </c>
    </row>
    <row r="7" customFormat="false" ht="15" hidden="false" customHeight="false" outlineLevel="0" collapsed="false">
      <c r="A7" s="3" t="s">
        <v>1336</v>
      </c>
      <c r="B7" s="3" t="s">
        <v>1343</v>
      </c>
      <c r="C7" s="6" t="n">
        <v>480</v>
      </c>
      <c r="D7" s="3" t="s">
        <v>1338</v>
      </c>
    </row>
    <row r="8" customFormat="false" ht="15" hidden="false" customHeight="false" outlineLevel="0" collapsed="false">
      <c r="A8" s="3" t="s">
        <v>1336</v>
      </c>
      <c r="B8" s="3" t="s">
        <v>1344</v>
      </c>
      <c r="C8" s="6" t="n">
        <v>420</v>
      </c>
      <c r="D8" s="3" t="s">
        <v>1338</v>
      </c>
    </row>
    <row r="9" customFormat="false" ht="15" hidden="false" customHeight="false" outlineLevel="0" collapsed="false">
      <c r="A9" s="3" t="s">
        <v>1336</v>
      </c>
      <c r="B9" s="3" t="s">
        <v>1345</v>
      </c>
      <c r="C9" s="6" t="n">
        <v>480</v>
      </c>
      <c r="D9" s="3" t="s">
        <v>1338</v>
      </c>
    </row>
    <row r="10" customFormat="false" ht="15" hidden="false" customHeight="false" outlineLevel="0" collapsed="false">
      <c r="A10" s="3" t="s">
        <v>1336</v>
      </c>
      <c r="B10" s="3" t="s">
        <v>1346</v>
      </c>
      <c r="C10" s="6" t="n">
        <v>65</v>
      </c>
      <c r="D10" s="3" t="s">
        <v>1338</v>
      </c>
    </row>
    <row r="11" customFormat="false" ht="15" hidden="false" customHeight="false" outlineLevel="0" collapsed="false">
      <c r="A11" s="3" t="s">
        <v>1336</v>
      </c>
      <c r="B11" s="3" t="s">
        <v>1347</v>
      </c>
      <c r="C11" s="6" t="n">
        <v>65</v>
      </c>
      <c r="D11" s="3" t="s">
        <v>1338</v>
      </c>
    </row>
    <row r="12" customFormat="false" ht="15" hidden="false" customHeight="false" outlineLevel="0" collapsed="false">
      <c r="A12" s="3" t="s">
        <v>1336</v>
      </c>
      <c r="B12" s="3" t="s">
        <v>1348</v>
      </c>
      <c r="C12" s="6" t="n">
        <v>65</v>
      </c>
      <c r="D12" s="3" t="s">
        <v>1338</v>
      </c>
    </row>
    <row r="13" customFormat="false" ht="15" hidden="false" customHeight="false" outlineLevel="0" collapsed="false">
      <c r="A13" s="3" t="s">
        <v>1336</v>
      </c>
      <c r="B13" s="3" t="s">
        <v>1349</v>
      </c>
      <c r="C13" s="6" t="n">
        <v>240</v>
      </c>
      <c r="D13" s="3" t="s">
        <v>1338</v>
      </c>
    </row>
    <row r="14" customFormat="false" ht="15" hidden="false" customHeight="false" outlineLevel="0" collapsed="false">
      <c r="A14" s="3" t="s">
        <v>1336</v>
      </c>
      <c r="B14" s="3" t="s">
        <v>1350</v>
      </c>
      <c r="C14" s="6" t="n">
        <v>240</v>
      </c>
      <c r="D14" s="3" t="s">
        <v>1338</v>
      </c>
    </row>
    <row r="15" customFormat="false" ht="15" hidden="false" customHeight="false" outlineLevel="0" collapsed="false">
      <c r="A15" s="3" t="s">
        <v>1336</v>
      </c>
      <c r="B15" s="3" t="s">
        <v>1351</v>
      </c>
      <c r="C15" s="6" t="n">
        <v>210</v>
      </c>
      <c r="D15" s="3" t="s">
        <v>1338</v>
      </c>
    </row>
    <row r="16" customFormat="false" ht="15" hidden="false" customHeight="false" outlineLevel="0" collapsed="false">
      <c r="A16" s="3" t="s">
        <v>1336</v>
      </c>
      <c r="B16" s="3" t="s">
        <v>1352</v>
      </c>
      <c r="C16" s="6" t="n">
        <v>590</v>
      </c>
      <c r="D16" s="3" t="s">
        <v>1338</v>
      </c>
    </row>
    <row r="17" customFormat="false" ht="15" hidden="false" customHeight="false" outlineLevel="0" collapsed="false">
      <c r="A17" s="3" t="s">
        <v>1336</v>
      </c>
      <c r="B17" s="3" t="s">
        <v>1353</v>
      </c>
      <c r="C17" s="6" t="n">
        <v>570</v>
      </c>
      <c r="D17" s="3" t="s">
        <v>1338</v>
      </c>
    </row>
    <row r="18" customFormat="false" ht="15" hidden="false" customHeight="false" outlineLevel="0" collapsed="false">
      <c r="A18" s="3" t="s">
        <v>1336</v>
      </c>
      <c r="B18" s="3" t="s">
        <v>1354</v>
      </c>
      <c r="C18" s="6" t="n">
        <v>260</v>
      </c>
      <c r="D18" s="3" t="s">
        <v>1338</v>
      </c>
    </row>
    <row r="19" customFormat="false" ht="15" hidden="false" customHeight="false" outlineLevel="0" collapsed="false">
      <c r="A19" s="3" t="s">
        <v>1336</v>
      </c>
      <c r="B19" s="3" t="s">
        <v>1355</v>
      </c>
      <c r="C19" s="6" t="n">
        <v>280.8</v>
      </c>
      <c r="D19" s="3" t="s">
        <v>1338</v>
      </c>
    </row>
    <row r="20" customFormat="false" ht="15" hidden="false" customHeight="false" outlineLevel="0" collapsed="false">
      <c r="A20" s="3" t="s">
        <v>1336</v>
      </c>
      <c r="B20" s="3" t="s">
        <v>1356</v>
      </c>
      <c r="C20" s="6" t="n">
        <v>749</v>
      </c>
      <c r="D20" s="3" t="s">
        <v>1338</v>
      </c>
    </row>
    <row r="21" customFormat="false" ht="15" hidden="false" customHeight="false" outlineLevel="0" collapsed="false">
      <c r="A21" s="3" t="s">
        <v>1336</v>
      </c>
      <c r="B21" s="3" t="s">
        <v>1357</v>
      </c>
      <c r="C21" s="6" t="n">
        <v>730</v>
      </c>
      <c r="D21" s="3" t="s">
        <v>1338</v>
      </c>
    </row>
    <row r="22" customFormat="false" ht="15" hidden="false" customHeight="false" outlineLevel="0" collapsed="false">
      <c r="A22" s="3" t="s">
        <v>1336</v>
      </c>
      <c r="B22" s="3" t="s">
        <v>1358</v>
      </c>
      <c r="C22" s="6" t="n">
        <v>595</v>
      </c>
      <c r="D22" s="3" t="s">
        <v>1338</v>
      </c>
    </row>
    <row r="23" customFormat="false" ht="15" hidden="false" customHeight="false" outlineLevel="0" collapsed="false">
      <c r="A23" s="3" t="s">
        <v>1336</v>
      </c>
      <c r="B23" s="3" t="s">
        <v>1359</v>
      </c>
      <c r="C23" s="6" t="n">
        <v>730</v>
      </c>
      <c r="D23" s="3" t="s">
        <v>1338</v>
      </c>
    </row>
    <row r="24" customFormat="false" ht="15" hidden="false" customHeight="false" outlineLevel="0" collapsed="false">
      <c r="A24" s="3" t="s">
        <v>1336</v>
      </c>
      <c r="B24" s="3" t="s">
        <v>1360</v>
      </c>
      <c r="C24" s="6" t="n">
        <v>890</v>
      </c>
      <c r="D24" s="3" t="s">
        <v>1338</v>
      </c>
    </row>
    <row r="25" customFormat="false" ht="15" hidden="false" customHeight="false" outlineLevel="0" collapsed="false">
      <c r="A25" s="3" t="s">
        <v>1336</v>
      </c>
      <c r="B25" s="3" t="s">
        <v>1361</v>
      </c>
      <c r="C25" s="6" t="n">
        <v>560</v>
      </c>
      <c r="D25" s="3" t="s">
        <v>1338</v>
      </c>
    </row>
    <row r="26" customFormat="false" ht="15" hidden="false" customHeight="false" outlineLevel="0" collapsed="false">
      <c r="A26" s="3" t="s">
        <v>1336</v>
      </c>
      <c r="B26" s="3" t="s">
        <v>1362</v>
      </c>
      <c r="C26" s="6" t="n">
        <v>604.8</v>
      </c>
      <c r="D26" s="3" t="s">
        <v>1338</v>
      </c>
    </row>
    <row r="27" customFormat="false" ht="15" hidden="false" customHeight="false" outlineLevel="0" collapsed="false">
      <c r="A27" s="3" t="s">
        <v>1336</v>
      </c>
      <c r="B27" s="3" t="s">
        <v>1363</v>
      </c>
      <c r="C27" s="6" t="n">
        <v>19.99</v>
      </c>
      <c r="D27" s="3" t="s">
        <v>1338</v>
      </c>
    </row>
    <row r="28" customFormat="false" ht="15" hidden="false" customHeight="false" outlineLevel="0" collapsed="false">
      <c r="A28" s="3" t="s">
        <v>1364</v>
      </c>
      <c r="B28" s="3" t="s">
        <v>1365</v>
      </c>
      <c r="C28" s="6" t="n">
        <v>75</v>
      </c>
      <c r="D28" s="3" t="s">
        <v>1338</v>
      </c>
    </row>
    <row r="29" customFormat="false" ht="15" hidden="false" customHeight="false" outlineLevel="0" collapsed="false">
      <c r="A29" s="3" t="s">
        <v>1364</v>
      </c>
      <c r="B29" s="3" t="s">
        <v>1366</v>
      </c>
      <c r="C29" s="6" t="n">
        <v>149</v>
      </c>
      <c r="D29" s="3" t="s">
        <v>1338</v>
      </c>
    </row>
    <row r="30" customFormat="false" ht="15" hidden="false" customHeight="false" outlineLevel="0" collapsed="false">
      <c r="A30" s="3" t="s">
        <v>1364</v>
      </c>
      <c r="B30" s="3" t="s">
        <v>1367</v>
      </c>
      <c r="C30" s="6" t="n">
        <v>75</v>
      </c>
      <c r="D30" s="3" t="s">
        <v>1338</v>
      </c>
    </row>
    <row r="31" customFormat="false" ht="15" hidden="false" customHeight="false" outlineLevel="0" collapsed="false">
      <c r="A31" s="3" t="s">
        <v>1364</v>
      </c>
      <c r="B31" s="3" t="s">
        <v>1368</v>
      </c>
      <c r="C31" s="6" t="n">
        <v>75</v>
      </c>
      <c r="D31" s="3" t="s">
        <v>1338</v>
      </c>
    </row>
    <row r="32" customFormat="false" ht="15" hidden="false" customHeight="false" outlineLevel="0" collapsed="false">
      <c r="A32" s="3" t="s">
        <v>1364</v>
      </c>
      <c r="B32" s="3" t="s">
        <v>1369</v>
      </c>
      <c r="C32" s="6" t="n">
        <v>75</v>
      </c>
      <c r="D32" s="3" t="s">
        <v>1338</v>
      </c>
    </row>
    <row r="33" customFormat="false" ht="15" hidden="false" customHeight="false" outlineLevel="0" collapsed="false">
      <c r="A33" s="3" t="s">
        <v>1364</v>
      </c>
      <c r="B33" s="3" t="s">
        <v>1370</v>
      </c>
      <c r="C33" s="6" t="n">
        <v>149</v>
      </c>
      <c r="D33" s="3" t="s">
        <v>1338</v>
      </c>
    </row>
    <row r="34" customFormat="false" ht="15" hidden="false" customHeight="false" outlineLevel="0" collapsed="false">
      <c r="A34" s="3" t="s">
        <v>1364</v>
      </c>
      <c r="B34" s="3" t="s">
        <v>1371</v>
      </c>
      <c r="C34" s="6" t="n">
        <v>149</v>
      </c>
      <c r="D34" s="3" t="s">
        <v>1338</v>
      </c>
    </row>
    <row r="35" customFormat="false" ht="15" hidden="false" customHeight="false" outlineLevel="0" collapsed="false">
      <c r="A35" s="3" t="s">
        <v>1364</v>
      </c>
      <c r="B35" s="3" t="s">
        <v>1372</v>
      </c>
      <c r="C35" s="6" t="n">
        <v>149</v>
      </c>
      <c r="D35" s="3" t="s">
        <v>1338</v>
      </c>
    </row>
    <row r="36" customFormat="false" ht="15" hidden="false" customHeight="false" outlineLevel="0" collapsed="false">
      <c r="A36" s="3" t="s">
        <v>1373</v>
      </c>
      <c r="B36" s="3" t="s">
        <v>1374</v>
      </c>
      <c r="C36" s="6" t="n">
        <v>675</v>
      </c>
      <c r="D36" s="3" t="s">
        <v>1338</v>
      </c>
    </row>
    <row r="37" customFormat="false" ht="15" hidden="false" customHeight="false" outlineLevel="0" collapsed="false">
      <c r="A37" s="3" t="s">
        <v>1373</v>
      </c>
      <c r="B37" s="3" t="s">
        <v>1375</v>
      </c>
      <c r="C37" s="6" t="n">
        <v>850</v>
      </c>
      <c r="D37" s="3" t="s">
        <v>1338</v>
      </c>
    </row>
    <row r="38" customFormat="false" ht="15" hidden="false" customHeight="false" outlineLevel="0" collapsed="false">
      <c r="A38" s="3" t="s">
        <v>1373</v>
      </c>
      <c r="B38" s="3" t="s">
        <v>1376</v>
      </c>
      <c r="C38" s="6" t="n">
        <v>480</v>
      </c>
      <c r="D38" s="3" t="s">
        <v>1338</v>
      </c>
    </row>
    <row r="39" customFormat="false" ht="15" hidden="false" customHeight="false" outlineLevel="0" collapsed="false">
      <c r="A39" s="3" t="s">
        <v>1373</v>
      </c>
      <c r="B39" s="3" t="s">
        <v>1377</v>
      </c>
      <c r="C39" s="6" t="n">
        <v>430</v>
      </c>
      <c r="D39" s="3" t="s">
        <v>1338</v>
      </c>
    </row>
    <row r="40" customFormat="false" ht="15" hidden="false" customHeight="false" outlineLevel="0" collapsed="false">
      <c r="A40" s="3" t="s">
        <v>1373</v>
      </c>
      <c r="B40" s="3" t="s">
        <v>1378</v>
      </c>
      <c r="C40" s="6" t="n">
        <v>360</v>
      </c>
      <c r="D40" s="3" t="s">
        <v>1338</v>
      </c>
    </row>
    <row r="41" customFormat="false" ht="15" hidden="false" customHeight="false" outlineLevel="0" collapsed="false">
      <c r="A41" s="3" t="s">
        <v>1373</v>
      </c>
      <c r="B41" s="3" t="s">
        <v>1379</v>
      </c>
      <c r="C41" s="6" t="n">
        <v>300</v>
      </c>
      <c r="D41" s="3" t="s">
        <v>1338</v>
      </c>
    </row>
    <row r="42" customFormat="false" ht="15" hidden="false" customHeight="false" outlineLevel="0" collapsed="false">
      <c r="A42" s="3" t="s">
        <v>1373</v>
      </c>
      <c r="B42" s="3" t="s">
        <v>1380</v>
      </c>
      <c r="C42" s="6" t="n">
        <v>559</v>
      </c>
      <c r="D42" s="3" t="s">
        <v>1338</v>
      </c>
    </row>
    <row r="43" customFormat="false" ht="15" hidden="false" customHeight="false" outlineLevel="0" collapsed="false">
      <c r="A43" s="3" t="s">
        <v>1373</v>
      </c>
      <c r="B43" s="3" t="s">
        <v>1381</v>
      </c>
      <c r="C43" s="6" t="n">
        <v>360</v>
      </c>
      <c r="D43" s="3" t="s">
        <v>1338</v>
      </c>
    </row>
    <row r="44" customFormat="false" ht="15" hidden="false" customHeight="false" outlineLevel="0" collapsed="false">
      <c r="A44" s="3" t="s">
        <v>1373</v>
      </c>
      <c r="B44" s="3" t="s">
        <v>1382</v>
      </c>
      <c r="C44" s="6" t="n">
        <v>480</v>
      </c>
      <c r="D44" s="3" t="s">
        <v>1338</v>
      </c>
    </row>
    <row r="45" customFormat="false" ht="15" hidden="false" customHeight="false" outlineLevel="0" collapsed="false">
      <c r="A45" s="3" t="s">
        <v>1373</v>
      </c>
      <c r="B45" s="3" t="s">
        <v>1383</v>
      </c>
      <c r="C45" s="6" t="n">
        <v>850</v>
      </c>
      <c r="D45" s="3" t="s">
        <v>1338</v>
      </c>
    </row>
    <row r="46" customFormat="false" ht="15" hidden="false" customHeight="false" outlineLevel="0" collapsed="false">
      <c r="A46" s="3" t="s">
        <v>1384</v>
      </c>
      <c r="B46" s="3" t="s">
        <v>23</v>
      </c>
      <c r="C46" s="6" t="n">
        <v>410</v>
      </c>
      <c r="D46" s="3" t="s">
        <v>1338</v>
      </c>
    </row>
    <row r="47" customFormat="false" ht="15" hidden="false" customHeight="false" outlineLevel="0" collapsed="false">
      <c r="A47" s="3" t="s">
        <v>1385</v>
      </c>
      <c r="B47" s="3" t="s">
        <v>23</v>
      </c>
      <c r="C47" s="6" t="n">
        <v>410</v>
      </c>
      <c r="D47" s="3" t="s">
        <v>1338</v>
      </c>
    </row>
    <row r="48" customFormat="false" ht="15" hidden="false" customHeight="false" outlineLevel="0" collapsed="false">
      <c r="A48" s="3" t="s">
        <v>1386</v>
      </c>
      <c r="B48" s="3" t="s">
        <v>23</v>
      </c>
      <c r="C48" s="6" t="n">
        <v>410</v>
      </c>
      <c r="D48" s="3" t="s">
        <v>1338</v>
      </c>
    </row>
    <row r="49" customFormat="false" ht="15" hidden="false" customHeight="false" outlineLevel="0" collapsed="false">
      <c r="A49" s="3" t="s">
        <v>1387</v>
      </c>
      <c r="B49" s="3" t="s">
        <v>23</v>
      </c>
      <c r="C49" s="6" t="n">
        <v>410</v>
      </c>
      <c r="D49" s="3" t="s">
        <v>1338</v>
      </c>
    </row>
    <row r="50" customFormat="false" ht="15" hidden="false" customHeight="false" outlineLevel="0" collapsed="false">
      <c r="A50" s="3" t="s">
        <v>1388</v>
      </c>
      <c r="B50" s="3" t="s">
        <v>23</v>
      </c>
      <c r="C50" s="6" t="n">
        <v>410</v>
      </c>
      <c r="D50" s="3" t="s">
        <v>1338</v>
      </c>
    </row>
    <row r="51" customFormat="false" ht="15" hidden="false" customHeight="false" outlineLevel="0" collapsed="false">
      <c r="A51" s="3" t="s">
        <v>1389</v>
      </c>
      <c r="B51" s="3" t="s">
        <v>23</v>
      </c>
      <c r="C51" s="6" t="n">
        <v>410</v>
      </c>
      <c r="D51" s="3" t="s">
        <v>1338</v>
      </c>
    </row>
    <row r="52" customFormat="false" ht="15" hidden="false" customHeight="false" outlineLevel="0" collapsed="false">
      <c r="A52" s="3" t="s">
        <v>1390</v>
      </c>
      <c r="B52" s="3" t="s">
        <v>23</v>
      </c>
      <c r="C52" s="6" t="n">
        <v>410</v>
      </c>
      <c r="D52" s="3" t="s">
        <v>1338</v>
      </c>
    </row>
    <row r="53" customFormat="false" ht="15" hidden="false" customHeight="false" outlineLevel="0" collapsed="false">
      <c r="A53" s="3" t="s">
        <v>1391</v>
      </c>
      <c r="B53" s="3" t="s">
        <v>23</v>
      </c>
      <c r="C53" s="6" t="n">
        <v>410</v>
      </c>
      <c r="D53" s="3" t="s">
        <v>1338</v>
      </c>
    </row>
  </sheetData>
  <autoFilter ref="A1:D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5" min="3" style="0" width="13"/>
    <col collapsed="false" customWidth="true" hidden="false" outlineLevel="0" max="6" min="6" style="0" width="62"/>
  </cols>
  <sheetData>
    <row r="1" customFormat="false" ht="30" hidden="false" customHeight="true" outlineLevel="0" collapsed="false">
      <c r="A1" s="5" t="s">
        <v>14</v>
      </c>
      <c r="B1" s="5" t="s">
        <v>17</v>
      </c>
      <c r="C1" s="5" t="s">
        <v>1392</v>
      </c>
      <c r="D1" s="5" t="s">
        <v>1393</v>
      </c>
      <c r="E1" s="5" t="s">
        <v>1394</v>
      </c>
      <c r="F1" s="5" t="s">
        <v>3</v>
      </c>
    </row>
    <row r="2" customFormat="false" ht="15" hidden="false" customHeight="false" outlineLevel="0" collapsed="false">
      <c r="A2" s="3" t="s">
        <v>1395</v>
      </c>
      <c r="B2" s="3" t="n">
        <v>3</v>
      </c>
      <c r="C2" s="6" t="n">
        <v>29.99</v>
      </c>
      <c r="D2" s="6" t="n">
        <v>24.99</v>
      </c>
      <c r="E2" s="6" t="n">
        <v>35</v>
      </c>
      <c r="F2" s="3" t="s">
        <v>1396</v>
      </c>
    </row>
    <row r="3" customFormat="false" ht="15" hidden="false" customHeight="false" outlineLevel="0" collapsed="false">
      <c r="A3" s="3" t="s">
        <v>1397</v>
      </c>
      <c r="B3" s="3" t="n">
        <v>1</v>
      </c>
      <c r="C3" s="6" t="n">
        <v>49.99</v>
      </c>
      <c r="D3" s="6" t="n">
        <v>30</v>
      </c>
      <c r="E3" s="6" t="n">
        <v>61</v>
      </c>
      <c r="F3" s="3" t="s">
        <v>1396</v>
      </c>
    </row>
    <row r="4" customFormat="false" ht="15" hidden="false" customHeight="false" outlineLevel="0" collapsed="false">
      <c r="A4" s="3" t="s">
        <v>1398</v>
      </c>
      <c r="B4" s="3" t="n">
        <v>2</v>
      </c>
      <c r="C4" s="6" t="n">
        <v>119.99</v>
      </c>
      <c r="D4" s="6" t="n">
        <v>60</v>
      </c>
      <c r="E4" s="6" t="n">
        <v>142</v>
      </c>
      <c r="F4" s="3" t="s">
        <v>1396</v>
      </c>
    </row>
    <row r="5" customFormat="false" ht="15" hidden="false" customHeight="false" outlineLevel="0" collapsed="false">
      <c r="A5" s="3" t="s">
        <v>1399</v>
      </c>
      <c r="B5" s="3" t="n">
        <v>1</v>
      </c>
      <c r="C5" s="6" t="n">
        <v>8.22</v>
      </c>
      <c r="D5" s="6" t="n">
        <v>14</v>
      </c>
      <c r="E5" s="6" t="n">
        <v>10.5</v>
      </c>
      <c r="F5" s="3" t="s">
        <v>1396</v>
      </c>
    </row>
    <row r="6" customFormat="false" ht="15" hidden="false" customHeight="false" outlineLevel="0" collapsed="false">
      <c r="A6" s="3" t="s">
        <v>1400</v>
      </c>
      <c r="B6" s="3" t="n">
        <v>1</v>
      </c>
      <c r="C6" s="6" t="n">
        <v>34.99</v>
      </c>
      <c r="D6" s="6" t="n">
        <v>29.99</v>
      </c>
      <c r="E6" s="6" t="n">
        <v>43</v>
      </c>
      <c r="F6" s="3" t="s">
        <v>1396</v>
      </c>
    </row>
    <row r="7" customFormat="false" ht="15" hidden="false" customHeight="false" outlineLevel="0" collapsed="false">
      <c r="A7" s="3" t="s">
        <v>1401</v>
      </c>
      <c r="B7" s="3" t="n">
        <v>1</v>
      </c>
      <c r="C7" s="6" t="n">
        <v>6.22</v>
      </c>
      <c r="D7" s="6" t="n">
        <v>16.15</v>
      </c>
      <c r="E7" s="6" t="n">
        <v>8</v>
      </c>
      <c r="F7" s="3" t="s">
        <v>1396</v>
      </c>
    </row>
    <row r="8" customFormat="false" ht="15" hidden="false" customHeight="false" outlineLevel="0" collapsed="false">
      <c r="A8" s="3" t="s">
        <v>1402</v>
      </c>
      <c r="B8" s="3" t="n">
        <v>3</v>
      </c>
      <c r="C8" s="6" t="n">
        <v>55</v>
      </c>
      <c r="D8" s="6" t="n">
        <v>75</v>
      </c>
      <c r="E8" s="6" t="n">
        <v>64</v>
      </c>
      <c r="F8" s="3" t="s">
        <v>1396</v>
      </c>
    </row>
    <row r="9" customFormat="false" ht="15" hidden="false" customHeight="false" outlineLevel="0" collapsed="false">
      <c r="A9" s="3" t="s">
        <v>1403</v>
      </c>
      <c r="B9" s="3" t="n">
        <v>1</v>
      </c>
      <c r="C9" s="6" t="n">
        <v>36</v>
      </c>
      <c r="D9" s="6" t="n">
        <v>49.99</v>
      </c>
      <c r="E9" s="6" t="n">
        <v>44</v>
      </c>
      <c r="F9" s="3" t="s">
        <v>1396</v>
      </c>
    </row>
    <row r="10" customFormat="false" ht="15" hidden="false" customHeight="false" outlineLevel="0" collapsed="false">
      <c r="A10" s="3" t="s">
        <v>1404</v>
      </c>
      <c r="B10" s="3" t="n">
        <v>3</v>
      </c>
      <c r="C10" s="6" t="n">
        <v>250</v>
      </c>
      <c r="D10" s="6" t="n">
        <v>325</v>
      </c>
      <c r="E10" s="6" t="n">
        <v>290</v>
      </c>
      <c r="F10" s="3" t="s">
        <v>1396</v>
      </c>
    </row>
    <row r="11" customFormat="false" ht="15" hidden="false" customHeight="false" outlineLevel="0" collapsed="false">
      <c r="A11" s="3" t="s">
        <v>1405</v>
      </c>
      <c r="B11" s="3" t="n">
        <v>5</v>
      </c>
      <c r="C11" s="6" t="n">
        <v>850</v>
      </c>
      <c r="D11" s="6" t="n">
        <v>910</v>
      </c>
      <c r="E11" s="6" t="n">
        <v>867</v>
      </c>
      <c r="F11" s="3" t="s">
        <v>1396</v>
      </c>
    </row>
    <row r="12" customFormat="false" ht="15" hidden="false" customHeight="false" outlineLevel="0" collapsed="false">
      <c r="A12" s="3" t="s">
        <v>1406</v>
      </c>
      <c r="B12" s="3" t="n">
        <v>1</v>
      </c>
      <c r="C12" s="6" t="n">
        <v>9.92</v>
      </c>
      <c r="D12" s="6" t="n">
        <v>19.95</v>
      </c>
      <c r="E12" s="6" t="n">
        <v>12.5</v>
      </c>
      <c r="F12" s="3" t="s">
        <v>1396</v>
      </c>
    </row>
    <row r="13" customFormat="false" ht="15" hidden="false" customHeight="false" outlineLevel="0" collapsed="false">
      <c r="A13" s="3" t="s">
        <v>1407</v>
      </c>
      <c r="B13" s="3" t="n">
        <v>1</v>
      </c>
      <c r="C13" s="6" t="n">
        <v>120</v>
      </c>
      <c r="D13" s="6" t="n">
        <v>100</v>
      </c>
      <c r="E13" s="6" t="n">
        <v>147</v>
      </c>
      <c r="F13" s="3" t="s">
        <v>1396</v>
      </c>
    </row>
    <row r="14" customFormat="false" ht="15" hidden="false" customHeight="false" outlineLevel="0" collapsed="false">
      <c r="A14" s="3" t="s">
        <v>1408</v>
      </c>
      <c r="B14" s="3" t="n">
        <v>1</v>
      </c>
      <c r="C14" s="6" t="n">
        <v>161</v>
      </c>
      <c r="D14" s="6" t="n">
        <v>184.99</v>
      </c>
      <c r="E14" s="6" t="n">
        <v>197</v>
      </c>
      <c r="F14" s="3" t="s">
        <v>1396</v>
      </c>
    </row>
    <row r="15" customFormat="false" ht="15" hidden="false" customHeight="false" outlineLevel="0" collapsed="false">
      <c r="A15" s="3" t="s">
        <v>1409</v>
      </c>
      <c r="B15" s="3" t="n">
        <v>1</v>
      </c>
      <c r="C15" s="6" t="n">
        <v>6.23</v>
      </c>
      <c r="D15" s="6" t="n">
        <v>9</v>
      </c>
      <c r="E15" s="6" t="n">
        <v>8</v>
      </c>
      <c r="F15" s="3" t="s">
        <v>1396</v>
      </c>
    </row>
    <row r="16" customFormat="false" ht="15" hidden="false" customHeight="false" outlineLevel="0" collapsed="false">
      <c r="A16" s="3" t="s">
        <v>1410</v>
      </c>
      <c r="B16" s="3" t="n">
        <v>1</v>
      </c>
      <c r="C16" s="6" t="n">
        <v>21.54</v>
      </c>
      <c r="D16" s="6" t="n">
        <v>19.99</v>
      </c>
      <c r="E16" s="6" t="n">
        <v>26.5</v>
      </c>
      <c r="F16" s="3" t="s">
        <v>1396</v>
      </c>
    </row>
    <row r="17" customFormat="false" ht="15" hidden="false" customHeight="false" outlineLevel="0" collapsed="false">
      <c r="A17" s="3" t="s">
        <v>1411</v>
      </c>
      <c r="B17" s="3" t="n">
        <v>1</v>
      </c>
      <c r="C17" s="6" t="n">
        <v>199.99</v>
      </c>
      <c r="D17" s="6" t="n">
        <v>250</v>
      </c>
      <c r="E17" s="6" t="n">
        <v>244</v>
      </c>
      <c r="F17" s="3" t="s">
        <v>1396</v>
      </c>
    </row>
    <row r="18" customFormat="false" ht="15" hidden="false" customHeight="false" outlineLevel="0" collapsed="false">
      <c r="A18" s="3" t="s">
        <v>1412</v>
      </c>
      <c r="B18" s="3" t="n">
        <v>1</v>
      </c>
      <c r="C18" s="6" t="n">
        <v>149.99</v>
      </c>
      <c r="D18" s="6" t="n">
        <v>119.99</v>
      </c>
      <c r="E18" s="6" t="n">
        <v>183</v>
      </c>
      <c r="F18" s="3" t="s">
        <v>1396</v>
      </c>
    </row>
    <row r="19" customFormat="false" ht="15" hidden="false" customHeight="false" outlineLevel="0" collapsed="false">
      <c r="A19" s="3" t="s">
        <v>1413</v>
      </c>
      <c r="B19" s="3" t="n">
        <v>1</v>
      </c>
      <c r="C19" s="6" t="n">
        <v>11.05</v>
      </c>
      <c r="D19" s="6"/>
      <c r="E19" s="6" t="n">
        <v>13.5</v>
      </c>
      <c r="F19" s="3" t="s">
        <v>1414</v>
      </c>
    </row>
    <row r="20" customFormat="false" ht="15" hidden="false" customHeight="false" outlineLevel="0" collapsed="false">
      <c r="A20" s="3" t="s">
        <v>1415</v>
      </c>
      <c r="B20" s="3" t="n">
        <v>3</v>
      </c>
      <c r="C20" s="6" t="n">
        <v>650</v>
      </c>
      <c r="D20" s="6"/>
      <c r="E20" s="6" t="n">
        <v>754</v>
      </c>
      <c r="F20" s="3" t="s">
        <v>1414</v>
      </c>
    </row>
    <row r="21" customFormat="false" ht="15" hidden="false" customHeight="false" outlineLevel="0" collapsed="false">
      <c r="A21" s="3" t="s">
        <v>1416</v>
      </c>
      <c r="B21" s="3" t="n">
        <v>1</v>
      </c>
      <c r="C21" s="6" t="n">
        <v>350</v>
      </c>
      <c r="D21" s="6"/>
      <c r="E21" s="6" t="n">
        <v>427</v>
      </c>
      <c r="F21" s="3" t="s">
        <v>1414</v>
      </c>
    </row>
  </sheetData>
  <autoFilter ref="A1:F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62"/>
  </cols>
  <sheetData>
    <row r="1" customFormat="false" ht="30" hidden="false" customHeight="true" outlineLevel="0" collapsed="false">
      <c r="A1" s="5" t="s">
        <v>14</v>
      </c>
      <c r="B1" s="5" t="s">
        <v>17</v>
      </c>
      <c r="C1" s="5" t="s">
        <v>1417</v>
      </c>
      <c r="D1" s="5" t="s">
        <v>1394</v>
      </c>
      <c r="E1" s="5" t="s">
        <v>1418</v>
      </c>
    </row>
    <row r="2" customFormat="false" ht="15" hidden="false" customHeight="false" outlineLevel="0" collapsed="false">
      <c r="A2" s="3" t="s">
        <v>1419</v>
      </c>
      <c r="B2" s="3" t="n">
        <v>1</v>
      </c>
      <c r="C2" s="6" t="n">
        <v>575</v>
      </c>
      <c r="D2" s="6" t="n">
        <v>702</v>
      </c>
      <c r="E2" s="3" t="s">
        <v>1420</v>
      </c>
    </row>
    <row r="3" customFormat="false" ht="15" hidden="false" customHeight="false" outlineLevel="0" collapsed="false">
      <c r="A3" s="3" t="s">
        <v>1421</v>
      </c>
      <c r="B3" s="3" t="n">
        <v>1</v>
      </c>
      <c r="C3" s="6" t="n">
        <v>574.99</v>
      </c>
      <c r="D3" s="6" t="n">
        <v>702</v>
      </c>
      <c r="E3" s="3" t="s">
        <v>1420</v>
      </c>
    </row>
    <row r="4" customFormat="false" ht="15" hidden="false" customHeight="false" outlineLevel="0" collapsed="false">
      <c r="A4" s="3" t="s">
        <v>1422</v>
      </c>
      <c r="B4" s="3" t="n">
        <v>1</v>
      </c>
      <c r="C4" s="6" t="n">
        <v>574.99</v>
      </c>
      <c r="D4" s="6" t="n">
        <v>702</v>
      </c>
      <c r="E4" s="3" t="s">
        <v>1420</v>
      </c>
    </row>
    <row r="5" customFormat="false" ht="15" hidden="false" customHeight="false" outlineLevel="0" collapsed="false">
      <c r="A5" s="3" t="s">
        <v>1423</v>
      </c>
      <c r="B5" s="3" t="n">
        <v>1</v>
      </c>
      <c r="C5" s="6" t="n">
        <v>574.99</v>
      </c>
      <c r="D5" s="6" t="n">
        <v>702</v>
      </c>
      <c r="E5" s="3" t="s">
        <v>1420</v>
      </c>
    </row>
    <row r="6" customFormat="false" ht="15" hidden="false" customHeight="false" outlineLevel="0" collapsed="false">
      <c r="A6" s="3" t="s">
        <v>1424</v>
      </c>
      <c r="B6" s="3" t="n">
        <v>1</v>
      </c>
      <c r="C6" s="6" t="n">
        <v>574.99</v>
      </c>
      <c r="D6" s="6" t="n">
        <v>702</v>
      </c>
      <c r="E6" s="3" t="s">
        <v>1420</v>
      </c>
    </row>
    <row r="7" customFormat="false" ht="15" hidden="false" customHeight="false" outlineLevel="0" collapsed="false">
      <c r="A7" s="3" t="s">
        <v>1425</v>
      </c>
      <c r="B7" s="3" t="n">
        <v>1</v>
      </c>
      <c r="C7" s="6" t="n">
        <v>599.99</v>
      </c>
      <c r="D7" s="6" t="n">
        <v>732</v>
      </c>
      <c r="E7" s="3" t="s">
        <v>1420</v>
      </c>
    </row>
    <row r="8" customFormat="false" ht="15" hidden="false" customHeight="false" outlineLevel="0" collapsed="false">
      <c r="A8" s="3" t="s">
        <v>1426</v>
      </c>
      <c r="B8" s="3" t="n">
        <v>1</v>
      </c>
      <c r="C8" s="6" t="n">
        <v>574.99</v>
      </c>
      <c r="D8" s="6" t="n">
        <v>702</v>
      </c>
      <c r="E8" s="3" t="s">
        <v>1420</v>
      </c>
    </row>
    <row r="9" customFormat="false" ht="15" hidden="false" customHeight="false" outlineLevel="0" collapsed="false">
      <c r="A9" s="3" t="s">
        <v>1427</v>
      </c>
      <c r="B9" s="3" t="n">
        <v>1</v>
      </c>
      <c r="C9" s="6" t="n">
        <v>575</v>
      </c>
      <c r="D9" s="6" t="n">
        <v>702</v>
      </c>
      <c r="E9" s="3" t="s">
        <v>1420</v>
      </c>
    </row>
    <row r="10" customFormat="false" ht="15" hidden="false" customHeight="false" outlineLevel="0" collapsed="false">
      <c r="A10" s="3" t="s">
        <v>1428</v>
      </c>
      <c r="B10" s="3" t="n">
        <v>1</v>
      </c>
      <c r="C10" s="6" t="n">
        <v>649.99</v>
      </c>
      <c r="D10" s="6" t="n">
        <v>793</v>
      </c>
      <c r="E10" s="3" t="s">
        <v>1420</v>
      </c>
    </row>
    <row r="11" customFormat="false" ht="15" hidden="false" customHeight="false" outlineLevel="0" collapsed="false">
      <c r="A11" s="3" t="s">
        <v>1429</v>
      </c>
      <c r="B11" s="3" t="n">
        <v>1</v>
      </c>
      <c r="C11" s="6" t="n">
        <v>600</v>
      </c>
      <c r="D11" s="6" t="n">
        <v>732</v>
      </c>
      <c r="E11" s="3" t="s">
        <v>1420</v>
      </c>
    </row>
    <row r="12" customFormat="false" ht="15" hidden="false" customHeight="false" outlineLevel="0" collapsed="false">
      <c r="A12" s="3" t="s">
        <v>1430</v>
      </c>
      <c r="B12" s="3" t="n">
        <v>1</v>
      </c>
      <c r="C12" s="6" t="n">
        <v>599.99</v>
      </c>
      <c r="D12" s="6" t="n">
        <v>732</v>
      </c>
      <c r="E12" s="3" t="s">
        <v>1420</v>
      </c>
    </row>
  </sheetData>
  <autoFilter ref="A1:E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2026-10-24T15:48:01Z</dcterms:created>
  <dc:creator>openpyxl</dc:creator>
  <dc:description/>
  <dc:language>en-US</dc:language>
  <cp:lastModifiedBy/>
  <dcterms:modified xsi:type="dcterms:W3CDTF">2026-10-24T15:48:01Z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