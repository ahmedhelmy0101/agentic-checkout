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Groups" sheetId="1" state="visible" r:id="rId3"/>
    <sheet name="New Prices" sheetId="2" state="visible" r:id="rId4"/>
    <sheet name="Notes" sheetId="3" state="visible" r:id="rId5"/>
  </sheets>
  <definedNames>
    <definedName function="false" hidden="true" localSheetId="1" name="_xlnm._FilterDatabase" vbProcedure="false">'New Prices'!$A$4:$W$1281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4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7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8" authorId="0">
      <text>
        <r>
          <rPr>
            <sz val="10"/>
            <rFont val="Arial"/>
            <family val="2"/>
          </rPr>
          <t xml:space="preserve">Provided by user</t>
        </r>
      </text>
    </comment>
    <comment ref="B10" authorId="0">
      <text>
        <r>
          <rPr>
            <sz val="10"/>
            <rFont val="Arial"/>
            <family val="2"/>
          </rPr>
          <t xml:space="preserve">Provided by user; moves with the riyal</t>
        </r>
      </text>
    </comment>
    <comment ref="B11" authorId="0">
      <text>
        <r>
          <rPr>
            <sz val="10"/>
            <rFont val="Arial"/>
            <family val="2"/>
          </rPr>
          <t xml:space="preserve">Set by user: 580 → 669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5" authorId="0">
      <text>
        <r>
          <rPr>
            <sz val="10"/>
            <rFont val="Arial"/>
            <family val="2"/>
          </rPr>
          <t xml:space="preserve">26 variants – prices listed in the rows below.</t>
        </r>
      </text>
    </comment>
    <comment ref="N39" authorId="0">
      <text>
        <r>
          <rPr>
            <sz val="10"/>
            <rFont val="Arial"/>
            <family val="2"/>
          </rPr>
          <t xml:space="preserve">3 variants – prices listed in the rows below.</t>
        </r>
      </text>
    </comment>
    <comment ref="N58" authorId="0">
      <text>
        <r>
          <rPr>
            <sz val="10"/>
            <rFont val="Arial"/>
            <family val="2"/>
          </rPr>
          <t xml:space="preserve">8 variants – prices listed in the rows below.</t>
        </r>
      </text>
    </comment>
    <comment ref="N168" authorId="0">
      <text>
        <r>
          <rPr>
            <sz val="10"/>
            <rFont val="Arial"/>
            <family val="2"/>
          </rPr>
          <t xml:space="preserve">10 variants – prices listed in the rows below.</t>
        </r>
      </text>
    </comment>
    <comment ref="N1275" authorId="0">
      <text>
        <r>
          <rPr>
            <sz val="10"/>
            <rFont val="Arial"/>
            <family val="2"/>
          </rPr>
          <t xml:space="preserve">3 variants – prices listed in the rows below.</t>
        </r>
      </text>
    </comment>
    <comment ref="N1279" authorId="0">
      <text>
        <r>
          <rPr>
            <sz val="10"/>
            <rFont val="Arial"/>
            <family val="2"/>
          </rPr>
          <t xml:space="preserve">2 variants – prices listed in the rows below.</t>
        </r>
      </text>
    </comment>
    <comment ref="O48" authorId="0">
      <text>
        <r>
          <rPr>
            <sz val="10"/>
            <rFont val="Arial"/>
            <family val="2"/>
          </rPr>
          <t xml:space="preserve">Cost corrected 2.35 → 7.60 on 22 Oct 2026 (matches 10-pack cost per piece).</t>
        </r>
      </text>
    </comment>
    <comment ref="P6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7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8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9" authorId="0">
      <text>
        <r>
          <rPr>
            <sz val="10"/>
            <rFont val="Arial"/>
            <family val="2"/>
          </rPr>
          <t xml:space="preserve">Meal cost 370 EGP (user) scaled to today's rate</t>
        </r>
      </text>
    </comment>
    <comment ref="P10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2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4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5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  <comment ref="P16" authorId="0">
      <text>
        <r>
          <rPr>
            <sz val="10"/>
            <rFont val="Arial"/>
            <family val="2"/>
          </rPr>
          <t xml:space="preserve">Assumed: Shopify cost is EGP at the 12.5 rate, scaled to today's rate</t>
        </r>
      </text>
    </comment>
  </commentList>
</comments>
</file>

<file path=xl/sharedStrings.xml><?xml version="1.0" encoding="utf-8"?>
<sst xmlns="http://schemas.openxmlformats.org/spreadsheetml/2006/main" count="5313" uniqueCount="1485">
  <si>
    <t xml:space="preserve">Price Groups &amp; Assumptions</t>
  </si>
  <si>
    <t xml:space="preserve">Cost multiplier – exchange rate</t>
  </si>
  <si>
    <t xml:space="preserve">Cost multiplier – landed-cost factor</t>
  </si>
  <si>
    <t xml:space="preserve">Total cost multiplier (Shopify cost × this = EGP cost)</t>
  </si>
  <si>
    <t xml:space="preserve">SAR→EGP rate used in current prices</t>
  </si>
  <si>
    <t xml:space="preserve">SAR→EGP rate today (22 Oct 2026)</t>
  </si>
  <si>
    <t xml:space="preserve">Currency increase (target average price increase)</t>
  </si>
  <si>
    <t xml:space="preserve">AlBaik meal cost at old rate (EGP)</t>
  </si>
  <si>
    <t xml:space="preserve">AlBaik meal NEW price (EGP) – all AlBaik items get the same %</t>
  </si>
  <si>
    <t xml:space="preserve">← increase applied to every AlBaik item</t>
  </si>
  <si>
    <t xml:space="preserve">Group</t>
  </si>
  <si>
    <t xml:space="preserve">Name</t>
  </si>
  <si>
    <t xml:space="preserve">Increase %</t>
  </si>
  <si>
    <t xml:space="preserve">Assignment rule</t>
  </si>
  <si>
    <t xml:space="preserve"># Items</t>
  </si>
  <si>
    <t xml:space="preserve">Revenue (EGP, 2026)</t>
  </si>
  <si>
    <t xml:space="preserve">Revenue share</t>
  </si>
  <si>
    <t xml:space="preserve">Contribution</t>
  </si>
  <si>
    <t xml:space="preserve">Group 1</t>
  </si>
  <si>
    <t xml:space="preserve">Margin &lt; 25%, or slow movers (bottom 20% of revenue), or unsold items. AlBaik (cost rises with the riyal).</t>
  </si>
  <si>
    <t xml:space="preserve">Group 2</t>
  </si>
  <si>
    <t xml:space="preserve">Core sellers (top 80% of revenue) with 25–40% margin, or no cost in Shopify</t>
  </si>
  <si>
    <t xml:space="preserve">Group 3</t>
  </si>
  <si>
    <t xml:space="preserve">Core sellers (45–80% cumulative revenue) with margin ≥ 40%</t>
  </si>
  <si>
    <t xml:space="preserve">Group 4</t>
  </si>
  <si>
    <t xml:space="preserve">Top revenue items (first 45% of revenue) with margin ≥ 40%</t>
  </si>
  <si>
    <t xml:space="preserve">Group 5</t>
  </si>
  <si>
    <t xml:space="preserve">Price-sensitive best sellers: among 40 most-ordered, price &lt; 50 EGP, margin ≥ 40%</t>
  </si>
  <si>
    <t xml:space="preserve">TOTAL</t>
  </si>
  <si>
    <t xml:space="preserve">Weighted average actual increase after rounding</t>
  </si>
  <si>
    <t xml:space="preserve">Target (currency increase)</t>
  </si>
  <si>
    <t xml:space="preserve">Status</t>
  </si>
  <si>
    <t xml:space="preserve">Edit only the yellow cells. Every price in "New Prices" updates automatically.</t>
  </si>
  <si>
    <t xml:space="preserve">Tamwenat Elzekrayat – New Prices by Price Group</t>
  </si>
  <si>
    <t xml:space="preserve">Sales period: 1 Jan – 22 Oct 2026 | Currency: EGP | Ranked by units sold | Current prices as in Shopify on 22 Oct 2026 (after wholesale fix)</t>
  </si>
  <si>
    <t xml:space="preserve">Rank</t>
  </si>
  <si>
    <t xml:space="preserve">Product</t>
  </si>
  <si>
    <t xml:space="preserve">Type</t>
  </si>
  <si>
    <t xml:space="preserve">Linked single / wholesale</t>
  </si>
  <si>
    <t xml:space="preserve">Units Sold</t>
  </si>
  <si>
    <t xml:space="preserve">Orders</t>
  </si>
  <si>
    <t xml:space="preserve">Gross Sales</t>
  </si>
  <si>
    <t xml:space="preserve">Discounts</t>
  </si>
  <si>
    <t xml:space="preserve">Returns</t>
  </si>
  <si>
    <t xml:space="preserve">Net Revenue</t>
  </si>
  <si>
    <t xml:space="preserve">% of Total Revenue</t>
  </si>
  <si>
    <t xml:space="preserve">Avg Net Price / Unit</t>
  </si>
  <si>
    <t xml:space="preserve">Current Price</t>
  </si>
  <si>
    <t xml:space="preserve">Cost in Shopify</t>
  </si>
  <si>
    <t xml:space="preserve">Unit Cost (EGP)</t>
  </si>
  <si>
    <t xml:space="preserve">Current Margin</t>
  </si>
  <si>
    <t xml:space="preserve">Price Group</t>
  </si>
  <si>
    <t xml:space="preserve">New Price</t>
  </si>
  <si>
    <t xml:space="preserve">New Margin</t>
  </si>
  <si>
    <t xml:space="preserve">Actual Increase</t>
  </si>
  <si>
    <t xml:space="preserve">Reason</t>
  </si>
  <si>
    <t xml:space="preserve">AlBaik meals</t>
  </si>
  <si>
    <t xml:space="preserve">Single</t>
  </si>
  <si>
    <t xml:space="preserve">Active</t>
  </si>
  <si>
    <t xml:space="preserve">Custom increase set by user: meal 580 → 669 (+15.3%), same % on all AlBaik items. Cost 370 moves with the riyal → ≈436 today</t>
  </si>
  <si>
    <t xml:space="preserve">   ↳ Spicy 4 pcs broasted chicken</t>
  </si>
  <si>
    <t xml:space="preserve">Variant</t>
  </si>
  <si>
    <t xml:space="preserve">Variant – same group as the product</t>
  </si>
  <si>
    <t xml:space="preserve">   ↳ Regular 4 pcs broasted chicken</t>
  </si>
  <si>
    <t xml:space="preserve">   ↳ Spicy 10 pcs mesahhab</t>
  </si>
  <si>
    <t xml:space="preserve">   ↳ Regular 10 pcs mesahhab</t>
  </si>
  <si>
    <t xml:space="preserve">   ↳ Big Baik regular</t>
  </si>
  <si>
    <t xml:space="preserve">   ↳ Big Baik regular + cheese</t>
  </si>
  <si>
    <t xml:space="preserve">   ↳ Big Baik spicy</t>
  </si>
  <si>
    <t xml:space="preserve">   ↳ Big Baik Spicy +cheese</t>
  </si>
  <si>
    <t xml:space="preserve">   ↳ extra cocktail sauce</t>
  </si>
  <si>
    <t xml:space="preserve">   ↳ extra garlic sauce</t>
  </si>
  <si>
    <t xml:space="preserve">   ↳ extra Mesahhab sauce</t>
  </si>
  <si>
    <t xml:space="preserve">   ↳ Shawarma sandwich with garlic sauce spaicy</t>
  </si>
  <si>
    <t xml:space="preserve">   ↳ Shawarma sandwich with garlic sauce</t>
  </si>
  <si>
    <t xml:space="preserve">   ↳ Regular Fish fillet burger sandwich</t>
  </si>
  <si>
    <t xml:space="preserve">   ↳ spicy  Super baik Shrimp sandwich</t>
  </si>
  <si>
    <t xml:space="preserve">   ↳ Regular Fish fillet meal 6pcs</t>
  </si>
  <si>
    <t xml:space="preserve">   ↳ Regular fish fillet sandwich</t>
  </si>
  <si>
    <t xml:space="preserve">   ↳ spicy fish fillet sandwich</t>
  </si>
  <si>
    <t xml:space="preserve">   ↳ spicy Fish fillet meal 10pcs</t>
  </si>
  <si>
    <t xml:space="preserve">   ↳ 10 Piece spicy  economy Shrimp Meal</t>
  </si>
  <si>
    <t xml:space="preserve">   ↳ Regular suber baik Shrimp sandwich</t>
  </si>
  <si>
    <t xml:space="preserve">   ↳ Albaik Shrimp Economy Meal 10 piece</t>
  </si>
  <si>
    <t xml:space="preserve">   ↳ 10 Piece Regular Jumbo Shrimp Meal</t>
  </si>
  <si>
    <t xml:space="preserve">   ↳ Regular super baik grilled chicken</t>
  </si>
  <si>
    <t xml:space="preserve">   ↳ spicy super baik grilled chicken</t>
  </si>
  <si>
    <t xml:space="preserve">   ↳ ALBAIK Maamoul 2pieces</t>
  </si>
  <si>
    <t xml:space="preserve">Oman Chips spicy small pack</t>
  </si>
  <si>
    <t xml:space="preserve">Price-sensitive best seller (frequent, cheap, high margin) – protect price image</t>
  </si>
  <si>
    <t xml:space="preserve">special order</t>
  </si>
  <si>
    <t xml:space="preserve">-</t>
  </si>
  <si>
    <t xml:space="preserve">Not repriced – not a catalog product</t>
  </si>
  <si>
    <t xml:space="preserve">Gandour Mastic Gum, One Piece, 2.7 Grams</t>
  </si>
  <si>
    <t xml:space="preserve">Slow mover / long tail – low price sensitivity</t>
  </si>
  <si>
    <t xml:space="preserve">Ghandour MESTEKA Gum 6 Pcs Pack</t>
  </si>
  <si>
    <t xml:space="preserve">Mirinda citrus</t>
  </si>
  <si>
    <t xml:space="preserve">Mirinda citrus 24pack</t>
  </si>
  <si>
    <t xml:space="preserve">Core seller, medium margin (40%)</t>
  </si>
  <si>
    <t xml:space="preserve">(No product title – custom/manual items)</t>
  </si>
  <si>
    <t xml:space="preserve">zamzam water 330ml</t>
  </si>
  <si>
    <t xml:space="preserve">Top revenue item with healthy margin</t>
  </si>
  <si>
    <t xml:space="preserve">Zamzam water</t>
  </si>
  <si>
    <t xml:space="preserve">   ↳ 5 liters without cartoon</t>
  </si>
  <si>
    <t xml:space="preserve">   ↳ 5 liters with cartoon</t>
  </si>
  <si>
    <t xml:space="preserve">   ↳ 200 ml</t>
  </si>
  <si>
    <t xml:space="preserve">Ulker choco sandwich</t>
  </si>
  <si>
    <t xml:space="preserve">Core seller with healthy margin</t>
  </si>
  <si>
    <t xml:space="preserve">Millionaire cheese corn</t>
  </si>
  <si>
    <t xml:space="preserve">Shani</t>
  </si>
  <si>
    <t xml:space="preserve">cheetos har nar</t>
  </si>
  <si>
    <t xml:space="preserve">cheetos har nar 16 pack * 25g</t>
  </si>
  <si>
    <t xml:space="preserve">batook mistic gum 1 pack</t>
  </si>
  <si>
    <t xml:space="preserve">nescafe arabiana with Cardamom 1 pac 30g</t>
  </si>
  <si>
    <t xml:space="preserve">nescafe arabiana with Cardamom 1 pac 30g 1 pack of 10 pcs</t>
  </si>
  <si>
    <t xml:space="preserve">Core seller, medium margin (37%)</t>
  </si>
  <si>
    <t xml:space="preserve">kinza citrus</t>
  </si>
  <si>
    <t xml:space="preserve">SOHAR chipsy 13g</t>
  </si>
  <si>
    <t xml:space="preserve">SOHAR chips 23pack *13g</t>
  </si>
  <si>
    <t xml:space="preserve">chicken sticks Chips vegetables</t>
  </si>
  <si>
    <t xml:space="preserve">ghandour cherry lolli pop</t>
  </si>
  <si>
    <t xml:space="preserve">snack shrimp Flavored</t>
  </si>
  <si>
    <t xml:space="preserve">quavers small</t>
  </si>
  <si>
    <t xml:space="preserve">Core seller, medium margin (28%)</t>
  </si>
  <si>
    <t xml:space="preserve">nescafe arabiana with Cardamom 1 pac 3 gm</t>
  </si>
  <si>
    <t xml:space="preserve">nescafe arabiana with Cardamom 20pc</t>
  </si>
  <si>
    <t xml:space="preserve">ice cream Elsaudia</t>
  </si>
  <si>
    <t xml:space="preserve">Pofak Oman Cheese Flavour</t>
  </si>
  <si>
    <t xml:space="preserve">Lusine</t>
  </si>
  <si>
    <t xml:space="preserve">No cost in Shopify – default to core increase</t>
  </si>
  <si>
    <t xml:space="preserve">   ↳ Lusine cheese</t>
  </si>
  <si>
    <t xml:space="preserve">   ↳ Lusine creamy cheese</t>
  </si>
  <si>
    <t xml:space="preserve">   ↳ Lusine cheese + zaatar</t>
  </si>
  <si>
    <t xml:space="preserve">   ↳ Lusine Apple</t>
  </si>
  <si>
    <t xml:space="preserve">   ↳ Lusine chocolate</t>
  </si>
  <si>
    <t xml:space="preserve">   ↳ Lusine Pizza</t>
  </si>
  <si>
    <t xml:space="preserve">   ↳ Lusine  3 cheeses</t>
  </si>
  <si>
    <t xml:space="preserve">   ↳ lusine butter croissant</t>
  </si>
  <si>
    <t xml:space="preserve">Fish Fash</t>
  </si>
  <si>
    <t xml:space="preserve">tasali ketchup small</t>
  </si>
  <si>
    <t xml:space="preserve">tasali ketchup small 21 pcs</t>
  </si>
  <si>
    <t xml:space="preserve">lays spicy small 11 g</t>
  </si>
  <si>
    <t xml:space="preserve">Saudi pepsi</t>
  </si>
  <si>
    <t xml:space="preserve">Oman Chips Spicy medium pack 50 gm</t>
  </si>
  <si>
    <t xml:space="preserve">Indian Crackers White</t>
  </si>
  <si>
    <t xml:space="preserve">cheetos har nar Family size</t>
  </si>
  <si>
    <t xml:space="preserve">lays spicy family size</t>
  </si>
  <si>
    <t xml:space="preserve">Zamzam corn</t>
  </si>
  <si>
    <t xml:space="preserve">Marukawa Grape Bubble Gum</t>
  </si>
  <si>
    <t xml:space="preserve">jelly pop 1 pcs</t>
  </si>
  <si>
    <t xml:space="preserve">kdd chocolate low fat</t>
  </si>
  <si>
    <t xml:space="preserve">Dobbi</t>
  </si>
  <si>
    <t xml:space="preserve">Miska Gum 1 Pack Of 8 Pcs</t>
  </si>
  <si>
    <t xml:space="preserve">glasses choco</t>
  </si>
  <si>
    <t xml:space="preserve">Bufak Fico</t>
  </si>
  <si>
    <t xml:space="preserve">necklace candy</t>
  </si>
  <si>
    <t xml:space="preserve">TOTTI fruiti</t>
  </si>
  <si>
    <t xml:space="preserve">ulker chocolate</t>
  </si>
  <si>
    <t xml:space="preserve">ulker chocolate 10 packs</t>
  </si>
  <si>
    <t xml:space="preserve">Core seller, medium margin (34%)</t>
  </si>
  <si>
    <t xml:space="preserve">crispy Salt &amp; vinegar</t>
  </si>
  <si>
    <t xml:space="preserve">Elsaudia milk</t>
  </si>
  <si>
    <t xml:space="preserve">Lay's French Cheese small</t>
  </si>
  <si>
    <t xml:space="preserve">salata chipsy</t>
  </si>
  <si>
    <t xml:space="preserve">Saudi Indomie (special chicken)</t>
  </si>
  <si>
    <t xml:space="preserve">Saudi Indomie (special chicken) 5 pc</t>
  </si>
  <si>
    <t xml:space="preserve">lays salt small</t>
  </si>
  <si>
    <t xml:space="preserve">toffo nestle</t>
  </si>
  <si>
    <t xml:space="preserve">Pakistani noodles</t>
  </si>
  <si>
    <t xml:space="preserve">kat kat Ulker chocolate</t>
  </si>
  <si>
    <t xml:space="preserve">kat kat Ulker chocolate 12 pcs</t>
  </si>
  <si>
    <t xml:space="preserve">raja vegetables</t>
  </si>
  <si>
    <t xml:space="preserve">lays ketchup small 25gm</t>
  </si>
  <si>
    <t xml:space="preserve">Siip Corn Snack (roasted corn)</t>
  </si>
  <si>
    <t xml:space="preserve">Siip Corn Snack (roasted corn) 20 pcs</t>
  </si>
  <si>
    <t xml:space="preserve">Tarazan Chipsy</t>
  </si>
  <si>
    <t xml:space="preserve">bifa soft</t>
  </si>
  <si>
    <t xml:space="preserve">bifa soft banana  30pcs</t>
  </si>
  <si>
    <t xml:space="preserve">Low margin (15%)</t>
  </si>
  <si>
    <t xml:space="preserve">fruit candy</t>
  </si>
  <si>
    <t xml:space="preserve">Saudi Indomie (vegetables)</t>
  </si>
  <si>
    <t xml:space="preserve">Saudi Indomie (vegetables) 5pc</t>
  </si>
  <si>
    <t xml:space="preserve">salted peanuts</t>
  </si>
  <si>
    <t xml:space="preserve">salted peanuts 24pc</t>
  </si>
  <si>
    <t xml:space="preserve">siip corn snack (cheese)</t>
  </si>
  <si>
    <t xml:space="preserve">siip corn snack (cheese) 20 pcs</t>
  </si>
  <si>
    <t xml:space="preserve">kat kat Ulker chocolate 18g</t>
  </si>
  <si>
    <t xml:space="preserve">kat kat Ulker chocolate 30*18g</t>
  </si>
  <si>
    <t xml:space="preserve">Saudi Indomie (hot &amp; spicy fried noodles)</t>
  </si>
  <si>
    <t xml:space="preserve">Saudi Indomie (hot &amp; spicy fried noodles) 5pc</t>
  </si>
  <si>
    <t xml:space="preserve">Marami Spicy Flavor</t>
  </si>
  <si>
    <t xml:space="preserve">freeze dried whole strawberries 50g</t>
  </si>
  <si>
    <t xml:space="preserve">kinza cola</t>
  </si>
  <si>
    <t xml:space="preserve">Abu Qous (capsules)</t>
  </si>
  <si>
    <t xml:space="preserve">sun cola</t>
  </si>
  <si>
    <t xml:space="preserve">Core seller, medium margin (38%)</t>
  </si>
  <si>
    <t xml:space="preserve">KDD (chocolate)</t>
  </si>
  <si>
    <t xml:space="preserve">KDD chocolate 180 ml - 18 pcs</t>
  </si>
  <si>
    <t xml:space="preserve">Lollita 1 pc</t>
  </si>
  <si>
    <t xml:space="preserve">Lollita 10 pc</t>
  </si>
  <si>
    <t xml:space="preserve">Batook Mint Gum</t>
  </si>
  <si>
    <t xml:space="preserve">Batook Mint Gum pack of 20 Pcs</t>
  </si>
  <si>
    <t xml:space="preserve">happy mistic gum</t>
  </si>
  <si>
    <t xml:space="preserve">tasali spicy small</t>
  </si>
  <si>
    <t xml:space="preserve">tasali spicy small 21 pcs</t>
  </si>
  <si>
    <t xml:space="preserve">nescafe arabiana with safaran 1 pac 3 gm</t>
  </si>
  <si>
    <t xml:space="preserve">nescafe arabiana Saffron 20pc 3g</t>
  </si>
  <si>
    <t xml:space="preserve">Low margin (20%)</t>
  </si>
  <si>
    <t xml:space="preserve">crispy ABC ketchup flavor M-pack</t>
  </si>
  <si>
    <t xml:space="preserve">Saudi Indomie (fried noodles)</t>
  </si>
  <si>
    <t xml:space="preserve">Saudi Indomie (fried noodles) 5 pc</t>
  </si>
  <si>
    <t xml:space="preserve">Brush Lollipop (Borgat) 1 Pc</t>
  </si>
  <si>
    <t xml:space="preserve">cheetos har nar 65g</t>
  </si>
  <si>
    <t xml:space="preserve">marami ketchup Flavor</t>
  </si>
  <si>
    <t xml:space="preserve">keef elmosafer with cardamom 5 gm</t>
  </si>
  <si>
    <t xml:space="preserve">keef elmosafer Saudi Coffee with cardamom , 12 pieces *(5g)</t>
  </si>
  <si>
    <t xml:space="preserve">Heart lollipop (borgat) 1 pc.</t>
  </si>
  <si>
    <t xml:space="preserve">Ring Candy Original</t>
  </si>
  <si>
    <t xml:space="preserve">Saudi Indomie (red chili fried noodles)</t>
  </si>
  <si>
    <t xml:space="preserve">Saudi Indomie (red chili fried noodles) 5 pc</t>
  </si>
  <si>
    <t xml:space="preserve">7 days croissant chocolate</t>
  </si>
  <si>
    <t xml:space="preserve">oman chips Family Size</t>
  </si>
  <si>
    <t xml:space="preserve">chocolate safari</t>
  </si>
  <si>
    <t xml:space="preserve">chocolate safari 12 pcs</t>
  </si>
  <si>
    <t xml:space="preserve">Saudi Indomie (chicken curry)</t>
  </si>
  <si>
    <t xml:space="preserve">Saudi Indomie (chicken curry) 5pc</t>
  </si>
  <si>
    <t xml:space="preserve">Saudi Indomie (green chili fried noodles)</t>
  </si>
  <si>
    <t xml:space="preserve">Saudi Indomie (green chili fried noodles) 5pc</t>
  </si>
  <si>
    <t xml:space="preserve">CRIC CRAC special flavor</t>
  </si>
  <si>
    <t xml:space="preserve">Alrabee Orange Juice 125 Ml</t>
  </si>
  <si>
    <t xml:space="preserve">Elsaudia chocolate milk 200ml</t>
  </si>
  <si>
    <t xml:space="preserve">indomie spicy fried noodles black</t>
  </si>
  <si>
    <t xml:space="preserve">indomie spicy fried noodles black 5 pcs</t>
  </si>
  <si>
    <t xml:space="preserve">Extreme.z strawberry</t>
  </si>
  <si>
    <t xml:space="preserve">Albatal Spicy</t>
  </si>
  <si>
    <t xml:space="preserve">Rana Hot Sauce 100ml</t>
  </si>
  <si>
    <t xml:space="preserve">6 pc rana hot sauce *100ml</t>
  </si>
  <si>
    <t xml:space="preserve">Core seller, medium margin (35%)</t>
  </si>
  <si>
    <t xml:space="preserve">Ulker Sticks</t>
  </si>
  <si>
    <t xml:space="preserve">ulker sticks 12pc</t>
  </si>
  <si>
    <t xml:space="preserve">tufi luk chocolate</t>
  </si>
  <si>
    <t xml:space="preserve">tufi luk chocolate 12 pcs</t>
  </si>
  <si>
    <t xml:space="preserve">Batook Cardamon Gum</t>
  </si>
  <si>
    <t xml:space="preserve">triplex caramel biscuit</t>
  </si>
  <si>
    <t xml:space="preserve">Low margin (24%)</t>
  </si>
  <si>
    <t xml:space="preserve">indomie vegetable flavour cup</t>
  </si>
  <si>
    <t xml:space="preserve">indofood Sumatra hot sauce 140 ml</t>
  </si>
  <si>
    <t xml:space="preserve">Marami Chicken</t>
  </si>
  <si>
    <t xml:space="preserve">abu Walad biscuit</t>
  </si>
  <si>
    <t xml:space="preserve">abu Walad biscuit 12 pc</t>
  </si>
  <si>
    <t xml:space="preserve">hazelnut wafer (Kras)</t>
  </si>
  <si>
    <t xml:space="preserve">vegetable Potato's chips</t>
  </si>
  <si>
    <t xml:space="preserve">snek ku mi-mi chicken flavor</t>
  </si>
  <si>
    <t xml:space="preserve">lays maxx mexican chili 60g</t>
  </si>
  <si>
    <t xml:space="preserve">Chicken Sticks Spicy</t>
  </si>
  <si>
    <t xml:space="preserve">chanachur crispy</t>
  </si>
  <si>
    <t xml:space="preserve">lays spicy mediam size 60g</t>
  </si>
  <si>
    <t xml:space="preserve">Cherry Lollipop</t>
  </si>
  <si>
    <t xml:space="preserve">chiplets ketchup</t>
  </si>
  <si>
    <t xml:space="preserve">mastic</t>
  </si>
  <si>
    <t xml:space="preserve">raja ketchup</t>
  </si>
  <si>
    <t xml:space="preserve">sun ring cheese flavor</t>
  </si>
  <si>
    <t xml:space="preserve">borgat cherry Lolli pop</t>
  </si>
  <si>
    <t xml:space="preserve">CRIC CRAC ketchup flavor</t>
  </si>
  <si>
    <t xml:space="preserve">TOTTI Fruiti hearts</t>
  </si>
  <si>
    <t xml:space="preserve">keef elmosafer with Saffron 30 gm</t>
  </si>
  <si>
    <t xml:space="preserve">keef elmosafer Saudi Coffee with Saffron, 10 pieces (30g)</t>
  </si>
  <si>
    <t xml:space="preserve">Low margin (25%)</t>
  </si>
  <si>
    <t xml:space="preserve">keef elmosafer with cardamom 30 gm</t>
  </si>
  <si>
    <t xml:space="preserve">keef elmosafer Saudi Coffee with cardamom, 10 pieces * (30g)</t>
  </si>
  <si>
    <t xml:space="preserve">Fairco Hot Stix</t>
  </si>
  <si>
    <t xml:space="preserve">seno choco cream</t>
  </si>
  <si>
    <t xml:space="preserve">marami BBQ flavor</t>
  </si>
  <si>
    <t xml:space="preserve">Abu Qous (Heel Flavor)</t>
  </si>
  <si>
    <t xml:space="preserve">indian red crackers large pack</t>
  </si>
  <si>
    <t xml:space="preserve">Altazaj Meals</t>
  </si>
  <si>
    <t xml:space="preserve">   ↳ Crispy Roll Meal with Fries</t>
  </si>
  <si>
    <t xml:space="preserve">   ↳ Chicken meal eltazaj</t>
  </si>
  <si>
    <t xml:space="preserve">   ↳ taka tak Chicken sandwich</t>
  </si>
  <si>
    <t xml:space="preserve">   ↳ crispy burger</t>
  </si>
  <si>
    <t xml:space="preserve">   ↳ kabab sandwich</t>
  </si>
  <si>
    <t xml:space="preserve">   ↳ Chicken Nuggets 5pics</t>
  </si>
  <si>
    <t xml:space="preserve">   ↳ Chicken Nuggets 10pics with fries</t>
  </si>
  <si>
    <t xml:space="preserve">   ↳ Toasted sandwich</t>
  </si>
  <si>
    <t xml:space="preserve">   ↳ chiken roll sandwich</t>
  </si>
  <si>
    <t xml:space="preserve">   ↳ Chicken meal spicy eltazaj</t>
  </si>
  <si>
    <t xml:space="preserve">Ice cream toy</t>
  </si>
  <si>
    <t xml:space="preserve">borgat gummy raspderry &amp; blackberry</t>
  </si>
  <si>
    <t xml:space="preserve">Crispy ABC Family Ketchup</t>
  </si>
  <si>
    <t xml:space="preserve">Fairco Salted Sticks</t>
  </si>
  <si>
    <t xml:space="preserve">Pofak Oman family Cheese Flavour</t>
  </si>
  <si>
    <t xml:space="preserve">Core seller, medium margin (33%)</t>
  </si>
  <si>
    <t xml:space="preserve">Rabea Karak Tea With Cardamom 1 pc</t>
  </si>
  <si>
    <t xml:space="preserve">Rabea Karak Tea With Cardamom 10 pack</t>
  </si>
  <si>
    <t xml:space="preserve">triangular wafer</t>
  </si>
  <si>
    <t xml:space="preserve">vegetables Biscuits</t>
  </si>
  <si>
    <t xml:space="preserve">Baja Arabic coffee with cardamom</t>
  </si>
  <si>
    <t xml:space="preserve">Baja Arabic coffee with cardamom 10 pc</t>
  </si>
  <si>
    <t xml:space="preserve">Core seller, medium margin (32%)</t>
  </si>
  <si>
    <t xml:space="preserve">7 Days Cake Chocolate With Vanilla Cream</t>
  </si>
  <si>
    <t xml:space="preserve">push pop lollipop 1pics</t>
  </si>
  <si>
    <t xml:space="preserve">Caramel Log</t>
  </si>
  <si>
    <t xml:space="preserve">Caramel Log 15 pc</t>
  </si>
  <si>
    <t xml:space="preserve">Momo Dy Corn Fingers cheese</t>
  </si>
  <si>
    <t xml:space="preserve">abu qous</t>
  </si>
  <si>
    <t xml:space="preserve">Low margin (8%)</t>
  </si>
  <si>
    <t xml:space="preserve">Mistika Gum (Miska)</t>
  </si>
  <si>
    <t xml:space="preserve">Wholesale</t>
  </si>
  <si>
    <t xml:space="preserve">Wholesale – same group as its single "Saudi Indomie (vegetables)"</t>
  </si>
  <si>
    <t xml:space="preserve">marami vinegar flavor</t>
  </si>
  <si>
    <t xml:space="preserve">Sun Rings Onion Flavor</t>
  </si>
  <si>
    <t xml:space="preserve">ritz biscuits</t>
  </si>
  <si>
    <t xml:space="preserve">Lay's French Cheese Family size</t>
  </si>
  <si>
    <t xml:space="preserve">Core seller, medium margin (31%)</t>
  </si>
  <si>
    <t xml:space="preserve">sun top orange ( egyptian product )</t>
  </si>
  <si>
    <t xml:space="preserve">Ajwa Dates (Siafa)400 gms</t>
  </si>
  <si>
    <t xml:space="preserve">Ghandour Mastic gum 60 pcs</t>
  </si>
  <si>
    <t xml:space="preserve">luxury cream fudge 400g elshamg</t>
  </si>
  <si>
    <t xml:space="preserve">tasali spicy family size 155g</t>
  </si>
  <si>
    <t xml:space="preserve">Borgat Gummy Cola</t>
  </si>
  <si>
    <t xml:space="preserve">Tomato Sauce ElSaudia</t>
  </si>
  <si>
    <t xml:space="preserve">Capri- Sun orange</t>
  </si>
  <si>
    <t xml:space="preserve">Capri- Sun orange   10pc</t>
  </si>
  <si>
    <t xml:space="preserve">Caramel Log Chocolate</t>
  </si>
  <si>
    <t xml:space="preserve">Caramel Log Chocolate 15 pc</t>
  </si>
  <si>
    <t xml:space="preserve">jordanian zaatar 100 gm</t>
  </si>
  <si>
    <t xml:space="preserve">Low margin (-14%)</t>
  </si>
  <si>
    <t xml:space="preserve">karmoush chipsy</t>
  </si>
  <si>
    <t xml:space="preserve">Sun Rings cheese Flavor (Lsize)</t>
  </si>
  <si>
    <t xml:space="preserve">heart chocolate</t>
  </si>
  <si>
    <t xml:space="preserve">Wholesale – same group as its single "Lollita 1 pc"</t>
  </si>
  <si>
    <t xml:space="preserve">chicken Biscuits</t>
  </si>
  <si>
    <t xml:space="preserve">time candy</t>
  </si>
  <si>
    <t xml:space="preserve">Low margin (21%)</t>
  </si>
  <si>
    <t xml:space="preserve">crystal hot sauce 88 ml</t>
  </si>
  <si>
    <t xml:space="preserve">momo dy shrimp flavour</t>
  </si>
  <si>
    <t xml:space="preserve">Kaddi 270 Ml</t>
  </si>
  <si>
    <t xml:space="preserve">Raja Vegetables Family Size</t>
  </si>
  <si>
    <t xml:space="preserve">code red 250 ml</t>
  </si>
  <si>
    <t xml:space="preserve">Italian choco cream</t>
  </si>
  <si>
    <t xml:space="preserve">cheetos har nar medium size 110g</t>
  </si>
  <si>
    <t xml:space="preserve">marami salt flavor</t>
  </si>
  <si>
    <t xml:space="preserve">Elyamama Cake Vanilla</t>
  </si>
  <si>
    <t xml:space="preserve">Elyamama Cake Vanilla 12 pc</t>
  </si>
  <si>
    <t xml:space="preserve">keef elmosafer with Saffron 5 gm</t>
  </si>
  <si>
    <t xml:space="preserve">keef elmosafer Saudi Coffee with Saffron, 12 pieces (5g)</t>
  </si>
  <si>
    <t xml:space="preserve">Low margin (18%)</t>
  </si>
  <si>
    <t xml:space="preserve">Batook Banana Gum</t>
  </si>
  <si>
    <t xml:space="preserve">Batook Banana Gum 20 pc</t>
  </si>
  <si>
    <t xml:space="preserve">Borgat Gummy ringlets</t>
  </si>
  <si>
    <t xml:space="preserve">alin hot chanachur</t>
  </si>
  <si>
    <t xml:space="preserve">indofood sweet soy sauce</t>
  </si>
  <si>
    <t xml:space="preserve">chocolate rico wafer</t>
  </si>
  <si>
    <t xml:space="preserve">rana hot sauce 474ml</t>
  </si>
  <si>
    <t xml:space="preserve">Memories tea biscuit 150g</t>
  </si>
  <si>
    <t xml:space="preserve">Original Iranian Saffron 1gm</t>
  </si>
  <si>
    <t xml:space="preserve">Twizzlers Strawberry low fat 70g</t>
  </si>
  <si>
    <t xml:space="preserve">Low margin (3%)</t>
  </si>
  <si>
    <t xml:space="preserve">Abo walad chocolate wafer</t>
  </si>
  <si>
    <t xml:space="preserve">Wholesale – same group as its single "Saudi Indomie (special chicken)"</t>
  </si>
  <si>
    <t xml:space="preserve">TOTTI Fruiti cola</t>
  </si>
  <si>
    <t xml:space="preserve">americana cake chocolate rolls 6pcs</t>
  </si>
  <si>
    <t xml:space="preserve">shrimp biscuits</t>
  </si>
  <si>
    <t xml:space="preserve">Meswak</t>
  </si>
  <si>
    <t xml:space="preserve">Almarai mix berry juice</t>
  </si>
  <si>
    <t xml:space="preserve">Low margin (-1%)</t>
  </si>
  <si>
    <t xml:space="preserve">Chicken Sticks Chips Vegetables Each Pack Contains 75g</t>
  </si>
  <si>
    <t xml:space="preserve">lays salt &amp; vinegar family size 155g</t>
  </si>
  <si>
    <t xml:space="preserve">Abo Fas 3 m</t>
  </si>
  <si>
    <t xml:space="preserve">Puf Marshmallow</t>
  </si>
  <si>
    <t xml:space="preserve">Salad Chipsy</t>
  </si>
  <si>
    <t xml:space="preserve">Puck Creamy Cheese 500 Gm</t>
  </si>
  <si>
    <t xml:space="preserve">Elbatal Chipsy (Dayno)</t>
  </si>
  <si>
    <t xml:space="preserve">khaltet AlQaseem 125 gm</t>
  </si>
  <si>
    <t xml:space="preserve">tasali kamoon &amp; lemon</t>
  </si>
  <si>
    <t xml:space="preserve">Baja Arabic Coffee Saffron</t>
  </si>
  <si>
    <t xml:space="preserve">Baja Arabic Coffee Saffron 10 pc</t>
  </si>
  <si>
    <t xml:space="preserve">Elitesse wafer</t>
  </si>
  <si>
    <t xml:space="preserve">Dakket elMadina 100g</t>
  </si>
  <si>
    <t xml:space="preserve">Low margin (-0%)</t>
  </si>
  <si>
    <t xml:space="preserve">Puck Creamy Cheese 2*500 Gm</t>
  </si>
  <si>
    <t xml:space="preserve">Core seller, medium margin (30%)</t>
  </si>
  <si>
    <t xml:space="preserve">Borgat Gummy cakes</t>
  </si>
  <si>
    <t xml:space="preserve">Elbatal Popcorn (butter)</t>
  </si>
  <si>
    <t xml:space="preserve">Salad Chipsy mediam size 21g</t>
  </si>
  <si>
    <t xml:space="preserve">chicken sticks ketchup flavor</t>
  </si>
  <si>
    <t xml:space="preserve">Salata chipsy family size</t>
  </si>
  <si>
    <t xml:space="preserve">ruchi chanachur BAR-B-Q</t>
  </si>
  <si>
    <t xml:space="preserve">trixy chocolate</t>
  </si>
  <si>
    <t xml:space="preserve">Deemah date maamoul 1pics</t>
  </si>
  <si>
    <t xml:space="preserve">Wholesale – same group as its single "Saudi Indomie (chicken curry)"</t>
  </si>
  <si>
    <t xml:space="preserve">halawany mamoul 1 piece 32g</t>
  </si>
  <si>
    <t xml:space="preserve">shabora Karamesh</t>
  </si>
  <si>
    <t xml:space="preserve">Elsaudia banana Milk</t>
  </si>
  <si>
    <t xml:space="preserve">Puck thick cream 125ml</t>
  </si>
  <si>
    <t xml:space="preserve">Vimto Zero</t>
  </si>
  <si>
    <t xml:space="preserve">Albatal Ketchup</t>
  </si>
  <si>
    <t xml:space="preserve">Capri- Sun mango</t>
  </si>
  <si>
    <t xml:space="preserve">Capri- Sun mango 10pc</t>
  </si>
  <si>
    <t xml:space="preserve">Deemah kleija cardamom</t>
  </si>
  <si>
    <t xml:space="preserve">Rings (cheese)</t>
  </si>
  <si>
    <t xml:space="preserve">Saffron color 100 gm</t>
  </si>
  <si>
    <t xml:space="preserve">Wholesale – same group as its single "Saudi Indomie (fried noodles)"</t>
  </si>
  <si>
    <t xml:space="preserve">chocolate biscuit sticks</t>
  </si>
  <si>
    <t xml:space="preserve">siip fire burst 5g</t>
  </si>
  <si>
    <t xml:space="preserve">Cake bar 7 days chocolate</t>
  </si>
  <si>
    <t xml:space="preserve">Capri- Sun Cocktail</t>
  </si>
  <si>
    <t xml:space="preserve">Capri- Sun Cocktail 10 pcs</t>
  </si>
  <si>
    <t xml:space="preserve">Chocolate Paste</t>
  </si>
  <si>
    <t xml:space="preserve">Cheetos Twisted Cheese</t>
  </si>
  <si>
    <t xml:space="preserve">Low margin (-18%)</t>
  </si>
  <si>
    <t xml:space="preserve">Mehran Curry powder 200g</t>
  </si>
  <si>
    <t xml:space="preserve">Core seller, medium margin (39%)</t>
  </si>
  <si>
    <t xml:space="preserve">seven days swiss roll chocolate 20g</t>
  </si>
  <si>
    <t xml:space="preserve">sour bubble gum (lyan) grape flavor</t>
  </si>
  <si>
    <t xml:space="preserve">sour bubble gum (lyan) strawaberry flavor</t>
  </si>
  <si>
    <t xml:space="preserve">Elsaudia strawberry Milk</t>
  </si>
  <si>
    <t xml:space="preserve">Reese,s peanut butter cups 42g</t>
  </si>
  <si>
    <t xml:space="preserve">capri- sun strawberry</t>
  </si>
  <si>
    <t xml:space="preserve">capri- sun strawberry 10 pc</t>
  </si>
  <si>
    <t xml:space="preserve">tasali katchup 155g</t>
  </si>
  <si>
    <t xml:space="preserve">Indomie Fried Noodles Barbeque Chicken Flavor Cup</t>
  </si>
  <si>
    <t xml:space="preserve">Trolli Mini Burger Gummy Candy 9g</t>
  </si>
  <si>
    <t xml:space="preserve">Low margin (22%)</t>
  </si>
  <si>
    <t xml:space="preserve">seven days Cake strawberry</t>
  </si>
  <si>
    <t xml:space="preserve">Mehran biryani  Masala 120g</t>
  </si>
  <si>
    <t xml:space="preserve">creme caramel (foster clarks)</t>
  </si>
  <si>
    <t xml:space="preserve">jhal muri spicy</t>
  </si>
  <si>
    <t xml:space="preserve">kdd tomato paste 135g</t>
  </si>
  <si>
    <t xml:space="preserve">cheddar cheese (Kraft) 190 gm</t>
  </si>
  <si>
    <t xml:space="preserve">Borgat bluberry Lolli Pop</t>
  </si>
  <si>
    <t xml:space="preserve">ETI popkek with chocolate</t>
  </si>
  <si>
    <t xml:space="preserve">americana cake vanilla large 6pcs</t>
  </si>
  <si>
    <t xml:space="preserve">Elyamama Cake strawberry</t>
  </si>
  <si>
    <t xml:space="preserve">Elyamama Cake strawberry 12 pc</t>
  </si>
  <si>
    <t xml:space="preserve">americana cake strawberry</t>
  </si>
  <si>
    <t xml:space="preserve">bisconni cocomo chocolate 14g</t>
  </si>
  <si>
    <t xml:space="preserve">fantasy chipsy 22g</t>
  </si>
  <si>
    <t xml:space="preserve">indofood Mild soy sauce</t>
  </si>
  <si>
    <t xml:space="preserve">Dobbi Family size</t>
  </si>
  <si>
    <t xml:space="preserve">elbatal popcorn (cheese)</t>
  </si>
  <si>
    <t xml:space="preserve">hazelnut rico wafer</t>
  </si>
  <si>
    <t xml:space="preserve">poosh bubble gum strawberry 2pcs</t>
  </si>
  <si>
    <t xml:space="preserve">Nice (chilli) 21g</t>
  </si>
  <si>
    <t xml:space="preserve">Shabora Karamesh borr</t>
  </si>
  <si>
    <t xml:space="preserve">Almarai Mixed Fruit Juice</t>
  </si>
  <si>
    <t xml:space="preserve">Momo Dy Corn Fingers spicy cheese</t>
  </si>
  <si>
    <t xml:space="preserve">indomie chicken flavour cup</t>
  </si>
  <si>
    <t xml:space="preserve">Homor candy 250 gm</t>
  </si>
  <si>
    <t xml:space="preserve">batook mix gum</t>
  </si>
  <si>
    <t xml:space="preserve">rings (onion)</t>
  </si>
  <si>
    <t xml:space="preserve">Wholesale – same group as its single "nescafe arabiana with Cardamom 1 pac 3 gm"</t>
  </si>
  <si>
    <t xml:space="preserve">Marukawa orange Bubble Gum</t>
  </si>
  <si>
    <t xml:space="preserve">ulker sesame biscuit</t>
  </si>
  <si>
    <t xml:space="preserve">Baja salted cashew</t>
  </si>
  <si>
    <t xml:space="preserve">Baja salted cashew 24 pc</t>
  </si>
  <si>
    <t xml:space="preserve">Marami vinegar Zig-Zag family size</t>
  </si>
  <si>
    <t xml:space="preserve">sour bubble gum (lyan) apple flavor</t>
  </si>
  <si>
    <t xml:space="preserve">Saudi Indomie (baladi chicken)</t>
  </si>
  <si>
    <t xml:space="preserve">Saudi Indomie (baladi chicken) 5 pc</t>
  </si>
  <si>
    <t xml:space="preserve">Teashop biscuits</t>
  </si>
  <si>
    <t xml:space="preserve">lucky pop</t>
  </si>
  <si>
    <t xml:space="preserve">siafa barni dates 1kg</t>
  </si>
  <si>
    <t xml:space="preserve">Batook orange chewing gum</t>
  </si>
  <si>
    <t xml:space="preserve">Batook orange chewing gum 20 pc</t>
  </si>
  <si>
    <t xml:space="preserve">Elbatal Popcorn (spicy)</t>
  </si>
  <si>
    <t xml:space="preserve">Baja deluxe Mix</t>
  </si>
  <si>
    <t xml:space="preserve">Baja deluxe Mix 24pc</t>
  </si>
  <si>
    <t xml:space="preserve">Ice cream elasudia ufo</t>
  </si>
  <si>
    <t xml:space="preserve">raja spicy</t>
  </si>
  <si>
    <t xml:space="preserve">Uno Choco Cream</t>
  </si>
  <si>
    <t xml:space="preserve">Baja Mild Arabica Coffee</t>
  </si>
  <si>
    <t xml:space="preserve">Baja Mild Arabica Coffee 10 pack *30g</t>
  </si>
  <si>
    <t xml:space="preserve">Low margin (12%)</t>
  </si>
  <si>
    <t xml:space="preserve">Elmaddah Caramel</t>
  </si>
  <si>
    <t xml:space="preserve">Boshar Al nar cheese</t>
  </si>
  <si>
    <t xml:space="preserve">Low margin (13%)</t>
  </si>
  <si>
    <t xml:space="preserve">SOHAR 97 Gm</t>
  </si>
  <si>
    <t xml:space="preserve">Sun Rings Onion Flavor (Lsize)</t>
  </si>
  <si>
    <t xml:space="preserve">golden finger waffer</t>
  </si>
  <si>
    <t xml:space="preserve">ABC Crispy Vinegar Flavor</t>
  </si>
  <si>
    <t xml:space="preserve">CRIC CRAC Special Flavor Family size</t>
  </si>
  <si>
    <t xml:space="preserve">Eltajj Cream 155g</t>
  </si>
  <si>
    <t xml:space="preserve">Homor Candy redberry 250 Gm</t>
  </si>
  <si>
    <t xml:space="preserve">borgat Very Berry Lollipop Candy</t>
  </si>
  <si>
    <t xml:space="preserve">Bahlool sticks</t>
  </si>
  <si>
    <t xml:space="preserve">Bahlool sticks 24 pc</t>
  </si>
  <si>
    <t xml:space="preserve">Kitco Stix Grilled Chicken Sticks 40g</t>
  </si>
  <si>
    <t xml:space="preserve">Kitco Stix Red Chilli Sticks 40g</t>
  </si>
  <si>
    <t xml:space="preserve">Miaw miaw shrimp</t>
  </si>
  <si>
    <t xml:space="preserve">Wholesale – same group as its single "Rabea Karak Tea With Cardamom 1 pc"</t>
  </si>
  <si>
    <t xml:space="preserve">nova gum cinnabon</t>
  </si>
  <si>
    <t xml:space="preserve">Shabora Karamesh Milk</t>
  </si>
  <si>
    <t xml:space="preserve">tamr hendy 150 gm</t>
  </si>
  <si>
    <t xml:space="preserve">3 cows cheese 200 gm</t>
  </si>
  <si>
    <t xml:space="preserve">Fini roller strawberry&amp;cream</t>
  </si>
  <si>
    <t xml:space="preserve">Borgat Fusen mini bubble gums strawberry</t>
  </si>
  <si>
    <t xml:space="preserve">Hobby Chocolate Bar with Hazelnuts, Ulker</t>
  </si>
  <si>
    <t xml:space="preserve">Vegetable Potato's Chips Family Pack</t>
  </si>
  <si>
    <t xml:space="preserve">dallat aljazera coffe 30g</t>
  </si>
  <si>
    <t xml:space="preserve">doux chicken franks original 400g</t>
  </si>
  <si>
    <t xml:space="preserve">Indomie Fried Noodles Cup</t>
  </si>
  <si>
    <t xml:space="preserve">Nahool cake</t>
  </si>
  <si>
    <t xml:space="preserve">Seven Days Swiss Roll strawberry</t>
  </si>
  <si>
    <t xml:space="preserve">banana wafer</t>
  </si>
  <si>
    <t xml:space="preserve">Borgat Fusen mini bubble gums berry</t>
  </si>
  <si>
    <t xml:space="preserve">Borgat Gummy cars</t>
  </si>
  <si>
    <t xml:space="preserve">Gum Stick Mint Flavour 1 Pc</t>
  </si>
  <si>
    <t xml:space="preserve">albatal tikita family size 155g</t>
  </si>
  <si>
    <t xml:space="preserve">indomie curry flavour cup</t>
  </si>
  <si>
    <t xml:space="preserve">Abu Kass rice 1 kg</t>
  </si>
  <si>
    <t xml:space="preserve">Ringo Chocolate Wafer</t>
  </si>
  <si>
    <t xml:space="preserve">Nova gum mint (green)</t>
  </si>
  <si>
    <t xml:space="preserve">Sambosa Switz 1 kilo</t>
  </si>
  <si>
    <t xml:space="preserve">Sukkary Rotab Siafa 1kg</t>
  </si>
  <si>
    <t xml:space="preserve">crispy rings cheese flavor</t>
  </si>
  <si>
    <t xml:space="preserve">galaxy cake chocolate</t>
  </si>
  <si>
    <t xml:space="preserve">seven days Swiss roll vanilla cream 20g</t>
  </si>
  <si>
    <t xml:space="preserve">indian crackers cup</t>
  </si>
  <si>
    <t xml:space="preserve">Gum Stick Watermelon Flavour 1 Pc</t>
  </si>
  <si>
    <t xml:space="preserve">deemah strawberry cupcake</t>
  </si>
  <si>
    <t xml:space="preserve">red roaster hot sauce</t>
  </si>
  <si>
    <t xml:space="preserve">vimto drink 250ml</t>
  </si>
  <si>
    <t xml:space="preserve">Corn Zamzam Family Size</t>
  </si>
  <si>
    <t xml:space="preserve">Gum Stick Strawberry Flavour 1 Pc</t>
  </si>
  <si>
    <t xml:space="preserve">KDD mango and grapes without suger 180ml</t>
  </si>
  <si>
    <t xml:space="preserve">mr splash spread chocolate</t>
  </si>
  <si>
    <t xml:space="preserve">saudia double chocolate milk 200ml</t>
  </si>
  <si>
    <t xml:space="preserve">super roll hazelnut wafers</t>
  </si>
  <si>
    <t xml:space="preserve">Borgat cola Lolli Pop 1 pcs</t>
  </si>
  <si>
    <t xml:space="preserve">Karak with Saffron tea Rabea 1pc</t>
  </si>
  <si>
    <t xml:space="preserve">Karak with Saffron tea Rabea 10pack</t>
  </si>
  <si>
    <t xml:space="preserve">Salad Chipsy Family Size 75g</t>
  </si>
  <si>
    <t xml:space="preserve">Saudia milk chocolate and caramel</t>
  </si>
  <si>
    <t xml:space="preserve">siip wrapz cheese flavour coated snack 15g</t>
  </si>
  <si>
    <t xml:space="preserve">Elshouokh Arabian Coffee 250 Gm</t>
  </si>
  <si>
    <t xml:space="preserve">Goody tenderina original tuna 185g</t>
  </si>
  <si>
    <t xml:space="preserve">Tamreya ghandour 1 pack</t>
  </si>
  <si>
    <t xml:space="preserve">Tamreya ghandour 24 pack</t>
  </si>
  <si>
    <t xml:space="preserve">kdd mango grape without suger 125ml</t>
  </si>
  <si>
    <t xml:space="preserve">khaltet AlQaseem saffran 125 gm</t>
  </si>
  <si>
    <t xml:space="preserve">Low margin (19%)</t>
  </si>
  <si>
    <t xml:space="preserve">Alwalimah Kabsa Mix</t>
  </si>
  <si>
    <t xml:space="preserve">Ulker | Kat Kat Tat Crispy Puff Pastry with Pistachio Cream</t>
  </si>
  <si>
    <t xml:space="preserve">deemah fantasy cake chocolate</t>
  </si>
  <si>
    <t xml:space="preserve">nescafe arabiana with safaran 1 pac 30g</t>
  </si>
  <si>
    <t xml:space="preserve">nescafe arabiana with saffron 1 pac 30g 1 pack of 10 pcs</t>
  </si>
  <si>
    <t xml:space="preserve">ulker tea biscuits</t>
  </si>
  <si>
    <t xml:space="preserve">ulker tea biscuits 12 pc</t>
  </si>
  <si>
    <t xml:space="preserve">Puck thick cream 250 ml</t>
  </si>
  <si>
    <t xml:space="preserve">chocolate nestle lion 42g</t>
  </si>
  <si>
    <t xml:space="preserve">sweet plus zeffo marshmallow cakes  150g</t>
  </si>
  <si>
    <t xml:space="preserve">7 days croissant Strawberry</t>
  </si>
  <si>
    <t xml:space="preserve">Mero Marshmallow</t>
  </si>
  <si>
    <t xml:space="preserve">Sukkary Rotab Siafa        (3kg)</t>
  </si>
  <si>
    <t xml:space="preserve">elmadinah henna 250gm</t>
  </si>
  <si>
    <t xml:space="preserve">Low margin (6%)</t>
  </si>
  <si>
    <t xml:space="preserve">albatal cheese ball,s 15g</t>
  </si>
  <si>
    <t xml:space="preserve">alin regular chanachur</t>
  </si>
  <si>
    <t xml:space="preserve">ALBatal chipsy (salt)</t>
  </si>
  <si>
    <t xml:space="preserve">Marami Spicy Zig-Zag Family Size</t>
  </si>
  <si>
    <t xml:space="preserve">Rita Sparkling Drink red</t>
  </si>
  <si>
    <t xml:space="preserve">americana cake strawberry large 6pcs</t>
  </si>
  <si>
    <t xml:space="preserve">deemah cocolate cupcake</t>
  </si>
  <si>
    <t xml:space="preserve">deemah marmo cake chocolate</t>
  </si>
  <si>
    <t xml:space="preserve">Brick game 9999</t>
  </si>
  <si>
    <t xml:space="preserve">Siafa Sukkary Dates 400gm</t>
  </si>
  <si>
    <t xml:space="preserve">luxury cream fudge 900g elshamg</t>
  </si>
  <si>
    <t xml:space="preserve">Wholesale – same group as its single "kat kat Ulker chocolate"</t>
  </si>
  <si>
    <t xml:space="preserve">luna milk analogue 170ML</t>
  </si>
  <si>
    <t xml:space="preserve">Dob gum 1 pack</t>
  </si>
  <si>
    <t xml:space="preserve">Kitco Stix Salt &amp; Vinegar Sticks 40g</t>
  </si>
  <si>
    <t xml:space="preserve">Marie Biscuits</t>
  </si>
  <si>
    <t xml:space="preserve">alwalimah Bukhari Rice Mix.</t>
  </si>
  <si>
    <t xml:space="preserve">deemah double chocolate muffin</t>
  </si>
  <si>
    <t xml:space="preserve">galaxy cake caramel</t>
  </si>
  <si>
    <t xml:space="preserve">galaxy cake vanilla</t>
  </si>
  <si>
    <t xml:space="preserve">Wholesale – same group as its single "indomie spicy fried noodles black"</t>
  </si>
  <si>
    <t xml:space="preserve">kinder cards</t>
  </si>
  <si>
    <t xml:space="preserve">Miaw Miaw Pizza Flavor</t>
  </si>
  <si>
    <t xml:space="preserve">freeze dried banana 100g ( egyptian product )</t>
  </si>
  <si>
    <t xml:space="preserve">kdd cocktail 125ml</t>
  </si>
  <si>
    <t xml:space="preserve">Baja salted pistachio</t>
  </si>
  <si>
    <t xml:space="preserve">Baja salted pistachio 24 pack</t>
  </si>
  <si>
    <t xml:space="preserve">Marami cheese</t>
  </si>
  <si>
    <t xml:space="preserve">snek ku pick fine shrimp flavor</t>
  </si>
  <si>
    <t xml:space="preserve">Dried lemon 70g</t>
  </si>
  <si>
    <t xml:space="preserve">Hazelnut Ulker Deluxe Wafer</t>
  </si>
  <si>
    <t xml:space="preserve">Milk toffo (Demah) 250 Gm</t>
  </si>
  <si>
    <t xml:space="preserve">Puck Creamy Cheese 240g</t>
  </si>
  <si>
    <t xml:space="preserve">Wholesale – same group as its single "Saudi Indomie (green chili fried noodles)"</t>
  </si>
  <si>
    <t xml:space="preserve">Wholesale – same group as its single "Saudi Indomie (hot &amp; spicy fried noodles)"</t>
  </si>
  <si>
    <t xml:space="preserve">Spout lotte spearmint</t>
  </si>
  <si>
    <t xml:space="preserve">chocolate rico wafer large pack 30g</t>
  </si>
  <si>
    <t xml:space="preserve">kdd chocolate low fat 24 pack</t>
  </si>
  <si>
    <t xml:space="preserve">Low margin (-33%)</t>
  </si>
  <si>
    <t xml:space="preserve">lays mango &amp; hot spices 60g</t>
  </si>
  <si>
    <t xml:space="preserve">rico biscuit chocolate 1 pc</t>
  </si>
  <si>
    <t xml:space="preserve">rico biscuit chocolate 1 pack of 24 pcs</t>
  </si>
  <si>
    <t xml:space="preserve">Balsharaf Pufak Cheese Flavour 20 gm</t>
  </si>
  <si>
    <t xml:space="preserve">Oman Chips Spicy can</t>
  </si>
  <si>
    <t xml:space="preserve">Wholesale – same group as its single "Saudi Indomie (baladi chicken)"</t>
  </si>
  <si>
    <t xml:space="preserve">doux chicken franks hot &amp; spicy 400g</t>
  </si>
  <si>
    <t xml:space="preserve">doux chicken franks smoked 400g</t>
  </si>
  <si>
    <t xml:space="preserve">quavers large</t>
  </si>
  <si>
    <t xml:space="preserve">Wholesale – same group as its single "Batook Mint Gum"</t>
  </si>
  <si>
    <t xml:space="preserve">Laviva Chocolate, Ulker</t>
  </si>
  <si>
    <t xml:space="preserve">Saudi pepsi diet</t>
  </si>
  <si>
    <t xml:space="preserve">chips deemah farfasha crunchy corn</t>
  </si>
  <si>
    <t xml:space="preserve">chupa sour belt</t>
  </si>
  <si>
    <t xml:space="preserve">deemah curvy cake chocolate</t>
  </si>
  <si>
    <t xml:space="preserve">ghandour fruit gum 1pack</t>
  </si>
  <si>
    <t xml:space="preserve">macadamia vanilla smoked 120g</t>
  </si>
  <si>
    <t xml:space="preserve">millionaire corn curls</t>
  </si>
  <si>
    <t xml:space="preserve">rana Grape leaves 400 gm</t>
  </si>
  <si>
    <t xml:space="preserve">Saudi Indomie hot &amp; spicy fried noodles cup</t>
  </si>
  <si>
    <t xml:space="preserve">abu kass punjabi amber rice 5kg</t>
  </si>
  <si>
    <t xml:space="preserve">americana cake vanilla</t>
  </si>
  <si>
    <t xml:space="preserve">cheetos crunchy spicy and limon 65g</t>
  </si>
  <si>
    <t xml:space="preserve">sour zank strawberry sticks</t>
  </si>
  <si>
    <t xml:space="preserve">Dried vegetables 100g</t>
  </si>
  <si>
    <t xml:space="preserve">Kat Kat Ulker hazelnut</t>
  </si>
  <si>
    <t xml:space="preserve">Kitco Stix lightly salted Potato Sticks 40g</t>
  </si>
  <si>
    <t xml:space="preserve">Nova Apple Gum</t>
  </si>
  <si>
    <t xml:space="preserve">bumb bubble gum blueberry</t>
  </si>
  <si>
    <t xml:space="preserve">flash carbonated soft drink 250ml (blue)</t>
  </si>
  <si>
    <t xml:space="preserve">ghandour cinnamon gum 1pack</t>
  </si>
  <si>
    <t xml:space="preserve">Almarai Mango &amp; Grape Juice</t>
  </si>
  <si>
    <t xml:space="preserve">Eltajj cream 95 g</t>
  </si>
  <si>
    <t xml:space="preserve">KDD strawberry</t>
  </si>
  <si>
    <t xml:space="preserve">ZAZy Jelly (strawberry)</t>
  </si>
  <si>
    <t xml:space="preserve">alalali borth</t>
  </si>
  <si>
    <t xml:space="preserve">khaltet AlQaseem 250 gm</t>
  </si>
  <si>
    <t xml:space="preserve">Low margin (23%)</t>
  </si>
  <si>
    <t xml:space="preserve">nova gum fruits</t>
  </si>
  <si>
    <t xml:space="preserve">Almarai apple juice</t>
  </si>
  <si>
    <t xml:space="preserve">Hotel perfume</t>
  </si>
  <si>
    <t xml:space="preserve">Kohl Alathmad</t>
  </si>
  <si>
    <t xml:space="preserve">Pineapple juice Alrabei</t>
  </si>
  <si>
    <t xml:space="preserve">Wholesale – same group as its single "Saudi Indomie (red chili fried noodles)"</t>
  </si>
  <si>
    <t xml:space="preserve">Spout lotte cinnamon</t>
  </si>
  <si>
    <t xml:space="preserve">alrabie berry mix original 125ml</t>
  </si>
  <si>
    <t xml:space="preserve">deemah cupcake vanilla</t>
  </si>
  <si>
    <t xml:space="preserve">flash carbonated soft drink 250ml (red)</t>
  </si>
  <si>
    <t xml:space="preserve">Japanese crackers</t>
  </si>
  <si>
    <t xml:space="preserve">Nasma cheese Corn</t>
  </si>
  <si>
    <t xml:space="preserve">abu kass rice 5kg</t>
  </si>
  <si>
    <t xml:space="preserve">mero chocolate and peanut</t>
  </si>
  <si>
    <t xml:space="preserve">siip wrapz strawberry 15g</t>
  </si>
  <si>
    <t xml:space="preserve">sweet plus zeffo  marshmallow cakes strawberry 150g</t>
  </si>
  <si>
    <t xml:space="preserve">American cardamom 100g</t>
  </si>
  <si>
    <t xml:space="preserve">Lipton ice tea peach French 330ml</t>
  </si>
  <si>
    <t xml:space="preserve">ghandour waffle</t>
  </si>
  <si>
    <t xml:space="preserve">Wholesale – same group as its single "kat kat Ulker chocolate 18g"</t>
  </si>
  <si>
    <t xml:space="preserve">punjabi almuhaidib basmati rice 5kg</t>
  </si>
  <si>
    <t xml:space="preserve">Alwalimah baryani Mix</t>
  </si>
  <si>
    <t xml:space="preserve">Baja salted almond</t>
  </si>
  <si>
    <t xml:space="preserve">Baja salted almond 24 pc</t>
  </si>
  <si>
    <t xml:space="preserve">Sour Zank cola Sticks</t>
  </si>
  <si>
    <t xml:space="preserve">doux chicken franks cheese 400g</t>
  </si>
  <si>
    <t xml:space="preserve">Gandour Spearmint Gum 60 pcs sugar free‏</t>
  </si>
  <si>
    <t xml:space="preserve">Mabroom Dates(Siafa)400 gms</t>
  </si>
  <si>
    <t xml:space="preserve">Core seller, medium margin (29%)</t>
  </si>
  <si>
    <t xml:space="preserve">Miaw Miaw Chicken</t>
  </si>
  <si>
    <t xml:space="preserve">Reese's White Creamy Peanut Butter Chocolate Cup 39g</t>
  </si>
  <si>
    <t xml:space="preserve">fofo pop lolipop strawberry</t>
  </si>
  <si>
    <t xml:space="preserve">galaxy cake hazelnut</t>
  </si>
  <si>
    <t xml:space="preserve">siip wrapz chocolate 15g</t>
  </si>
  <si>
    <t xml:space="preserve">Low margin (4%)</t>
  </si>
  <si>
    <t xml:space="preserve">7 days cake bar chocolate mini 40g</t>
  </si>
  <si>
    <t xml:space="preserve">Wholesale – same group as its single "Karak with Saffron tea Rabea 1pc"</t>
  </si>
  <si>
    <t xml:space="preserve">Samyang carbonara ramen</t>
  </si>
  <si>
    <t xml:space="preserve">Teashop zekrayat date biscuit</t>
  </si>
  <si>
    <t xml:space="preserve">doux chicken franks garlic 400g</t>
  </si>
  <si>
    <t xml:space="preserve">lays salt &amp; vinegar 11g</t>
  </si>
  <si>
    <t xml:space="preserve">rita sparkling drink blue 240ml</t>
  </si>
  <si>
    <t xml:space="preserve">Gandour natural mastic gum sugar free</t>
  </si>
  <si>
    <t xml:space="preserve">Miaw Miaw Spicy Shrimp</t>
  </si>
  <si>
    <t xml:space="preserve">Sour Zank appleSticks</t>
  </si>
  <si>
    <t xml:space="preserve">rana Jalapeno hot sauce</t>
  </si>
  <si>
    <t xml:space="preserve">salted peanuts large 120g</t>
  </si>
  <si>
    <t xml:space="preserve">Borgat Gummy bumble bear</t>
  </si>
  <si>
    <t xml:space="preserve">Kitco Stix Tabasco Pepper Sauce Potato Sticks 40g</t>
  </si>
  <si>
    <t xml:space="preserve">Marami ketchup Zig-Zag Family Size</t>
  </si>
  <si>
    <t xml:space="preserve">Samyang Buldak Quattro Cheese Spicy Chicken</t>
  </si>
  <si>
    <t xml:space="preserve">Siafa Dates chocolate &amp; Lotus 100 Gms</t>
  </si>
  <si>
    <t xml:space="preserve">Core seller, medium margin (27%)</t>
  </si>
  <si>
    <t xml:space="preserve">siafa mamool 210g</t>
  </si>
  <si>
    <t xml:space="preserve">zello gummy pizza</t>
  </si>
  <si>
    <t xml:space="preserve">7 days cake bar chocolate milk mini 40g</t>
  </si>
  <si>
    <t xml:space="preserve">Low margin (16%)</t>
  </si>
  <si>
    <t xml:space="preserve">Hobby waffer Chocolate</t>
  </si>
  <si>
    <t xml:space="preserve">Meswak lemon flavor</t>
  </si>
  <si>
    <t xml:space="preserve">Nova Gum Peppermint</t>
  </si>
  <si>
    <t xml:space="preserve">Ringo chocolate vanilla wafer 1pack</t>
  </si>
  <si>
    <t xml:space="preserve">Rita Sparkling Drink berry</t>
  </si>
  <si>
    <t xml:space="preserve">Sukkary Mefatel Siafa 1 kg</t>
  </si>
  <si>
    <t xml:space="preserve">Twizzlers Strawberry zero sugar 141g</t>
  </si>
  <si>
    <t xml:space="preserve">cheddar Kraft creme cheese 230 gm</t>
  </si>
  <si>
    <t xml:space="preserve">puck cream</t>
  </si>
  <si>
    <t xml:space="preserve">siafa Dates Mamool Asawer (No Added Sugar ) 200 Gms</t>
  </si>
  <si>
    <t xml:space="preserve">Apple juice Alrabei</t>
  </si>
  <si>
    <t xml:space="preserve">KDD Apple</t>
  </si>
  <si>
    <t xml:space="preserve">Siafa Chocolate Dates With Hazelnut 100gm</t>
  </si>
  <si>
    <t xml:space="preserve">Ulker Dubai Chocolate with Pistachio Cream &amp; Kataifi Filling</t>
  </si>
  <si>
    <t xml:space="preserve">takis fuego hot chill &amp; lime 140g</t>
  </si>
  <si>
    <t xml:space="preserve">Wholesale – same group as its single "Rana Hot Sauce 100ml"</t>
  </si>
  <si>
    <t xml:space="preserve">Alshalaan Rice 5 Kg</t>
  </si>
  <si>
    <t xml:space="preserve">Alwalimah  baryani spicy Mix</t>
  </si>
  <si>
    <t xml:space="preserve">Marami  ketchup Zig-Zag small</t>
  </si>
  <si>
    <t xml:space="preserve">Marami BBQ Zig-Zag family size</t>
  </si>
  <si>
    <t xml:space="preserve">Rita Sparkling Drink mojito</t>
  </si>
  <si>
    <t xml:space="preserve">Siafa Dates With Dark Chocolate And Almond 100 Gms</t>
  </si>
  <si>
    <t xml:space="preserve">albatal tikita mediem size 65g</t>
  </si>
  <si>
    <t xml:space="preserve">rico salty sticks 20g</t>
  </si>
  <si>
    <t xml:space="preserve">siafa mamool cappuccino 115g</t>
  </si>
  <si>
    <t xml:space="preserve">siafa sukkary Rotab 500g</t>
  </si>
  <si>
    <t xml:space="preserve">Kitco Stix Hot &amp; Spicy Sticks 40g</t>
  </si>
  <si>
    <t xml:space="preserve">Miaw Miaw BBQ</t>
  </si>
  <si>
    <t xml:space="preserve">Millionaire chips salt &amp; vinegar</t>
  </si>
  <si>
    <t xml:space="preserve">Oman Majid Crispy Potato Chips 12Gm</t>
  </si>
  <si>
    <t xml:space="preserve">alrai juice apple grape 125ml</t>
  </si>
  <si>
    <t xml:space="preserve">luna cream plain 155g</t>
  </si>
  <si>
    <t xml:space="preserve">lutti roll up gum</t>
  </si>
  <si>
    <t xml:space="preserve">7 days croissant Vanilla</t>
  </si>
  <si>
    <t xml:space="preserve">Chiplets Salt &amp; vinegar</t>
  </si>
  <si>
    <t xml:space="preserve">Cric Crac Ketchup Family Size</t>
  </si>
  <si>
    <t xml:space="preserve">Fish Fash Spicy Family Pack</t>
  </si>
  <si>
    <t xml:space="preserve">Samyang Crema Carbo Buldak</t>
  </si>
  <si>
    <t xml:space="preserve">Sedr Alhelal 350 gm</t>
  </si>
  <si>
    <t xml:space="preserve">Spout lotte peppermint</t>
  </si>
  <si>
    <t xml:space="preserve">abu kass rice 2kg</t>
  </si>
  <si>
    <t xml:space="preserve">Wholesale – same group as its single "cheetos har nar"</t>
  </si>
  <si>
    <t xml:space="preserve">Arabic Coffee Beesha 250gm</t>
  </si>
  <si>
    <t xml:space="preserve">Choki Choki Chocolate Cashew Paste Sticks 27g</t>
  </si>
  <si>
    <t xml:space="preserve">Fine Rabea Leaf Tea 400</t>
  </si>
  <si>
    <t xml:space="preserve">KDD Full Cream Milk</t>
  </si>
  <si>
    <t xml:space="preserve">Marami french cheese zig-zag family size</t>
  </si>
  <si>
    <t xml:space="preserve">Monster ultra rosa Energy Drink 500ml</t>
  </si>
  <si>
    <t xml:space="preserve">Siafa mamool asawer cardamom 200g</t>
  </si>
  <si>
    <t xml:space="preserve">Trolli Pizza 5 Slice 20g</t>
  </si>
  <si>
    <t xml:space="preserve">borgat icepop duopop watermelon &amp; blueberry 1pc</t>
  </si>
  <si>
    <t xml:space="preserve">choco panda</t>
  </si>
  <si>
    <t xml:space="preserve">ghandour tutti frutti gum 1pack</t>
  </si>
  <si>
    <t xml:space="preserve">ice cream Elsaudia vanilia and chocolate</t>
  </si>
  <si>
    <t xml:space="preserve">rozy gummy hotdog 30g</t>
  </si>
  <si>
    <t xml:space="preserve">siafa mamool ajwa 210g</t>
  </si>
  <si>
    <t xml:space="preserve">Elyamama Cake Blueberry</t>
  </si>
  <si>
    <t xml:space="preserve">Fini roller watermelon</t>
  </si>
  <si>
    <t xml:space="preserve">Monster Rio Punch Energy Drink 500ml</t>
  </si>
  <si>
    <t xml:space="preserve">Rana hot sauce 180ml</t>
  </si>
  <si>
    <t xml:space="preserve">Twizzlers nibs cherry low fat 63g</t>
  </si>
  <si>
    <t xml:space="preserve">freeze dried mango cubes 70 gm</t>
  </si>
  <si>
    <t xml:space="preserve">kat kat Ulker creme</t>
  </si>
  <si>
    <t xml:space="preserve">siip cheese corn large pack</t>
  </si>
  <si>
    <t xml:space="preserve">Goody tenderina tuna  80g</t>
  </si>
  <si>
    <t xml:space="preserve">Homor Jawi</t>
  </si>
  <si>
    <t xml:space="preserve">Kiwi and lime Alrabie</t>
  </si>
  <si>
    <t xml:space="preserve">Saudi Airlines candle</t>
  </si>
  <si>
    <t xml:space="preserve">Low margin (-35%)</t>
  </si>
  <si>
    <t xml:space="preserve">Siafa Mamool Asawer Sesame 200 Gms</t>
  </si>
  <si>
    <t xml:space="preserve">Twizzlers Strawberry low fat 198g</t>
  </si>
  <si>
    <t xml:space="preserve">alwalimah masala mix</t>
  </si>
  <si>
    <t xml:space="preserve">americana butter cookies</t>
  </si>
  <si>
    <t xml:space="preserve">fini straws strawberry</t>
  </si>
  <si>
    <t xml:space="preserve">miaw miaw spicy</t>
  </si>
  <si>
    <t xml:space="preserve">saudi Bison 250ml</t>
  </si>
  <si>
    <t xml:space="preserve">siafa mamool asawer 300g</t>
  </si>
  <si>
    <t xml:space="preserve">siip rosted corn large pack</t>
  </si>
  <si>
    <t xml:space="preserve">Bravo buble gum tuty fruity 2 pieces</t>
  </si>
  <si>
    <t xml:space="preserve">Fini roller Raspberry</t>
  </si>
  <si>
    <t xml:space="preserve">Monster Mariposa Energy Drink 500ml</t>
  </si>
  <si>
    <t xml:space="preserve">Musk silk</t>
  </si>
  <si>
    <t xml:space="preserve">Siafa Chocolate Dates With milk chocolate 100gm</t>
  </si>
  <si>
    <t xml:space="preserve">Siafa Dates With White Chocolate And Almond 100 Gms</t>
  </si>
  <si>
    <t xml:space="preserve">Siafa mamool asawer cinnamon 200g</t>
  </si>
  <si>
    <t xml:space="preserve">Siafa mamool chocolate 210g</t>
  </si>
  <si>
    <t xml:space="preserve">alrabie mango</t>
  </si>
  <si>
    <t xml:space="preserve">kraft cheddar cheese 500g</t>
  </si>
  <si>
    <t xml:space="preserve">Core seller, medium margin (26%)</t>
  </si>
  <si>
    <t xml:space="preserve">loqmet elqadi (alalali)</t>
  </si>
  <si>
    <t xml:space="preserve">Low margin (-7%)</t>
  </si>
  <si>
    <t xml:space="preserve">snack chocolate sandwich  22g</t>
  </si>
  <si>
    <t xml:space="preserve">soudan chocolate</t>
  </si>
  <si>
    <t xml:space="preserve">sours mix smile fruit gum</t>
  </si>
  <si>
    <t xml:space="preserve">Wholesale – same group as its single "ulker chocolate"</t>
  </si>
  <si>
    <t xml:space="preserve">ulker kat kat Strawberry</t>
  </si>
  <si>
    <t xml:space="preserve">7 days double croissant cocoa &amp; vanilla with caramel filing</t>
  </si>
  <si>
    <t xml:space="preserve">Chupa Chups Lolipop Candy</t>
  </si>
  <si>
    <t xml:space="preserve">Marami cheddar jalapeno Zig-Zag Family Size</t>
  </si>
  <si>
    <t xml:space="preserve">Milk powder anchor 900g</t>
  </si>
  <si>
    <t xml:space="preserve">Monster Pacific Punch Energy Drink 500ml</t>
  </si>
  <si>
    <t xml:space="preserve">Safawi Dates(Siafa)400 gms</t>
  </si>
  <si>
    <t xml:space="preserve">Siafa Dates With Brown Chocolate coated dates 115 Gms</t>
  </si>
  <si>
    <t xml:space="preserve">borgat sour buzz mini belts strawberry 50 gm</t>
  </si>
  <si>
    <t xml:space="preserve">chocolate nestle lion peanut 42g</t>
  </si>
  <si>
    <t xml:space="preserve">chupa sour belt large pack</t>
  </si>
  <si>
    <t xml:space="preserve">kdd apple kids</t>
  </si>
  <si>
    <t xml:space="preserve">luxury (vanilla) fudge 400g elshamg</t>
  </si>
  <si>
    <t xml:space="preserve">seven days Swiss roll vanilla with vanilla filling</t>
  </si>
  <si>
    <t xml:space="preserve">siafa sagai honey and almond 400g</t>
  </si>
  <si>
    <t xml:space="preserve">ulker stickes zaater</t>
  </si>
  <si>
    <t xml:space="preserve">zello burger minis</t>
  </si>
  <si>
    <t xml:space="preserve">Low margin (-31%)</t>
  </si>
  <si>
    <t xml:space="preserve">Borgat Raspberry Jelly 160 grams</t>
  </si>
  <si>
    <t xml:space="preserve">Farfasha ketchup</t>
  </si>
  <si>
    <t xml:space="preserve">Kitco Stix sour cream &amp; onion Sticks 40g</t>
  </si>
  <si>
    <t xml:space="preserve">Marami BBQ Zig-Zag small</t>
  </si>
  <si>
    <t xml:space="preserve">Marami Corn Sticks Chili &amp; Lime 25g</t>
  </si>
  <si>
    <t xml:space="preserve">Monster zero suger ultra mango 500ml</t>
  </si>
  <si>
    <t xml:space="preserve">Rita mixed berries (sparkling drink)</t>
  </si>
  <si>
    <t xml:space="preserve">Strawberry Baloona Gum</t>
  </si>
  <si>
    <t xml:space="preserve">alwalimah basmati rice</t>
  </si>
  <si>
    <t xml:space="preserve">halawany mamoul small 18 pack</t>
  </si>
  <si>
    <t xml:space="preserve">lutti tubble gum cherry</t>
  </si>
  <si>
    <t xml:space="preserve">nahool cake we bees vanilla 1 pack</t>
  </si>
  <si>
    <t xml:space="preserve">saudi pepsi 24 pc</t>
  </si>
  <si>
    <t xml:space="preserve">ulker stickes cheese</t>
  </si>
  <si>
    <t xml:space="preserve">ulker stickes sesame</t>
  </si>
  <si>
    <t xml:space="preserve">Low margin (-13%)</t>
  </si>
  <si>
    <t xml:space="preserve">7 days chocolate cake bar with chocolate filling 5pieces</t>
  </si>
  <si>
    <t xml:space="preserve">Curry Spices 100 Gm</t>
  </si>
  <si>
    <t xml:space="preserve">Monster mango Energy Drink 500ml</t>
  </si>
  <si>
    <t xml:space="preserve">Twizzlers cherry low fat 172g</t>
  </si>
  <si>
    <t xml:space="preserve">deemah chocolate brownie 44g</t>
  </si>
  <si>
    <t xml:space="preserve">eti pop kek with chocolate 144g</t>
  </si>
  <si>
    <t xml:space="preserve">Low margin (10%)</t>
  </si>
  <si>
    <t xml:space="preserve">fid fad</t>
  </si>
  <si>
    <t xml:space="preserve">joy wavy vegetables chips 12g</t>
  </si>
  <si>
    <t xml:space="preserve">siafa mamool biscuit with dates 115g</t>
  </si>
  <si>
    <t xml:space="preserve">sour drop and jam gummy bluberry</t>
  </si>
  <si>
    <t xml:space="preserve">Wholesale – same group as its single "tasali ketchup small"</t>
  </si>
  <si>
    <t xml:space="preserve">Wholesale – same group as its single "Baja Arabic coffee with cardamom"</t>
  </si>
  <si>
    <t xml:space="preserve">Batook Chewing Gum</t>
  </si>
  <si>
    <t xml:space="preserve">Berry mix juice Alrabie 185 ml</t>
  </si>
  <si>
    <t xml:space="preserve">Nova Gum Watermelon</t>
  </si>
  <si>
    <t xml:space="preserve">Sour Zank bluberry Sticks</t>
  </si>
  <si>
    <t xml:space="preserve">TOTTI fruiti 15pc</t>
  </si>
  <si>
    <t xml:space="preserve">Low margin (-38%)</t>
  </si>
  <si>
    <t xml:space="preserve">Wholesale – same group as its single "chocolate safari"</t>
  </si>
  <si>
    <t xml:space="preserve">garlic krupuk</t>
  </si>
  <si>
    <t xml:space="preserve">kdd premium chocolate milk 250ml</t>
  </si>
  <si>
    <t xml:space="preserve">Low margin (14%)</t>
  </si>
  <si>
    <t xml:space="preserve">krupuk shrimp</t>
  </si>
  <si>
    <t xml:space="preserve">lipton sparking ice tea tropikal 330ml</t>
  </si>
  <si>
    <t xml:space="preserve">Wholesale – same group as its single "Ulker Sticks"</t>
  </si>
  <si>
    <t xml:space="preserve">Almarai Mango with Mix Fruit</t>
  </si>
  <si>
    <t xml:space="preserve">Alwalimah mandi mix</t>
  </si>
  <si>
    <t xml:space="preserve">Wholesale – same group as its single "Batook Banana Gum"</t>
  </si>
  <si>
    <t xml:space="preserve">Borgat Fusen mini bubble gums cola</t>
  </si>
  <si>
    <t xml:space="preserve">Dob gum 1pc</t>
  </si>
  <si>
    <t xml:space="preserve">Merito starch spray</t>
  </si>
  <si>
    <t xml:space="preserve">Meswak without flavor</t>
  </si>
  <si>
    <t xml:space="preserve">Wholesale – same group as its single "Mirinda citrus"</t>
  </si>
  <si>
    <t xml:space="preserve">Samyang Hot Chicken Ramen Noodles 140g</t>
  </si>
  <si>
    <t xml:space="preserve">Siafa Dates Orange Peel 100 Gms</t>
  </si>
  <si>
    <t xml:space="preserve">Siafa Dates With white chocolate coated dates 115 gms</t>
  </si>
  <si>
    <t xml:space="preserve">Low margin (9%)</t>
  </si>
  <si>
    <t xml:space="preserve">Sweet Plus Sugar free choco biscuits vanilla 105g</t>
  </si>
  <si>
    <t xml:space="preserve">TROLLI SOUR FRIES BOX 22g</t>
  </si>
  <si>
    <t xml:space="preserve">Watermelon balloon gum</t>
  </si>
  <si>
    <t xml:space="preserve">bumb bubble gum cola</t>
  </si>
  <si>
    <t xml:space="preserve">happy mistic gum 75 pack</t>
  </si>
  <si>
    <t xml:space="preserve">kdd bechamel sauce 500ml</t>
  </si>
  <si>
    <t xml:space="preserve">lutti tubble gum raspberry</t>
  </si>
  <si>
    <t xml:space="preserve">mountain dew spark 330ml</t>
  </si>
  <si>
    <t xml:space="preserve">snackits baked cheese</t>
  </si>
  <si>
    <t xml:space="preserve">triplex milk chocolate biscuit 20g</t>
  </si>
  <si>
    <t xml:space="preserve">Albatal chips yogurt &amp; mint flavor small 12g</t>
  </si>
  <si>
    <t xml:space="preserve">Alwazah Pure Cylon Tea 400 gm</t>
  </si>
  <si>
    <t xml:space="preserve">Boshar Al nar chili &amp; lemon</t>
  </si>
  <si>
    <t xml:space="preserve">Kitco Stix Paprika Sticks 40g</t>
  </si>
  <si>
    <t xml:space="preserve">Siafa Mamool Asawer Black Seeds 200 Gms</t>
  </si>
  <si>
    <t xml:space="preserve">Yan Yan Sticks Chocolate huzelnut</t>
  </si>
  <si>
    <t xml:space="preserve">albatal salted peanuts 11g</t>
  </si>
  <si>
    <t xml:space="preserve">borgat bounz gum 12g</t>
  </si>
  <si>
    <t xml:space="preserve">bumb bubble gum strawberry</t>
  </si>
  <si>
    <t xml:space="preserve">finjan alarab coffee cardamom 25g</t>
  </si>
  <si>
    <t xml:space="preserve">freeze dried mango slices 70gm</t>
  </si>
  <si>
    <t xml:space="preserve">jadayel Royal oil</t>
  </si>
  <si>
    <t xml:space="preserve">jhal muri chill &amp; lemon</t>
  </si>
  <si>
    <t xml:space="preserve">khadeer tea ceylon 200g</t>
  </si>
  <si>
    <t xml:space="preserve">kleja mama</t>
  </si>
  <si>
    <t xml:space="preserve">kraft cheddar cheese 250g</t>
  </si>
  <si>
    <t xml:space="preserve">monster energy lando norris 500ml</t>
  </si>
  <si>
    <t xml:space="preserve">moonsters chocolate bits chocobon 15g</t>
  </si>
  <si>
    <t xml:space="preserve">Wholesale – same group as its single "nescafe arabiana with Cardamom 1 pac 30g"</t>
  </si>
  <si>
    <t xml:space="preserve">om Saleh Mamool</t>
  </si>
  <si>
    <t xml:space="preserve">riyadh food vanilla</t>
  </si>
  <si>
    <t xml:space="preserve">Wholesale – same group as its single "salted peanuts"</t>
  </si>
  <si>
    <t xml:space="preserve">sweet plus Biscuits with strawberry jam 150g</t>
  </si>
  <si>
    <t xml:space="preserve">Wholesale – same group as its single "tufi luk chocolate"</t>
  </si>
  <si>
    <t xml:space="preserve">Almarai Orange Juice</t>
  </si>
  <si>
    <t xml:space="preserve">Almarai Pomegranate juice</t>
  </si>
  <si>
    <t xml:space="preserve">Bravo buble gum strawberry 2 pieces</t>
  </si>
  <si>
    <t xml:space="preserve">Chinese nuts 120g</t>
  </si>
  <si>
    <t xml:space="preserve">Dried fruits (freezed)</t>
  </si>
  <si>
    <t xml:space="preserve">Marami salt Zig-Zag family size</t>
  </si>
  <si>
    <t xml:space="preserve">Mehran Tandoori Masala</t>
  </si>
  <si>
    <t xml:space="preserve">Meswak clove flavor</t>
  </si>
  <si>
    <t xml:space="preserve">Milk powder anchor 400gm</t>
  </si>
  <si>
    <t xml:space="preserve">Samyang Hot Chicken Ramen Cheese Noodles</t>
  </si>
  <si>
    <t xml:space="preserve">Siafa mamool asawer borr</t>
  </si>
  <si>
    <t xml:space="preserve">Sweet Plus Sugar Free Cocoa Biscuits 100G</t>
  </si>
  <si>
    <t xml:space="preserve">alwalimah basmati rice 5kg</t>
  </si>
  <si>
    <t xml:space="preserve">crispy rings cheese flavor family size</t>
  </si>
  <si>
    <t xml:space="preserve">cumin seeds</t>
  </si>
  <si>
    <t xml:space="preserve">donut cake deemah (chocolate)</t>
  </si>
  <si>
    <t xml:space="preserve">ghandour spearmint gum 1pack</t>
  </si>
  <si>
    <t xml:space="preserve">kraft cheddar cheese 440g</t>
  </si>
  <si>
    <t xml:space="preserve">lays spicy 110g</t>
  </si>
  <si>
    <t xml:space="preserve">mamoul dosari</t>
  </si>
  <si>
    <t xml:space="preserve">monster energy ultra watermelon 500ml</t>
  </si>
  <si>
    <t xml:space="preserve">reese,s sticks peanut butter creme 42g</t>
  </si>
  <si>
    <t xml:space="preserve">siafa mamool coconut 115g</t>
  </si>
  <si>
    <t xml:space="preserve">sweet plus sugar free cocoa choco biscuits 105g</t>
  </si>
  <si>
    <t xml:space="preserve">Amber oud</t>
  </si>
  <si>
    <t xml:space="preserve">Wholesale – same group as its single "Capri- Sun mango"</t>
  </si>
  <si>
    <t xml:space="preserve">Miaw miaw original falvor</t>
  </si>
  <si>
    <t xml:space="preserve">Ringo hazelnut wafer</t>
  </si>
  <si>
    <t xml:space="preserve">Salted Biscuits</t>
  </si>
  <si>
    <t xml:space="preserve">Sambosa Switz Baladi 1 kilo</t>
  </si>
  <si>
    <t xml:space="preserve">Samyang Hot Chicken Romen Jjajang Noodles 140g</t>
  </si>
  <si>
    <t xml:space="preserve">Siafa mamool asawer saffron 200g</t>
  </si>
  <si>
    <t xml:space="preserve">Sour apple rings candy</t>
  </si>
  <si>
    <t xml:space="preserve">Low margin (11%)</t>
  </si>
  <si>
    <t xml:space="preserve">bentleys tea</t>
  </si>
  <si>
    <t xml:space="preserve">Wholesale – same group as its single "bifa soft"</t>
  </si>
  <si>
    <t xml:space="preserve">bikan vanilia 500g</t>
  </si>
  <si>
    <t xml:space="preserve">Low margin (-4%)</t>
  </si>
  <si>
    <t xml:space="preserve">bumb bubble gum watermelon</t>
  </si>
  <si>
    <t xml:space="preserve">crunchos potato stix grilled chicken 35g</t>
  </si>
  <si>
    <t xml:space="preserve">lays spicy babrica family</t>
  </si>
  <si>
    <t xml:space="preserve">monster energy orange &amp; lemon 500ml</t>
  </si>
  <si>
    <t xml:space="preserve">rana hot souce extra hot</t>
  </si>
  <si>
    <t xml:space="preserve">siafa mamool hazelnut 115g</t>
  </si>
  <si>
    <t xml:space="preserve">sour drop and jam gummy rasberry</t>
  </si>
  <si>
    <t xml:space="preserve">sweet plus crispy &amp; cocoa whithout suger 100g</t>
  </si>
  <si>
    <t xml:space="preserve">sweet plus suger free cocoa wafer rolls 120g</t>
  </si>
  <si>
    <t xml:space="preserve">tiffany Kraemer</t>
  </si>
  <si>
    <t xml:space="preserve">Al Haram Al Makki Perfume 500ml</t>
  </si>
  <si>
    <t xml:space="preserve">Wholesale – same group as its single "Capri- Sun orange"</t>
  </si>
  <si>
    <t xml:space="preserve">Crunchos Potato Stix ketchup 35g</t>
  </si>
  <si>
    <t xml:space="preserve">Meswak lychee flavor</t>
  </si>
  <si>
    <t xml:space="preserve">Oman Chips ALIBABA Potato 12g</t>
  </si>
  <si>
    <t xml:space="preserve">Sambosa Switz Baladi 2 kilo + free box</t>
  </si>
  <si>
    <t xml:space="preserve">Samyang Hot Chicken Ramen * 3 Spicy Noodles 140g</t>
  </si>
  <si>
    <t xml:space="preserve">Trolli kiss strawberry</t>
  </si>
  <si>
    <t xml:space="preserve">Twizzlers rainbow low fat 351g</t>
  </si>
  <si>
    <t xml:space="preserve">alwalimah basmati rice 2kg</t>
  </si>
  <si>
    <t xml:space="preserve">chupa chups sour bites 85g</t>
  </si>
  <si>
    <t xml:space="preserve">ghandour peppermint gum 1pack</t>
  </si>
  <si>
    <t xml:space="preserve">khaltet AlQaseem  500gm</t>
  </si>
  <si>
    <t xml:space="preserve">millionair potato chips chilli 10gm</t>
  </si>
  <si>
    <t xml:space="preserve">nahool cake raisen</t>
  </si>
  <si>
    <t xml:space="preserve">siafa White Chocolate Mamool 210 Gms</t>
  </si>
  <si>
    <t xml:space="preserve">sweet plus lemon sugar free mini waffer 180g</t>
  </si>
  <si>
    <t xml:space="preserve">sweet plus peanuts &amp; cocoa whithout suger 100g</t>
  </si>
  <si>
    <t xml:space="preserve">Wholesale – same group as its single "tasali spicy small"</t>
  </si>
  <si>
    <t xml:space="preserve">toffo nestle 48pack</t>
  </si>
  <si>
    <t xml:space="preserve">ulker sticks chili 30g</t>
  </si>
  <si>
    <t xml:space="preserve">Almarai Citrus Mix</t>
  </si>
  <si>
    <t xml:space="preserve">Wholesale – same group as its single "Baja Arabic Coffee Saffron"</t>
  </si>
  <si>
    <t xml:space="preserve">Bay leaf</t>
  </si>
  <si>
    <t xml:space="preserve">Crunchos Potato Stix chilli lime 35g</t>
  </si>
  <si>
    <t xml:space="preserve">Crunchos Potato Stix salt &amp; vinegar 35g</t>
  </si>
  <si>
    <t xml:space="preserve">Crunchos Potato Stix sweet chilli 35g</t>
  </si>
  <si>
    <t xml:space="preserve">Wholesale – same group as its single "KDD (chocolate)"</t>
  </si>
  <si>
    <t xml:space="preserve">Marami Corn Sticks hot cill</t>
  </si>
  <si>
    <t xml:space="preserve">Mogu Mogu Coconut Flavoured Drink with Nata de Coco - 320ml</t>
  </si>
  <si>
    <t xml:space="preserve">Monster Energy Drink Ultra Peachy Keen Zero Sugar 500ml</t>
  </si>
  <si>
    <t xml:space="preserve">Samyang Hot Chicken Romen *2 Spicy Noodles 140g</t>
  </si>
  <si>
    <t xml:space="preserve">Siafa Chocolate With Coconut 100g</t>
  </si>
  <si>
    <t xml:space="preserve">Siafa Sukkary Caramel 100 Gms</t>
  </si>
  <si>
    <t xml:space="preserve">Trolli Gummi Racers Candy - 22gm</t>
  </si>
  <si>
    <t xml:space="preserve">alshaikh iraqi maan wa salwa pistachios + almond 500g</t>
  </si>
  <si>
    <t xml:space="preserve">americana cake chocolate</t>
  </si>
  <si>
    <t xml:space="preserve">bumb bubble gum fruits</t>
  </si>
  <si>
    <t xml:space="preserve">caesar apple juice</t>
  </si>
  <si>
    <t xml:space="preserve">crunchos potato stix cheese 35g</t>
  </si>
  <si>
    <t xml:space="preserve">crunchos potato stix spicy 35g</t>
  </si>
  <si>
    <t xml:space="preserve">elmorjene Hazelnut Cream 700gm</t>
  </si>
  <si>
    <t xml:space="preserve">kdd bechamel sauce 1L</t>
  </si>
  <si>
    <t xml:space="preserve">miaw miaw Ketchup</t>
  </si>
  <si>
    <t xml:space="preserve">saudi Bison 185 ML</t>
  </si>
  <si>
    <t xml:space="preserve">shock &amp; shock 6pack bubble gum 6 pack</t>
  </si>
  <si>
    <t xml:space="preserve">siafa ajwa with cardamom and nuts powder</t>
  </si>
  <si>
    <t xml:space="preserve">su chocolate marshmallow biscuit</t>
  </si>
  <si>
    <t xml:space="preserve">sweet plus sugar free mini wafers cocoa creme 180g</t>
  </si>
  <si>
    <t xml:space="preserve">sweet plus zeffo marshmallow cakes with coconut  115g</t>
  </si>
  <si>
    <t xml:space="preserve">KDD orange 180ml</t>
  </si>
  <si>
    <t xml:space="preserve">MOGU MOGU Lychee Flavored Drink With NATA DE COCO 320ml</t>
  </si>
  <si>
    <t xml:space="preserve">Monster Absolutely Energy Drink 500ml</t>
  </si>
  <si>
    <t xml:space="preserve">TOTTI Fruiti hearts 15 pc</t>
  </si>
  <si>
    <t xml:space="preserve">Low margin (-47%)</t>
  </si>
  <si>
    <t xml:space="preserve">Wholesale – same group as its single "abu Walad biscuit"</t>
  </si>
  <si>
    <t xml:space="preserve">borgat icepop duopop strawberry &amp; mango 1pcs</t>
  </si>
  <si>
    <t xml:space="preserve">jum filled marshmallow 15</t>
  </si>
  <si>
    <t xml:space="preserve">reese,s peanut butter cups 185g</t>
  </si>
  <si>
    <t xml:space="preserve">siafa khudri almond 300g</t>
  </si>
  <si>
    <t xml:space="preserve">siafa tamaria 160g</t>
  </si>
  <si>
    <t xml:space="preserve">Wholesale – same group as its single "siip corn snack (cheese)"</t>
  </si>
  <si>
    <t xml:space="preserve">sweet plus coconut sugar free 100g</t>
  </si>
  <si>
    <t xml:space="preserve">7 days chocolate cake bar with milk filling 5pieces</t>
  </si>
  <si>
    <t xml:space="preserve">Evian Natural Water - 500 ml</t>
  </si>
  <si>
    <t xml:space="preserve">Kleja Queen Molasses Large</t>
  </si>
  <si>
    <t xml:space="preserve">LYLE,s Golden Syrup, Lion's Honey 454 GR</t>
  </si>
  <si>
    <t xml:space="preserve">MOGU MOGU Mango Flavored Drink With NATA DE COCO 320ml</t>
  </si>
  <si>
    <t xml:space="preserve">Mentos Gum sugar free</t>
  </si>
  <si>
    <t xml:space="preserve">Monster Zero Sugar Energy Drink 500ml</t>
  </si>
  <si>
    <t xml:space="preserve">Ovaltine Chocolate Powdered Drink 400 g</t>
  </si>
  <si>
    <t xml:space="preserve">Sambosa Switz 2 kilo + free box</t>
  </si>
  <si>
    <t xml:space="preserve">Siafa Chocolate With Rose 100gm</t>
  </si>
  <si>
    <t xml:space="preserve">Trolli Mini Hot Dog Gummies 12g</t>
  </si>
  <si>
    <t xml:space="preserve">alalali gelatin powder</t>
  </si>
  <si>
    <t xml:space="preserve">Low margin (-15%)</t>
  </si>
  <si>
    <t xml:space="preserve">albarakah sour belt 10g</t>
  </si>
  <si>
    <t xml:space="preserve">alrabea full leaf black tea 100g</t>
  </si>
  <si>
    <t xml:space="preserve">borgat sour buzz strawberry &amp; blueberry 170g</t>
  </si>
  <si>
    <t xml:space="preserve">bumb bubble gum banana</t>
  </si>
  <si>
    <t xml:space="preserve">gum stick dynamic 1pcs</t>
  </si>
  <si>
    <t xml:space="preserve">hawwek delishus fig 25g</t>
  </si>
  <si>
    <t xml:space="preserve">kdd orange with grape 125ml</t>
  </si>
  <si>
    <t xml:space="preserve">sweet plus zydo wafer peanuts creme 38g</t>
  </si>
  <si>
    <t xml:space="preserve">toffo deemah salted caramel</t>
  </si>
  <si>
    <t xml:space="preserve">zello sour banana 10g</t>
  </si>
  <si>
    <t xml:space="preserve">AlBaik freshener candle</t>
  </si>
  <si>
    <t xml:space="preserve">Wholesale – same group as its single "Batook orange chewing gum"</t>
  </si>
  <si>
    <t xml:space="preserve">Bogart Sour Buzz</t>
  </si>
  <si>
    <t xml:space="preserve">Date Paste 1kg</t>
  </si>
  <si>
    <t xml:space="preserve">Fruit Tella Strawberry flavor 33g</t>
  </si>
  <si>
    <t xml:space="preserve">Fruit-Tella 2in1 strawberry &amp; banana 33g</t>
  </si>
  <si>
    <t xml:space="preserve">Homor Baladi original 400g</t>
  </si>
  <si>
    <t xml:space="preserve">MOGU MOGU Passion Fruit Flavored Drink With NATA DE COCO 320ml</t>
  </si>
  <si>
    <t xml:space="preserve">MOGU MOGU Strawberry</t>
  </si>
  <si>
    <t xml:space="preserve">Mango juice Alrabai</t>
  </si>
  <si>
    <t xml:space="preserve">Sukkary Mefatel Siafa 3kg</t>
  </si>
  <si>
    <t xml:space="preserve">Toffo candy (Demah) 250gm</t>
  </si>
  <si>
    <t xml:space="preserve">baloona bubble gum fruits</t>
  </si>
  <si>
    <t xml:space="preserve">baskin robbins chocolate milk 180ml</t>
  </si>
  <si>
    <t xml:space="preserve">borgat sour buzz multi flavors 10 gm</t>
  </si>
  <si>
    <t xml:space="preserve">cheddar cheese pride 500 gm</t>
  </si>
  <si>
    <t xml:space="preserve">fantasy chipsy family size</t>
  </si>
  <si>
    <t xml:space="preserve">fini holiday cola  90g</t>
  </si>
  <si>
    <t xml:space="preserve">fini tranche pasteque 90g</t>
  </si>
  <si>
    <t xml:space="preserve">lipton ice tea  French Watermelon mint 330ml</t>
  </si>
  <si>
    <t xml:space="preserve">lutti tubble gum tutti</t>
  </si>
  <si>
    <t xml:space="preserve">milka chocolate strawberry cheesecake 300g</t>
  </si>
  <si>
    <t xml:space="preserve">Low margin (-8%)</t>
  </si>
  <si>
    <t xml:space="preserve">mini sour stick strawberry 20g</t>
  </si>
  <si>
    <t xml:space="preserve">siafa tamaria with coconut 300g</t>
  </si>
  <si>
    <t xml:space="preserve">7 days double croissant  strawberry &amp; Vanilla</t>
  </si>
  <si>
    <t xml:space="preserve">Batook Chewing Gum 1pc</t>
  </si>
  <si>
    <t xml:space="preserve">Borgat Raspberry Jelly 80 grams</t>
  </si>
  <si>
    <t xml:space="preserve">Wholesale – same group as its single "Caramel Log Chocolate"</t>
  </si>
  <si>
    <t xml:space="preserve">Dehn Aloud</t>
  </si>
  <si>
    <t xml:space="preserve">Dr Pepper Cherry 330ml</t>
  </si>
  <si>
    <t xml:space="preserve">Dr Pepper Vanilla Float 330 ml</t>
  </si>
  <si>
    <t xml:space="preserve">Dragon fruit dried</t>
  </si>
  <si>
    <t xml:space="preserve">MOGU MOGU Peach Flavored Drink</t>
  </si>
  <si>
    <t xml:space="preserve">Mehran Seekh Kabab Masala</t>
  </si>
  <si>
    <t xml:space="preserve">Milka Choco Sticks 112g</t>
  </si>
  <si>
    <t xml:space="preserve">Mogu Mogu Raspberry Nata De Coco 320ml</t>
  </si>
  <si>
    <t xml:space="preserve">Saudia Tornadoo Ice Cream Pineapple</t>
  </si>
  <si>
    <t xml:space="preserve">Siafa Mamool Asawer Plain 200 Gms</t>
  </si>
  <si>
    <t xml:space="preserve">Wholesale – same group as its single "Siip Corn Snack (roasted corn)"</t>
  </si>
  <si>
    <t xml:space="preserve">Skittles Sour 38gm</t>
  </si>
  <si>
    <t xml:space="preserve">Topokki Korean Carbonara 133g</t>
  </si>
  <si>
    <t xml:space="preserve">Ulker Milk Chocolate Bar with Hazelnuts, 65g</t>
  </si>
  <si>
    <t xml:space="preserve">abu felfel krupuk</t>
  </si>
  <si>
    <t xml:space="preserve">Low margin (-9%)</t>
  </si>
  <si>
    <t xml:space="preserve">americana choco cookies 1kg</t>
  </si>
  <si>
    <t xml:space="preserve">americana choco cookies Assorted chips 1kg</t>
  </si>
  <si>
    <t xml:space="preserve">Wholesale – same group as its single "capri- sun strawberry"</t>
  </si>
  <si>
    <t xml:space="preserve">esnad albait broast mix 240g</t>
  </si>
  <si>
    <t xml:space="preserve">finjan alarab coffee 250g</t>
  </si>
  <si>
    <t xml:space="preserve">ice cream Elsaudia tornadoo baboo</t>
  </si>
  <si>
    <t xml:space="preserve">lays stax original 100g</t>
  </si>
  <si>
    <t xml:space="preserve">lipton ice tea  French tropical 330ml</t>
  </si>
  <si>
    <t xml:space="preserve">mentos gum cherry mint 12pcs</t>
  </si>
  <si>
    <t xml:space="preserve">millionair potato chips ketchup 10gm</t>
  </si>
  <si>
    <t xml:space="preserve">mini sour stick blueberry 20g</t>
  </si>
  <si>
    <t xml:space="preserve">my boba classic 170g</t>
  </si>
  <si>
    <t xml:space="preserve">quaker white oats 500g</t>
  </si>
  <si>
    <t xml:space="preserve">sour drop and jam gummy apple</t>
  </si>
  <si>
    <t xml:space="preserve">sunbulah frozen spring roll</t>
  </si>
  <si>
    <t xml:space="preserve">tangle gum 1 cola &amp; 1 fanta &amp; 1 sprite</t>
  </si>
  <si>
    <t xml:space="preserve">Almarai Full Fat Cheddar Block Cheese</t>
  </si>
  <si>
    <t xml:space="preserve">Body Oud Bold Perfume 100ml</t>
  </si>
  <si>
    <t xml:space="preserve">Fine Rabea Leaf Tea 200g</t>
  </si>
  <si>
    <t xml:space="preserve">Freeze Dried Kiwi 80g</t>
  </si>
  <si>
    <t xml:space="preserve">Ghandour peppermint sugar free</t>
  </si>
  <si>
    <t xml:space="preserve">Ghandour red fruits sugar free</t>
  </si>
  <si>
    <t xml:space="preserve">Kitco Stix Tomato Ketchup Sticks 40g</t>
  </si>
  <si>
    <t xml:space="preserve">Lipton red fruits zero suger</t>
  </si>
  <si>
    <t xml:space="preserve">Monster Pipeline Punch Energy Drink 500ml</t>
  </si>
  <si>
    <t xml:space="preserve">Monster energy Assuie Lemonade 500ml</t>
  </si>
  <si>
    <t xml:space="preserve">Pakistani noodles 12pcs</t>
  </si>
  <si>
    <t xml:space="preserve">Puck Cream Cheese Squeeze Spread 400g</t>
  </si>
  <si>
    <t xml:space="preserve">Reese,s large pack 6*42g</t>
  </si>
  <si>
    <t xml:space="preserve">Low margin (0%)</t>
  </si>
  <si>
    <t xml:space="preserve">Saudi  albaik candle</t>
  </si>
  <si>
    <t xml:space="preserve">Low margin (-80%)</t>
  </si>
  <si>
    <t xml:space="preserve">Skittles Wild Berry 38g</t>
  </si>
  <si>
    <t xml:space="preserve">Yan Yan Sticks Chocolate</t>
  </si>
  <si>
    <t xml:space="preserve">borgat sour buzz candy spaghetti Strawberry Flavored 125g</t>
  </si>
  <si>
    <t xml:space="preserve">bourgat sour buzz  straberry 50g</t>
  </si>
  <si>
    <t xml:space="preserve">Low margin (-159%)</t>
  </si>
  <si>
    <t xml:space="preserve">crunchos potato stix salt 35g</t>
  </si>
  <si>
    <t xml:space="preserve">fini anneaux peche 90g</t>
  </si>
  <si>
    <t xml:space="preserve">golden potato french cheese 65g</t>
  </si>
  <si>
    <t xml:space="preserve">kdd caffe latte 250ml</t>
  </si>
  <si>
    <t xml:space="preserve">khadeer tea ceylon gabli  200g</t>
  </si>
  <si>
    <t xml:space="preserve">kleja queen molasses</t>
  </si>
  <si>
    <t xml:space="preserve">kwality ice cream saffron kulfi</t>
  </si>
  <si>
    <t xml:space="preserve">lipton ice tea  French raspberry 330ml</t>
  </si>
  <si>
    <t xml:space="preserve">lipton ice tea lemon French 330ml</t>
  </si>
  <si>
    <t xml:space="preserve">mega chips natural taste 50g</t>
  </si>
  <si>
    <t xml:space="preserve">oroo cream choco 45g</t>
  </si>
  <si>
    <t xml:space="preserve">pizza candy</t>
  </si>
  <si>
    <t xml:space="preserve">skittles original 20g</t>
  </si>
  <si>
    <t xml:space="preserve">turkish Light Coffee without cardamom 250g</t>
  </si>
  <si>
    <t xml:space="preserve">Ülker Caramio Chocolate With Caramel 32g</t>
  </si>
  <si>
    <t xml:space="preserve">Altelal Mastic (100% original)</t>
  </si>
  <si>
    <t xml:space="preserve">Bravo buble gum mint 2 pieces</t>
  </si>
  <si>
    <t xml:space="preserve">Wholesale – same group as its single "Caramel Log"</t>
  </si>
  <si>
    <t xml:space="preserve">Deemah date maamoul 16pics</t>
  </si>
  <si>
    <t xml:space="preserve">Dr Pepper - Strawberries and Cream - 330 ml</t>
  </si>
  <si>
    <t xml:space="preserve">Wholesale – same group as its single "Elyamama Cake Vanilla"</t>
  </si>
  <si>
    <t xml:space="preserve">MOGU MOGU watermelon Flavored Drink</t>
  </si>
  <si>
    <t xml:space="preserve">Meswak mint flavor</t>
  </si>
  <si>
    <t xml:space="preserve">Monster Original Green Energy - 500ml</t>
  </si>
  <si>
    <t xml:space="preserve">Nice (Ketchup)</t>
  </si>
  <si>
    <t xml:space="preserve">Ritter Sport Butter Biscuit 100g</t>
  </si>
  <si>
    <t xml:space="preserve">Ritter Sport Praline Chocolate 100g</t>
  </si>
  <si>
    <t xml:space="preserve">Ritter Sport Whole Almonds Chocolate 100g</t>
  </si>
  <si>
    <t xml:space="preserve">Rozy chocolate with almond sticks 36g</t>
  </si>
  <si>
    <t xml:space="preserve">Samyang Rose Spicy Chicken</t>
  </si>
  <si>
    <t xml:space="preserve">Samyang Tangle Creamy Mushroom Noodles</t>
  </si>
  <si>
    <t xml:space="preserve">Samyang Tangle Garlic Oil Noodles</t>
  </si>
  <si>
    <t xml:space="preserve">Takis Blue Heat Chips 90g</t>
  </si>
  <si>
    <t xml:space="preserve">Takis Fuego Chips 90g</t>
  </si>
  <si>
    <t xml:space="preserve">Takis Volcano Chips 90g</t>
  </si>
  <si>
    <t xml:space="preserve">Ulker HAZELNUT GRAPE CHOCOLATE SQUARE 65 GR</t>
  </si>
  <si>
    <t xml:space="preserve">albatal chips bbq 65g</t>
  </si>
  <si>
    <t xml:space="preserve">alrajhi indian mazza basmati rice 5kg</t>
  </si>
  <si>
    <t xml:space="preserve">alshaikh iraqi maan wa salwa almond 500g</t>
  </si>
  <si>
    <t xml:space="preserve">alwazah green tea 300g</t>
  </si>
  <si>
    <t xml:space="preserve">bourgat sour buzz mini belts strawberry 80g</t>
  </si>
  <si>
    <t xml:space="preserve">cadbury dairy milk fruit &amp; nut 130g</t>
  </si>
  <si>
    <t xml:space="preserve">crystal hot sauce 176ml</t>
  </si>
  <si>
    <t xml:space="preserve">dried mushroom 110 gm</t>
  </si>
  <si>
    <t xml:space="preserve">fini fruits bubble gum 90g</t>
  </si>
  <si>
    <t xml:space="preserve">fish fash spicy 12g</t>
  </si>
  <si>
    <t xml:space="preserve">lays stax cheddar cheese 100g</t>
  </si>
  <si>
    <t xml:space="preserve">lipton ice tea mango  zero suger</t>
  </si>
  <si>
    <t xml:space="preserve">mega chips sour cream &amp; onion 50g</t>
  </si>
  <si>
    <t xml:space="preserve">monster energy ultra  zero suger 440 ml</t>
  </si>
  <si>
    <t xml:space="preserve">sour drop and jam gummy strawberry</t>
  </si>
  <si>
    <t xml:space="preserve">sweet plus Biscuits with  rasberry 150g</t>
  </si>
  <si>
    <t xml:space="preserve">top fruit strawberry jelly candy 800g</t>
  </si>
  <si>
    <t xml:space="preserve">trident dental care sugar free</t>
  </si>
  <si>
    <t xml:space="preserve">tuna treva light meat flakes 80g</t>
  </si>
  <si>
    <t xml:space="preserve">zello sour cola 10g</t>
  </si>
  <si>
    <t xml:space="preserve">Bogart Sour Buzz apple</t>
  </si>
  <si>
    <t xml:space="preserve">Buldak extremely Hot Sauce 165g</t>
  </si>
  <si>
    <t xml:space="preserve">Wholesale – same group as its single "Capri- Sun Cocktail"</t>
  </si>
  <si>
    <t xml:space="preserve">Dried okra 70 gm</t>
  </si>
  <si>
    <t xml:space="preserve">Wholesale – same group as its single "Elyamama Cake strawberry"</t>
  </si>
  <si>
    <t xml:space="preserve">Homor sweet tamarind 225g</t>
  </si>
  <si>
    <t xml:space="preserve">Jadayel anti hair loss</t>
  </si>
  <si>
    <t xml:space="preserve">Ritter Sport Alpine Milk Chocolate 100g</t>
  </si>
  <si>
    <t xml:space="preserve">Ritter Sport Hazelnuts Chocolate 100g</t>
  </si>
  <si>
    <t xml:space="preserve">Low margin (-5%)</t>
  </si>
  <si>
    <t xml:space="preserve">Ritter Sport Raisins Hazelnuts Chocolate 100g</t>
  </si>
  <si>
    <t xml:space="preserve">Ritter Sport Whole Hazelnuts 100g</t>
  </si>
  <si>
    <t xml:space="preserve">Takis Buckin Ranch Chips 90g</t>
  </si>
  <si>
    <t xml:space="preserve">Topokki Korean Original 133g</t>
  </si>
  <si>
    <t xml:space="preserve">almarai muxcle milk 400g</t>
  </si>
  <si>
    <t xml:space="preserve">chupa chups mix fruit</t>
  </si>
  <si>
    <t xml:space="preserve">dates cake 350g</t>
  </si>
  <si>
    <t xml:space="preserve">Low margin (7%)</t>
  </si>
  <si>
    <t xml:space="preserve">deemah cream coconut biscuits 27g</t>
  </si>
  <si>
    <t xml:space="preserve">dried ice cream Sandwich 80g</t>
  </si>
  <si>
    <t xml:space="preserve">fini sour tropical mix 90g</t>
  </si>
  <si>
    <t xml:space="preserve">golden potato ketchup 65g</t>
  </si>
  <si>
    <t xml:space="preserve">goody mayonnaise 946g</t>
  </si>
  <si>
    <t xml:space="preserve">keef elmosafer clove 30g</t>
  </si>
  <si>
    <t xml:space="preserve">kwality ice cream blueberry</t>
  </si>
  <si>
    <t xml:space="preserve">lays stax hot cill 100g</t>
  </si>
  <si>
    <t xml:space="preserve">lays stax spicy lobster 100g</t>
  </si>
  <si>
    <t xml:space="preserve">mega chips chicken 50g</t>
  </si>
  <si>
    <t xml:space="preserve">milka choco biscuits 18pics</t>
  </si>
  <si>
    <t xml:space="preserve">mixed fruits soft gelly 250g</t>
  </si>
  <si>
    <t xml:space="preserve">om saleh maamoul whole wheat 450g</t>
  </si>
  <si>
    <t xml:space="preserve">prestige ruby perfume</t>
  </si>
  <si>
    <t xml:space="preserve">rana ketchup 720g</t>
  </si>
  <si>
    <t xml:space="preserve">siafa sagai almond 300g</t>
  </si>
  <si>
    <t xml:space="preserve">sweet plus Biscuits with muesli original 115g`</t>
  </si>
  <si>
    <t xml:space="preserve">Balsharaf Pufak Chilli Flavour 20 gm</t>
  </si>
  <si>
    <t xml:space="preserve">Cadbury - Dairy Milk Hazelnut (145g)</t>
  </si>
  <si>
    <t xml:space="preserve">Coffee black without cardamom 250g</t>
  </si>
  <si>
    <t xml:space="preserve">Deemah tea biscuits</t>
  </si>
  <si>
    <t xml:space="preserve">Fruit Tella blueberry flavor 33g</t>
  </si>
  <si>
    <t xml:space="preserve">Karak Tea Cardamom 10pack</t>
  </si>
  <si>
    <t xml:space="preserve">Ritter Sport Smarties in Milk Chocolate 100g</t>
  </si>
  <si>
    <t xml:space="preserve">Wholesale – same group as its single "SOHAR chipsy 13g"</t>
  </si>
  <si>
    <t xml:space="preserve">Samyang habanero lime Chicken</t>
  </si>
  <si>
    <t xml:space="preserve">Siafa Strawberry Chocolate Mamool 210 Gms</t>
  </si>
  <si>
    <t xml:space="preserve">Skittles Original Fruits 38g</t>
  </si>
  <si>
    <t xml:space="preserve">Snackits (Chilli)</t>
  </si>
  <si>
    <t xml:space="preserve">Steviana Sweetener 25 Sticks</t>
  </si>
  <si>
    <t xml:space="preserve">Sun Sip Popping Boba Tea With mix berries Flavor 325ml</t>
  </si>
  <si>
    <t xml:space="preserve">Sunbulah Puff Pastry Sheets - 10 Pieces</t>
  </si>
  <si>
    <t xml:space="preserve">Topokki Korean Carbonara cup 113g</t>
  </si>
  <si>
    <t xml:space="preserve">Topokki Korean Original cup 113g</t>
  </si>
  <si>
    <t xml:space="preserve">Ulker Caramio Caramel Filled Chocolate Bar 55g</t>
  </si>
  <si>
    <t xml:space="preserve">alkhair saudi coffee with cardamom 30g</t>
  </si>
  <si>
    <t xml:space="preserve">alshaikh iraqi maan wa salwa pistachios 500g</t>
  </si>
  <si>
    <t xml:space="preserve">borgat gummy hearts  36g</t>
  </si>
  <si>
    <t xml:space="preserve">Low margin (-26%)</t>
  </si>
  <si>
    <t xml:space="preserve">borgat sour buzz apple 100g</t>
  </si>
  <si>
    <t xml:space="preserve">Low margin (-50%)</t>
  </si>
  <si>
    <t xml:space="preserve">borgat sour buzz candy belts 50g</t>
  </si>
  <si>
    <t xml:space="preserve">borgat sour buzz strawberry flavor 190g</t>
  </si>
  <si>
    <t xml:space="preserve">cadbury dairy milk black forest 130g</t>
  </si>
  <si>
    <t xml:space="preserve">deemah cream vanilla biscuits 27g</t>
  </si>
  <si>
    <t xml:space="preserve">dream coconut milk drink with mocha 290ml</t>
  </si>
  <si>
    <t xml:space="preserve">dried tangerine 80g</t>
  </si>
  <si>
    <t xml:space="preserve">fini jelly bananas 90g</t>
  </si>
  <si>
    <t xml:space="preserve">fini jelly crocodiles 90g</t>
  </si>
  <si>
    <t xml:space="preserve">gum stick fruit flavor 1pcs</t>
  </si>
  <si>
    <t xml:space="preserve">Wholesale – same group as its single "keef elmosafer with cardamom 5 gm"</t>
  </si>
  <si>
    <t xml:space="preserve">kettle cooked balsamico &amp; tomato 150g</t>
  </si>
  <si>
    <t xml:space="preserve">kwality ice cream toffee</t>
  </si>
  <si>
    <t xml:space="preserve">lays stax sour cream &amp; onion 100g</t>
  </si>
  <si>
    <t xml:space="preserve">mega chips kebab 50g</t>
  </si>
  <si>
    <t xml:space="preserve">mentos gum breeze mint 12pcs</t>
  </si>
  <si>
    <t xml:space="preserve">milka chocolate happy cows</t>
  </si>
  <si>
    <t xml:space="preserve">milka chocolate raisins &amp; nuts</t>
  </si>
  <si>
    <t xml:space="preserve">millet dates cake 350g</t>
  </si>
  <si>
    <t xml:space="preserve">my boba mango 170g</t>
  </si>
  <si>
    <t xml:space="preserve">punjabi Alshalaan amber rice 5kg</t>
  </si>
  <si>
    <t xml:space="preserve">reese,s nut bar peanut butter 47g</t>
  </si>
  <si>
    <t xml:space="preserve">sanabel alshahed dates maamoul 400g</t>
  </si>
  <si>
    <t xml:space="preserve">snackits baked sour cream &amp; onion</t>
  </si>
  <si>
    <t xml:space="preserve">sun sip Can Popping Boba Tea With Mango &amp; Passion 325ml</t>
  </si>
  <si>
    <t xml:space="preserve">toffix sticks 800g</t>
  </si>
  <si>
    <t xml:space="preserve">ulker deluxe choco nuts (pistachio)</t>
  </si>
  <si>
    <t xml:space="preserve">wild colt bakhur + arrogate comete from assaf</t>
  </si>
  <si>
    <t xml:space="preserve">Core seller, medium margin (25%)</t>
  </si>
  <si>
    <t xml:space="preserve">zello sour mango 10g</t>
  </si>
  <si>
    <t xml:space="preserve">Wholesale – same group as its single "Bahlool sticks"</t>
  </si>
  <si>
    <t xml:space="preserve">Wholesale – same group as its single "Baja deluxe Mix"</t>
  </si>
  <si>
    <t xml:space="preserve">Wholesale – same group as its single "Baja salted cashew"</t>
  </si>
  <si>
    <t xml:space="preserve">Borgat lollipop strawberry and chocolate 40 pieces</t>
  </si>
  <si>
    <t xml:space="preserve">Buldak original hot Sauce 165g</t>
  </si>
  <si>
    <t xml:space="preserve">Dkhoon Rose Dkhoon Emirates</t>
  </si>
  <si>
    <t xml:space="preserve">Ice cream Elsaudia with chocolate</t>
  </si>
  <si>
    <t xml:space="preserve">Kahilan Dkhoon Emirates</t>
  </si>
  <si>
    <t xml:space="preserve">Kettle Cooked Chips - sweet bbq - 150g</t>
  </si>
  <si>
    <t xml:space="preserve">MOGU MOGU blackcubrany</t>
  </si>
  <si>
    <t xml:space="preserve">Memories tea biscuit small 70g</t>
  </si>
  <si>
    <t xml:space="preserve">Monster Ultra Golden Pineapple  500ml</t>
  </si>
  <si>
    <t xml:space="preserve">Ringo chocolate crispy cream wafer 18g</t>
  </si>
  <si>
    <t xml:space="preserve">Ritter Sport Dark Whole Almonds Chocolate 100g</t>
  </si>
  <si>
    <t xml:space="preserve">Ritter Sport White Whole Hazelnuts 100g</t>
  </si>
  <si>
    <t xml:space="preserve">Rose de Mai perfume</t>
  </si>
  <si>
    <t xml:space="preserve">Saudia Ice Cream Stick Pomegranate</t>
  </si>
  <si>
    <t xml:space="preserve">Shuhrah Rasasi  perfume</t>
  </si>
  <si>
    <t xml:space="preserve">Takis intense nacho Chips 90g</t>
  </si>
  <si>
    <t xml:space="preserve">Topokki Korean cheese 133g</t>
  </si>
  <si>
    <t xml:space="preserve">alameed turkish coffee without cardamom 250g</t>
  </si>
  <si>
    <t xml:space="preserve">Draft</t>
  </si>
  <si>
    <t xml:space="preserve">alkhair saudi coffee golden blend 30g</t>
  </si>
  <si>
    <t xml:space="preserve">almarai protein milk vanilla suger free 400g</t>
  </si>
  <si>
    <t xml:space="preserve">alshaikh iraqi maan wa salwa walnut 500g</t>
  </si>
  <si>
    <t xml:space="preserve">armada nutty nougat</t>
  </si>
  <si>
    <t xml:space="preserve">brio crunchy wafer 20g</t>
  </si>
  <si>
    <t xml:space="preserve">bumb bubble gum orange</t>
  </si>
  <si>
    <t xml:space="preserve">crystal hot sauce 474 ml</t>
  </si>
  <si>
    <t xml:space="preserve">dates &amp; nuts maamoul</t>
  </si>
  <si>
    <t xml:space="preserve">dream coconut milk drink with mango 290ml</t>
  </si>
  <si>
    <t xml:space="preserve">fini fraise sauvage 90g</t>
  </si>
  <si>
    <t xml:space="preserve">fini poulpes 90g</t>
  </si>
  <si>
    <t xml:space="preserve">jum filled marshmallow 15g</t>
  </si>
  <si>
    <t xml:space="preserve">just kettle chips salt 125g</t>
  </si>
  <si>
    <t xml:space="preserve">kdd cherry with white grape 180ml</t>
  </si>
  <si>
    <t xml:space="preserve">keef elmosafer Ginger 30g</t>
  </si>
  <si>
    <t xml:space="preserve">kit kat double chocolate  100g</t>
  </si>
  <si>
    <t xml:space="preserve">mega chips sour cream &amp; cheese 50g</t>
  </si>
  <si>
    <t xml:space="preserve">memories maamoul borr</t>
  </si>
  <si>
    <t xml:space="preserve">milka chocolate oreo brownie</t>
  </si>
  <si>
    <t xml:space="preserve">milka chocolate whole hazelnut</t>
  </si>
  <si>
    <t xml:space="preserve">my boba strawberry 170g</t>
  </si>
  <si>
    <t xml:space="preserve">nadic cheddar 20 slices 400g</t>
  </si>
  <si>
    <t xml:space="preserve">Wholesale – same group as its single "rico biscuit chocolate 1 pc"</t>
  </si>
  <si>
    <t xml:space="preserve">snackits (salted)</t>
  </si>
  <si>
    <t xml:space="preserve">sun sip Can Popping Boba Tea With steawbeery 325ml</t>
  </si>
  <si>
    <t xml:space="preserve">talks me chilli&amp; lemon</t>
  </si>
  <si>
    <t xml:space="preserve">Wholesale – same group as its single "ulker tea biscuits"</t>
  </si>
  <si>
    <t xml:space="preserve">Al Ameed turkish Light Coffee without cardamom 250g</t>
  </si>
  <si>
    <t xml:space="preserve">Al Ameed turkish black Coffee 250g</t>
  </si>
  <si>
    <t xml:space="preserve">Al Ameed turkish black Coffee without cardamom 250g</t>
  </si>
  <si>
    <t xml:space="preserve">Americana Quality Premium Butter Cookies 100g</t>
  </si>
  <si>
    <t xml:space="preserve">BARRATT ANGLO BUBBLY 120 pcs</t>
  </si>
  <si>
    <t xml:space="preserve">Wholesale – same group as its single "Baja Mild Arabica Coffee"</t>
  </si>
  <si>
    <t xml:space="preserve">Borgat Bear Jelly 80 Grams</t>
  </si>
  <si>
    <t xml:space="preserve">Borgat Sour Buzz Assorted Filled Sticks 50g</t>
  </si>
  <si>
    <t xml:space="preserve">Buldak Carbonara  hot Sauce 165g</t>
  </si>
  <si>
    <t xml:space="preserve">Clown Corn Cheese Rice Crackers 88.2g</t>
  </si>
  <si>
    <t xml:space="preserve">Clown Original Rice Crackers 88.2g</t>
  </si>
  <si>
    <t xml:space="preserve">Galaxy Salted Caramel 135g</t>
  </si>
  <si>
    <t xml:space="preserve">Galaxy Smooth Milk Bar - 100g</t>
  </si>
  <si>
    <t xml:space="preserve">Karak Tea Zafran 10 pack</t>
  </si>
  <si>
    <t xml:space="preserve">Lays Stax Wagyu Beef &amp; Truffle Flavor 100g</t>
  </si>
  <si>
    <t xml:space="preserve">MOGU MOGU Pineapple Flavored Drink</t>
  </si>
  <si>
    <t xml:space="preserve">Ritter Sport Dark Whole Hazelnuts 100g</t>
  </si>
  <si>
    <t xml:space="preserve">Taeshop Ringo Sandwich Biscuits with Chocolate</t>
  </si>
  <si>
    <t xml:space="preserve">Topokki Korean Cheese cup 113g</t>
  </si>
  <si>
    <t xml:space="preserve">Ulker Chocolate squares with qatayef flavor</t>
  </si>
  <si>
    <t xml:space="preserve">Ulker Milk Chocolate Bar with Pistachio</t>
  </si>
  <si>
    <t xml:space="preserve">alameed coffee french 250g</t>
  </si>
  <si>
    <t xml:space="preserve">alameed coffee french hazelnut 250g</t>
  </si>
  <si>
    <t xml:space="preserve">borgat bear cup</t>
  </si>
  <si>
    <t xml:space="preserve">borgat gummy sour strawberry 10g</t>
  </si>
  <si>
    <t xml:space="preserve">borgat sour buzz multi flavor 190g</t>
  </si>
  <si>
    <t xml:space="preserve">chupa chups belt gieo que 105g</t>
  </si>
  <si>
    <t xml:space="preserve">damla sour sticks blackberry 30g</t>
  </si>
  <si>
    <t xml:space="preserve">deemah cream banana biscuits 27g</t>
  </si>
  <si>
    <t xml:space="preserve">dream coconut milk drink with banana 290ml</t>
  </si>
  <si>
    <t xml:space="preserve">dream coconut milk with chocolate 290ml</t>
  </si>
  <si>
    <t xml:space="preserve">just kettle chips cheese &amp; chives 125g</t>
  </si>
  <si>
    <t xml:space="preserve">just kettle chips salt &amp; vinegar 125g</t>
  </si>
  <si>
    <t xml:space="preserve">Wholesale – same group as its single "keef elmosafer with cardamom 30 gm"</t>
  </si>
  <si>
    <t xml:space="preserve">kikna cinnamon dates cake 15pieces</t>
  </si>
  <si>
    <t xml:space="preserve">krupuk siliana 400g</t>
  </si>
  <si>
    <t xml:space="preserve">lays stax bqq 100g</t>
  </si>
  <si>
    <t xml:space="preserve">milka chocolate broken hazelnut</t>
  </si>
  <si>
    <t xml:space="preserve">milka chocolate chips cookies</t>
  </si>
  <si>
    <t xml:space="preserve">milka chocolate strawberry cilekli</t>
  </si>
  <si>
    <t xml:space="preserve">milka joghurt yoghurt 100g</t>
  </si>
  <si>
    <t xml:space="preserve">my boba cola 170g</t>
  </si>
  <si>
    <t xml:space="preserve">natural organic sea salt 500g</t>
  </si>
  <si>
    <t xml:space="preserve">rebel assaf 150 ml</t>
  </si>
  <si>
    <t xml:space="preserve">skittles wild berry 20g</t>
  </si>
  <si>
    <t xml:space="preserve">sun sip Can Popping Boba Tea With peach 325ml</t>
  </si>
  <si>
    <t xml:space="preserve">sweet plus musli integral 115g</t>
  </si>
  <si>
    <t xml:space="preserve">tiffany butter toffee 900g</t>
  </si>
  <si>
    <t xml:space="preserve">tiffany marie biscuits 80g</t>
  </si>
  <si>
    <t xml:space="preserve">top fruit blueberry jelly candy 800g</t>
  </si>
  <si>
    <t xml:space="preserve">Al Ameed turkish Light Coffee 250g</t>
  </si>
  <si>
    <t xml:space="preserve">Alwazah Pure Cylon Tea 1kg</t>
  </si>
  <si>
    <t xml:space="preserve">Wholesale – same group as its single "Baja salted almond"</t>
  </si>
  <si>
    <t xml:space="preserve">Wholesale – same group as its single "Baja salted pistachio"</t>
  </si>
  <si>
    <t xml:space="preserve">Bifa Escape Fiyonk Kraker 200g</t>
  </si>
  <si>
    <t xml:space="preserve">Clown Corn salt &amp; black pepper Rice Crackers 88.2g</t>
  </si>
  <si>
    <t xml:space="preserve">FINI Magic Carpet 90g</t>
  </si>
  <si>
    <t xml:space="preserve">Jadayel rich oil</t>
  </si>
  <si>
    <t xml:space="preserve">Kettle Cooked Chips - Salt &amp; Vinegar - 150g</t>
  </si>
  <si>
    <t xml:space="preserve">Kettle Cooked Chips - salt &amp; black pepper - 150g</t>
  </si>
  <si>
    <t xml:space="preserve">Kettle Cooked Chips - sour cream &amp; onion - 150g</t>
  </si>
  <si>
    <t xml:space="preserve">Shuhrah Elixir Rasasi</t>
  </si>
  <si>
    <t xml:space="preserve">Wholesale – same group as its single "Tamreya ghandour 1 pack"</t>
  </si>
  <si>
    <t xml:space="preserve">Trolly Fruit</t>
  </si>
  <si>
    <t xml:space="preserve">Ulker Square Chocolate with Baklava Pieces</t>
  </si>
  <si>
    <t xml:space="preserve">alameed turkish coffee 250g</t>
  </si>
  <si>
    <t xml:space="preserve">borgat gummy watermelon 36g</t>
  </si>
  <si>
    <t xml:space="preserve">borgat sour buzz spaghetti strawberry 100g</t>
  </si>
  <si>
    <t xml:space="preserve">carmoush chips cheese flavour</t>
  </si>
  <si>
    <t xml:space="preserve">clown spicy  rice cracker 88.2g</t>
  </si>
  <si>
    <t xml:space="preserve">crazy roll bubble gum</t>
  </si>
  <si>
    <t xml:space="preserve">dream coconut milk drink original 290ml</t>
  </si>
  <si>
    <t xml:space="preserve">dream coconut milk drink with pistachio 290ml</t>
  </si>
  <si>
    <t xml:space="preserve">dream coconut milk drink with strawberry 290ml</t>
  </si>
  <si>
    <t xml:space="preserve">dried red  apple 70g</t>
  </si>
  <si>
    <t xml:space="preserve">elyamama cake cocoa vanilla 230g</t>
  </si>
  <si>
    <t xml:space="preserve">elyamama cake double chocolate 230g</t>
  </si>
  <si>
    <t xml:space="preserve">fini jelly cola botellas 90g</t>
  </si>
  <si>
    <t xml:space="preserve">french coffee 250g</t>
  </si>
  <si>
    <t xml:space="preserve">french coffee mistka 250g</t>
  </si>
  <si>
    <t xml:space="preserve">galaxy smooth caramel 135g</t>
  </si>
  <si>
    <t xml:space="preserve">golden potato spicy 65g</t>
  </si>
  <si>
    <t xml:space="preserve">gonuts peanut energy</t>
  </si>
  <si>
    <t xml:space="preserve">goody tuna light 185g</t>
  </si>
  <si>
    <t xml:space="preserve">just kettle chips salt &amp; black pepper 125g</t>
  </si>
  <si>
    <t xml:space="preserve">Wholesale – same group as its single "keef elmosafer with Saffron 5 gm"</t>
  </si>
  <si>
    <t xml:space="preserve">kettle cooked sea salt 150g</t>
  </si>
  <si>
    <t xml:space="preserve">luban Musk ibraq</t>
  </si>
  <si>
    <t xml:space="preserve">mega chips lemon &amp; chili 50g</t>
  </si>
  <si>
    <t xml:space="preserve">milka chocolate riso soffiato</t>
  </si>
  <si>
    <t xml:space="preserve">Wholesale – same group as its single "nescafe arabiana with safaran 1 pac 30g"</t>
  </si>
  <si>
    <t xml:space="preserve">protein bar one reese,s 18g protein</t>
  </si>
  <si>
    <t xml:space="preserve">rio mare tuna salad kukurydza 160g</t>
  </si>
  <si>
    <t xml:space="preserve">rio mare tuna salad kuskus 160g</t>
  </si>
  <si>
    <t xml:space="preserve">rio mare tuna salad meksykan 160g</t>
  </si>
  <si>
    <t xml:space="preserve">top fruit mango jelly candy 800g</t>
  </si>
  <si>
    <t xml:space="preserve">turkish black coffee 250g</t>
  </si>
  <si>
    <t xml:space="preserve">white chocolate dragee</t>
  </si>
  <si>
    <t xml:space="preserve">white coconut dragees</t>
  </si>
  <si>
    <t xml:space="preserve">wow chocolate waffer 20g</t>
  </si>
  <si>
    <t xml:space="preserve">Al Ameed Decaf without cardamom Coffee 250g</t>
  </si>
  <si>
    <t xml:space="preserve">Bestsoy Corn Soya Bean Drink - 320ml</t>
  </si>
  <si>
    <t xml:space="preserve">Low margin (-39%)</t>
  </si>
  <si>
    <t xml:space="preserve">clown original rice cracker 88.2g</t>
  </si>
  <si>
    <t xml:space="preserve">fini laces sour 85g</t>
  </si>
  <si>
    <t xml:space="preserve">golden potato chips salt &amp; vinger 65g</t>
  </si>
  <si>
    <t xml:space="preserve">mega chips thai pepper 50g</t>
  </si>
  <si>
    <t xml:space="preserve">mega chips tomato spicy 50g</t>
  </si>
  <si>
    <t xml:space="preserve">milka chocolate cherry creme</t>
  </si>
  <si>
    <t xml:space="preserve">sanabel alshahed Maamoul Fingers Stuffed with Premium Saudi Dates (400g)</t>
  </si>
  <si>
    <t xml:space="preserve">Puf Marshmallow white</t>
  </si>
  <si>
    <t xml:space="preserve">alameed coffee french mistka 250g</t>
  </si>
  <si>
    <t xml:space="preserve">alameed coffee french orangina 250g</t>
  </si>
  <si>
    <t xml:space="preserve">alwazah green tea 225g</t>
  </si>
  <si>
    <t xml:space="preserve">Alwazah swan brand 300g</t>
  </si>
  <si>
    <t xml:space="preserve">BORGAT GUMMY SNACK HOTDOG</t>
  </si>
  <si>
    <t xml:space="preserve">borgat sour buzz assorted filled sticks 170g</t>
  </si>
  <si>
    <t xml:space="preserve">borgat sour buzz assorted sticks 170g</t>
  </si>
  <si>
    <t xml:space="preserve">condensed milk luna</t>
  </si>
  <si>
    <t xml:space="preserve">Couture Dkhoon Emirates</t>
  </si>
  <si>
    <t xml:space="preserve">Crescent crackers</t>
  </si>
  <si>
    <t xml:space="preserve">daaraj perfum</t>
  </si>
  <si>
    <t xml:space="preserve">Delisun Tortilla Wraps with corn 360g</t>
  </si>
  <si>
    <t xml:space="preserve">demla sour sticks strawberry 30g</t>
  </si>
  <si>
    <t xml:space="preserve">dream coconut milk drink with nata de coco 290ml</t>
  </si>
  <si>
    <t xml:space="preserve">dried onion</t>
  </si>
  <si>
    <t xml:space="preserve">Elitesse Wafer 1 pc</t>
  </si>
  <si>
    <t xml:space="preserve">Elitesse wafer 24 pc</t>
  </si>
  <si>
    <t xml:space="preserve">Wholesale – same group as its single "Elitesse Wafer 1 pc"</t>
  </si>
  <si>
    <t xml:space="preserve">Elyamama Cake orange</t>
  </si>
  <si>
    <t xml:space="preserve">fun dip</t>
  </si>
  <si>
    <t xml:space="preserve">Hello Panda Biscuits large pack 234g</t>
  </si>
  <si>
    <t xml:space="preserve">Wholesale – same group as its single "keef elmosafer with Saffron 30 gm"</t>
  </si>
  <si>
    <t xml:space="preserve">Kettle Cooked Chips - paprika - 150g</t>
  </si>
  <si>
    <t xml:space="preserve">Kettle Cooked Chips - truffle - 150g</t>
  </si>
  <si>
    <t xml:space="preserve">Lipton ice tea red fruits</t>
  </si>
  <si>
    <t xml:space="preserve">milka chocolate Bubbly 90g</t>
  </si>
  <si>
    <t xml:space="preserve">Wholesale – same group as its single "nescafe arabiana with safaran 1 pac 3 gm"</t>
  </si>
  <si>
    <t xml:space="preserve">old spice bearglove 48H fresh</t>
  </si>
  <si>
    <t xml:space="preserve">Prestige Pearl perfume</t>
  </si>
  <si>
    <t xml:space="preserve">Puf Marshmallow chocolate</t>
  </si>
  <si>
    <t xml:space="preserve">punjabi almuhaidib basmati rice</t>
  </si>
  <si>
    <t xml:space="preserve">pure musk</t>
  </si>
  <si>
    <t xml:space="preserve">retag mamoul white chocolate 350g</t>
  </si>
  <si>
    <t xml:space="preserve">rozy gummy hotdog 12g</t>
  </si>
  <si>
    <t xml:space="preserve">Samyang Half Spicy Buldak Ramen</t>
  </si>
  <si>
    <t xml:space="preserve">Samyang Hot chicken flavor Ramen</t>
  </si>
  <si>
    <t xml:space="preserve">Samyang Hot chicken flavor Ramen tomato paste</t>
  </si>
  <si>
    <t xml:space="preserve">siafa ajwa dates</t>
  </si>
  <si>
    <t xml:space="preserve">SIIP chicken flavour snack</t>
  </si>
  <si>
    <t xml:space="preserve">sour zank  mixed berry flavor</t>
  </si>
  <si>
    <t xml:space="preserve">trolli Jelly Cola</t>
  </si>
  <si>
    <t xml:space="preserve">turkish Medium roast without cardamom coffee  250g</t>
  </si>
  <si>
    <t xml:space="preserve">Umai cheese Corn Snack</t>
  </si>
  <si>
    <t xml:space="preserve">Umai Corn Snack</t>
  </si>
  <si>
    <t xml:space="preserve">Umai spices Corn Snack</t>
  </si>
  <si>
    <t xml:space="preserve">Untitled Feb28_06:01</t>
  </si>
  <si>
    <t xml:space="preserve">Archived</t>
  </si>
  <si>
    <t xml:space="preserve">No current price</t>
  </si>
  <si>
    <t xml:space="preserve">zoro buff</t>
  </si>
  <si>
    <t xml:space="preserve">بوكس هدايا العيد</t>
  </si>
  <si>
    <t xml:space="preserve">   ↳ small</t>
  </si>
  <si>
    <t xml:space="preserve">   ↳ medium</t>
  </si>
  <si>
    <t xml:space="preserve">   ↳ Large box</t>
  </si>
  <si>
    <t xml:space="preserve">توزيعات العيد للأطفال</t>
  </si>
  <si>
    <t xml:space="preserve">   ↳ ولد</t>
  </si>
  <si>
    <t xml:space="preserve">   ↳ بنت</t>
  </si>
  <si>
    <t xml:space="preserve">How to read this file</t>
  </si>
  <si>
    <t xml:space="preserve">Ranking</t>
  </si>
  <si>
    <t xml:space="preserve">Same as the best-sellers report: units sold (1 Jan – 22 Oct 2026) descending, ties by net revenue. Products with no 2026 sales are listed at the end.</t>
  </si>
  <si>
    <t xml:space="preserve">Gross Sales + Discounts + Returns (discounts and returns are negative). Excludes shipping and tax.</t>
  </si>
  <si>
    <t xml:space="preserve">Cost in Shopify × 15 × 1.5 (see Price Groups). AlBaik meals: 370 EGP × (14.74 / 12.5).</t>
  </si>
  <si>
    <t xml:space="preserve">Set per product from margin and revenue (rules on the Price Groups sheet). You can overwrite any group number 1–5 by hand.</t>
  </si>
  <si>
    <t xml:space="preserve">Wholesale products (supplier tag contains جملة) always get the SAME group and % as their single item. Wholesale packs are max 15% cheaper per piece than the single (fixed in Shopify on 22 Oct 2026).</t>
  </si>
  <si>
    <t xml:space="preserve">New Price rounding</t>
  </si>
  <si>
    <t xml:space="preserve">Rounded UP: to 0.50 below 100 EGP, to 1 EGP below 1,000, to 5 EGP above.</t>
  </si>
  <si>
    <t xml:space="preserve">Variants</t>
  </si>
  <si>
    <t xml:space="preserve">Products with several variants (AlBaik, Zamzam, Altazaj, Lusine, Eid items) show sales on the product row and one row per variant (↳) with its own current and new price. All variants follow the product's group.</t>
  </si>
  <si>
    <t xml:space="preserve">Not repriced</t>
  </si>
  <si>
    <t xml:space="preserve">"special order" and the untitled custom-item line are not catalog products.</t>
  </si>
  <si>
    <t xml:space="preserve">Colours</t>
  </si>
  <si>
    <t xml:space="preserve">Blue = values from Shopify / your inputs. Black = formulas. Yellow cells on Price Groups are the levers to edit.</t>
  </si>
  <si>
    <t xml:space="preserve">Nothing changed in Shopify yet</t>
  </si>
  <si>
    <t xml:space="preserve">This file is a proposal. Prices in the store are unchanged until you approve.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</si>
</sst>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%"/>
    <numFmt numFmtId="167" formatCode="0%"/>
    <numFmt numFmtId="168" formatCode="#,##0"/>
    <numFmt numFmtId="169" formatCode="0.0%"/>
    <numFmt numFmtId="170" formatCode="#,##0.00;\(#,##0.00\);\-"/>
    <numFmt numFmtId="171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EDF3FB"/>
        <bgColor rgb="FFF2F2F2"/>
      </patternFill>
    </fill>
    <fill>
      <patternFill patternType="solid">
        <fgColor rgb="FFF2F2F2"/>
        <bgColor rgb="FFEDF3FB"/>
      </patternFill>
    </fill>
    <fill>
      <patternFill patternType="solid">
        <fgColor rgb="FFDDEBF7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DF3F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B"/>
      <rgbColor rgb="FFE2EFDA"/>
      <rgbColor rgb="FFFCE4D6"/>
      <rgbColor rgb="FFF2F2F2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15</v>
      </c>
    </row>
    <row r="4" customFormat="false" ht="15" hidden="false" customHeight="false" outlineLevel="0" collapsed="false">
      <c r="A4" s="2" t="s">
        <v>2</v>
      </c>
      <c r="B4" s="3" t="n">
        <v>1.5</v>
      </c>
    </row>
    <row r="5" customFormat="false" ht="15" hidden="false" customHeight="false" outlineLevel="0" collapsed="false">
      <c r="A5" s="2" t="s">
        <v>3</v>
      </c>
      <c r="B5" s="4" t="n">
        <f aca="false">B3*B4</f>
        <v>22.5</v>
      </c>
    </row>
    <row r="7" customFormat="false" ht="15" hidden="false" customHeight="false" outlineLevel="0" collapsed="false">
      <c r="A7" s="2" t="s">
        <v>4</v>
      </c>
      <c r="B7" s="3" t="n">
        <v>12.5</v>
      </c>
    </row>
    <row r="8" customFormat="false" ht="15" hidden="false" customHeight="false" outlineLevel="0" collapsed="false">
      <c r="A8" s="2" t="s">
        <v>5</v>
      </c>
      <c r="B8" s="3" t="n">
        <v>14.74</v>
      </c>
    </row>
    <row r="9" customFormat="false" ht="15" hidden="false" customHeight="false" outlineLevel="0" collapsed="false">
      <c r="A9" s="2" t="s">
        <v>6</v>
      </c>
      <c r="B9" s="5" t="n">
        <f aca="false">B8/B7-1</f>
        <v>0.1792</v>
      </c>
    </row>
    <row r="10" customFormat="false" ht="15" hidden="false" customHeight="false" outlineLevel="0" collapsed="false">
      <c r="A10" s="2" t="s">
        <v>7</v>
      </c>
      <c r="B10" s="3" t="n">
        <v>370</v>
      </c>
    </row>
    <row r="11" customFormat="false" ht="15" hidden="false" customHeight="false" outlineLevel="0" collapsed="false">
      <c r="A11" s="2" t="s">
        <v>8</v>
      </c>
      <c r="B11" s="3" t="n">
        <v>669</v>
      </c>
      <c r="C11" s="6" t="n">
        <f aca="false">B11/580-1</f>
        <v>0.153448275862069</v>
      </c>
      <c r="D11" s="7" t="s">
        <v>9</v>
      </c>
    </row>
    <row r="12" customFormat="false" ht="23.85" hidden="false" customHeight="false" outlineLevel="0" collapsed="false">
      <c r="A12" s="8" t="s">
        <v>10</v>
      </c>
      <c r="B12" s="8" t="s">
        <v>11</v>
      </c>
      <c r="C12" s="8" t="s">
        <v>12</v>
      </c>
      <c r="D12" s="8" t="s">
        <v>13</v>
      </c>
      <c r="E12" s="8" t="s">
        <v>14</v>
      </c>
      <c r="F12" s="8" t="s">
        <v>15</v>
      </c>
      <c r="G12" s="8" t="s">
        <v>16</v>
      </c>
      <c r="H12" s="8" t="s">
        <v>17</v>
      </c>
    </row>
    <row r="13" customFormat="false" ht="30" hidden="false" customHeight="true" outlineLevel="0" collapsed="false">
      <c r="A13" s="2" t="n">
        <v>1</v>
      </c>
      <c r="B13" s="2" t="s">
        <v>18</v>
      </c>
      <c r="C13" s="9" t="n">
        <v>0.22</v>
      </c>
      <c r="D13" s="10" t="s">
        <v>19</v>
      </c>
      <c r="E13" s="2" t="n">
        <f aca="false">COUNTIFS('New Prices'!$R:$R,A13,'New Prices'!$C:$C,"&lt;&gt;Variant")</f>
        <v>954</v>
      </c>
      <c r="F13" s="11" t="n">
        <f aca="false">SUMIFS('New Prices'!$K:$K,'New Prices'!$R:$R,A13,'New Prices'!$K:$K,"&gt;0")</f>
        <v>4074378.42</v>
      </c>
      <c r="G13" s="12" t="n">
        <f aca="false">IF($F$18=0,0,F13/$F$18)</f>
        <v>0.373806526387153</v>
      </c>
      <c r="H13" s="13" t="n">
        <f aca="false">G13*C13</f>
        <v>0.0822374358051736</v>
      </c>
    </row>
    <row r="14" customFormat="false" ht="30" hidden="false" customHeight="true" outlineLevel="0" collapsed="false">
      <c r="A14" s="2" t="n">
        <v>2</v>
      </c>
      <c r="B14" s="2" t="s">
        <v>20</v>
      </c>
      <c r="C14" s="9" t="n">
        <v>0.18</v>
      </c>
      <c r="D14" s="10" t="s">
        <v>21</v>
      </c>
      <c r="E14" s="2" t="n">
        <f aca="false">COUNTIFS('New Prices'!$R:$R,A14,'New Prices'!$C:$C,"&lt;&gt;Variant")</f>
        <v>62</v>
      </c>
      <c r="F14" s="11" t="n">
        <f aca="false">SUMIFS('New Prices'!$K:$K,'New Prices'!$R:$R,A14,'New Prices'!$K:$K,"&gt;0")</f>
        <v>1555790.55</v>
      </c>
      <c r="G14" s="12" t="n">
        <f aca="false">IF($F$18=0,0,F14/$F$18)</f>
        <v>0.142737026690186</v>
      </c>
      <c r="H14" s="13" t="n">
        <f aca="false">G14*C14</f>
        <v>0.0256926648042335</v>
      </c>
    </row>
    <row r="15" customFormat="false" ht="30" hidden="false" customHeight="true" outlineLevel="0" collapsed="false">
      <c r="A15" s="2" t="n">
        <v>3</v>
      </c>
      <c r="B15" s="2" t="s">
        <v>22</v>
      </c>
      <c r="C15" s="9" t="n">
        <v>0.16</v>
      </c>
      <c r="D15" s="10" t="s">
        <v>23</v>
      </c>
      <c r="E15" s="2" t="n">
        <f aca="false">COUNTIFS('New Prices'!$R:$R,A15,'New Prices'!$C:$C,"&lt;&gt;Variant")</f>
        <v>153</v>
      </c>
      <c r="F15" s="11" t="n">
        <f aca="false">SUMIFS('New Prices'!$K:$K,'New Prices'!$R:$R,A15,'New Prices'!$K:$K,"&gt;0")</f>
        <v>2655599.65</v>
      </c>
      <c r="G15" s="12" t="n">
        <f aca="false">IF($F$18=0,0,F15/$F$18)</f>
        <v>0.243639735516133</v>
      </c>
      <c r="H15" s="13" t="n">
        <f aca="false">G15*C15</f>
        <v>0.0389823576825812</v>
      </c>
    </row>
    <row r="16" customFormat="false" ht="30" hidden="false" customHeight="true" outlineLevel="0" collapsed="false">
      <c r="A16" s="2" t="n">
        <v>4</v>
      </c>
      <c r="B16" s="2" t="s">
        <v>24</v>
      </c>
      <c r="C16" s="9" t="n">
        <v>0.15</v>
      </c>
      <c r="D16" s="10" t="s">
        <v>25</v>
      </c>
      <c r="E16" s="2" t="n">
        <f aca="false">COUNTIFS('New Prices'!$R:$R,A16,'New Prices'!$C:$C,"&lt;&gt;Variant")</f>
        <v>30</v>
      </c>
      <c r="F16" s="11" t="n">
        <f aca="false">SUMIFS('New Prices'!$K:$K,'New Prices'!$R:$R,A16,'New Prices'!$K:$K,"&gt;0")</f>
        <v>2234854.46</v>
      </c>
      <c r="G16" s="12" t="n">
        <f aca="false">IF($F$18=0,0,F16/$F$18)</f>
        <v>0.20503819148773</v>
      </c>
      <c r="H16" s="13" t="n">
        <f aca="false">G16*C16</f>
        <v>0.0307557287231596</v>
      </c>
    </row>
    <row r="17" customFormat="false" ht="30" hidden="false" customHeight="true" outlineLevel="0" collapsed="false">
      <c r="A17" s="2" t="n">
        <v>5</v>
      </c>
      <c r="B17" s="2" t="s">
        <v>26</v>
      </c>
      <c r="C17" s="9" t="n">
        <v>0.02</v>
      </c>
      <c r="D17" s="10" t="s">
        <v>27</v>
      </c>
      <c r="E17" s="2" t="n">
        <f aca="false">COUNTIFS('New Prices'!$R:$R,A17,'New Prices'!$C:$C,"&lt;&gt;Variant")</f>
        <v>23</v>
      </c>
      <c r="F17" s="11" t="n">
        <f aca="false">SUMIFS('New Prices'!$K:$K,'New Prices'!$R:$R,A17,'New Prices'!$K:$K,"&gt;0")</f>
        <v>379075.38</v>
      </c>
      <c r="G17" s="12" t="n">
        <f aca="false">IF($F$18=0,0,F17/$F$18)</f>
        <v>0.0347785199187978</v>
      </c>
      <c r="H17" s="13" t="n">
        <f aca="false">G17*C17</f>
        <v>0.000695570398375957</v>
      </c>
    </row>
    <row r="18" customFormat="false" ht="15" hidden="false" customHeight="false" outlineLevel="0" collapsed="false">
      <c r="A18" s="14" t="s">
        <v>28</v>
      </c>
      <c r="E18" s="14" t="n">
        <f aca="false">SUM(E13:E17)</f>
        <v>1222</v>
      </c>
      <c r="F18" s="15" t="n">
        <f aca="false">SUM(F13:F17)</f>
        <v>10899698.46</v>
      </c>
      <c r="G18" s="16" t="n">
        <f aca="false">SUM(G13:G17)</f>
        <v>1</v>
      </c>
    </row>
    <row r="21" customFormat="false" ht="15" hidden="false" customHeight="false" outlineLevel="0" collapsed="false">
      <c r="A21" s="14" t="s">
        <v>29</v>
      </c>
      <c r="B21" s="6" t="n">
        <f aca="false">IFERROR(SUMPRODUCT(('New Prices'!$R$5:$R$1281&lt;&gt;"-")*('New Prices'!$K$5:$K$1281&gt;0)*'New Prices'!$K$5:$K$1281*'New Prices'!$V$5:$V$1281)/SUMPRODUCT(('New Prices'!$R$5:$R$1281&lt;&gt;"-")*('New Prices'!$K$5:$K$1281&gt;0)*'New Prices'!$K$5:$K$1281),0)</f>
        <v>0.171688054853604</v>
      </c>
    </row>
    <row r="22" customFormat="false" ht="15" hidden="false" customHeight="false" outlineLevel="0" collapsed="false">
      <c r="A22" s="14" t="s">
        <v>30</v>
      </c>
      <c r="B22" s="6" t="n">
        <f aca="false">B9</f>
        <v>0.1792</v>
      </c>
    </row>
    <row r="23" customFormat="false" ht="15" hidden="false" customHeight="false" outlineLevel="0" collapsed="false">
      <c r="A23" s="14" t="s">
        <v>31</v>
      </c>
      <c r="B23" s="14" t="str">
        <f aca="false">IF(B21&gt;=B22,"✔ Target reached","✖ Below target – raise group %")</f>
        <v>✖ Below target – raise group %</v>
      </c>
    </row>
    <row r="25" customFormat="false" ht="15" hidden="false" customHeight="false" outlineLevel="0" collapsed="false">
      <c r="A25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2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7"/>
    <col collapsed="false" customWidth="true" hidden="false" outlineLevel="0" max="19" min="19" style="0" width="8"/>
    <col collapsed="false" customWidth="true" hidden="false" outlineLevel="0" max="20" min="20" style="0" width="11"/>
    <col collapsed="false" customWidth="true" hidden="false" outlineLevel="0" max="22" min="21" style="0" width="9"/>
    <col collapsed="false" customWidth="true" hidden="false" outlineLevel="0" max="23" min="23" style="0" width="5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17" t="s">
        <v>34</v>
      </c>
    </row>
    <row r="4" customFormat="false" ht="33.75" hidden="false" customHeight="true" outlineLevel="0" collapsed="false">
      <c r="A4" s="18" t="s">
        <v>35</v>
      </c>
      <c r="B4" s="18" t="s">
        <v>36</v>
      </c>
      <c r="C4" s="18" t="s">
        <v>37</v>
      </c>
      <c r="D4" s="18" t="s">
        <v>38</v>
      </c>
      <c r="E4" s="18" t="s">
        <v>31</v>
      </c>
      <c r="F4" s="18" t="s">
        <v>39</v>
      </c>
      <c r="G4" s="18" t="s">
        <v>40</v>
      </c>
      <c r="H4" s="18" t="s">
        <v>41</v>
      </c>
      <c r="I4" s="18" t="s">
        <v>42</v>
      </c>
      <c r="J4" s="18" t="s">
        <v>43</v>
      </c>
      <c r="K4" s="18" t="s">
        <v>44</v>
      </c>
      <c r="L4" s="18" t="s">
        <v>45</v>
      </c>
      <c r="M4" s="18" t="s">
        <v>46</v>
      </c>
      <c r="N4" s="18" t="s">
        <v>47</v>
      </c>
      <c r="O4" s="18" t="s">
        <v>48</v>
      </c>
      <c r="P4" s="18" t="s">
        <v>49</v>
      </c>
      <c r="Q4" s="18" t="s">
        <v>50</v>
      </c>
      <c r="R4" s="18" t="s">
        <v>51</v>
      </c>
      <c r="S4" s="18" t="s">
        <v>12</v>
      </c>
      <c r="T4" s="18" t="s">
        <v>52</v>
      </c>
      <c r="U4" s="18" t="s">
        <v>53</v>
      </c>
      <c r="V4" s="18" t="s">
        <v>54</v>
      </c>
      <c r="W4" s="18" t="s">
        <v>55</v>
      </c>
    </row>
    <row r="5" customFormat="false" ht="15" hidden="false" customHeight="false" outlineLevel="0" collapsed="false">
      <c r="A5" s="19" t="n">
        <v>1</v>
      </c>
      <c r="B5" s="19" t="s">
        <v>56</v>
      </c>
      <c r="C5" s="19" t="s">
        <v>57</v>
      </c>
      <c r="D5" s="19"/>
      <c r="E5" s="19" t="s">
        <v>58</v>
      </c>
      <c r="F5" s="20" t="n">
        <v>3695</v>
      </c>
      <c r="G5" s="20" t="n">
        <v>832</v>
      </c>
      <c r="H5" s="21" t="n">
        <v>1518355.16</v>
      </c>
      <c r="I5" s="21" t="n">
        <v>-8260.48</v>
      </c>
      <c r="J5" s="21" t="n">
        <v>-35101.2</v>
      </c>
      <c r="K5" s="22" t="n">
        <f aca="false">H5+I5+J5</f>
        <v>1474993.48</v>
      </c>
      <c r="L5" s="23" t="n">
        <f aca="false">IF($K$1282=0,0,K5/$K$1282)</f>
        <v>0.122186155544581</v>
      </c>
      <c r="M5" s="24" t="n">
        <f aca="false">IF(F5&lt;=0,0,K5/F5)</f>
        <v>399.186327469553</v>
      </c>
      <c r="N5" s="24"/>
      <c r="O5" s="25"/>
      <c r="P5" s="24"/>
      <c r="Q5" s="26" t="str">
        <f aca="false">IF(OR(N5="",P5=""),"",(N5-P5)/N5)</f>
        <v/>
      </c>
      <c r="R5" s="27" t="n">
        <v>1</v>
      </c>
      <c r="S5" s="28" t="n">
        <f aca="false">'Price Groups'!$C$11</f>
        <v>0.153448275862069</v>
      </c>
      <c r="T5" s="22" t="str">
        <f aca="false">IF(OR(N5="",R5="-"),"",CEILING(ROUND(N5*(1+S5),2),IF(N5*(1+S5)&lt;100,0.5,IF(N5*(1+S5)&lt;1000,1,5))))</f>
        <v/>
      </c>
      <c r="U5" s="26" t="str">
        <f aca="false">IF(OR(T5="",P5=""),"",(T5-P5)/T5)</f>
        <v/>
      </c>
      <c r="V5" s="26" t="n">
        <f aca="false">IFERROR(AVERAGE(V6:V31),0)</f>
        <v>0.155126635460976</v>
      </c>
      <c r="W5" s="19" t="s">
        <v>59</v>
      </c>
    </row>
    <row r="6" customFormat="false" ht="15" hidden="false" customHeight="false" outlineLevel="0" collapsed="false">
      <c r="A6" s="29"/>
      <c r="B6" s="29" t="s">
        <v>60</v>
      </c>
      <c r="C6" s="29" t="s">
        <v>61</v>
      </c>
      <c r="D6" s="29" t="s">
        <v>56</v>
      </c>
      <c r="E6" s="29"/>
      <c r="F6" s="29"/>
      <c r="G6" s="29"/>
      <c r="H6" s="29"/>
      <c r="I6" s="29"/>
      <c r="J6" s="29"/>
      <c r="K6" s="29" t="n">
        <v>0</v>
      </c>
      <c r="L6" s="29"/>
      <c r="M6" s="29"/>
      <c r="N6" s="30" t="n">
        <v>580</v>
      </c>
      <c r="O6" s="31"/>
      <c r="P6" s="32" t="n">
        <f aca="false">'Price Groups'!$B$10*'Price Groups'!$B$8/'Price Groups'!$B$7</f>
        <v>436.304</v>
      </c>
      <c r="Q6" s="33" t="n">
        <f aca="false">IF(OR(N6="",P6=""),"",(N6-P6)/N6)</f>
        <v>0.247751724137931</v>
      </c>
      <c r="R6" s="34" t="n">
        <f aca="false">R5</f>
        <v>1</v>
      </c>
      <c r="S6" s="35" t="n">
        <f aca="false">'Price Groups'!$C$11</f>
        <v>0.153448275862069</v>
      </c>
      <c r="T6" s="36" t="n">
        <f aca="false">IF(OR(N6="",R6="-"),"",CEILING(ROUND(N6*(1+S6),2),IF(N6*(1+S6)&lt;100,0.5,IF(N6*(1+S6)&lt;1000,1,5))))</f>
        <v>669</v>
      </c>
      <c r="U6" s="33" t="n">
        <f aca="false">IF(OR(T6="",P6=""),"",(T6-P6)/T6)</f>
        <v>0.347826606875934</v>
      </c>
      <c r="V6" s="33" t="n">
        <f aca="false">IF(T6="",0,T6/N6-1)</f>
        <v>0.153448275862069</v>
      </c>
      <c r="W6" s="29" t="s">
        <v>62</v>
      </c>
    </row>
    <row r="7" customFormat="false" ht="15" hidden="false" customHeight="false" outlineLevel="0" collapsed="false">
      <c r="A7" s="29"/>
      <c r="B7" s="29" t="s">
        <v>63</v>
      </c>
      <c r="C7" s="29" t="s">
        <v>61</v>
      </c>
      <c r="D7" s="29" t="s">
        <v>56</v>
      </c>
      <c r="E7" s="29"/>
      <c r="F7" s="29"/>
      <c r="G7" s="29"/>
      <c r="H7" s="29"/>
      <c r="I7" s="29"/>
      <c r="J7" s="29"/>
      <c r="K7" s="29" t="n">
        <v>0</v>
      </c>
      <c r="L7" s="29"/>
      <c r="M7" s="29"/>
      <c r="N7" s="30" t="n">
        <v>580</v>
      </c>
      <c r="O7" s="31"/>
      <c r="P7" s="32" t="n">
        <f aca="false">'Price Groups'!$B$10*'Price Groups'!$B$8/'Price Groups'!$B$7</f>
        <v>436.304</v>
      </c>
      <c r="Q7" s="33" t="n">
        <f aca="false">IF(OR(N7="",P7=""),"",(N7-P7)/N7)</f>
        <v>0.247751724137931</v>
      </c>
      <c r="R7" s="34" t="n">
        <f aca="false">R5</f>
        <v>1</v>
      </c>
      <c r="S7" s="35" t="n">
        <f aca="false">'Price Groups'!$C$11</f>
        <v>0.153448275862069</v>
      </c>
      <c r="T7" s="36" t="n">
        <f aca="false">IF(OR(N7="",R7="-"),"",CEILING(ROUND(N7*(1+S7),2),IF(N7*(1+S7)&lt;100,0.5,IF(N7*(1+S7)&lt;1000,1,5))))</f>
        <v>669</v>
      </c>
      <c r="U7" s="33" t="n">
        <f aca="false">IF(OR(T7="",P7=""),"",(T7-P7)/T7)</f>
        <v>0.347826606875934</v>
      </c>
      <c r="V7" s="33" t="n">
        <f aca="false">IF(T7="",0,T7/N7-1)</f>
        <v>0.153448275862069</v>
      </c>
      <c r="W7" s="29" t="s">
        <v>62</v>
      </c>
    </row>
    <row r="8" customFormat="false" ht="15" hidden="false" customHeight="false" outlineLevel="0" collapsed="false">
      <c r="A8" s="29"/>
      <c r="B8" s="29" t="s">
        <v>64</v>
      </c>
      <c r="C8" s="29" t="s">
        <v>61</v>
      </c>
      <c r="D8" s="29" t="s">
        <v>56</v>
      </c>
      <c r="E8" s="29"/>
      <c r="F8" s="29"/>
      <c r="G8" s="29"/>
      <c r="H8" s="29"/>
      <c r="I8" s="29"/>
      <c r="J8" s="29"/>
      <c r="K8" s="29" t="n">
        <v>0</v>
      </c>
      <c r="L8" s="29"/>
      <c r="M8" s="29"/>
      <c r="N8" s="30" t="n">
        <v>580</v>
      </c>
      <c r="O8" s="31"/>
      <c r="P8" s="32" t="n">
        <f aca="false">'Price Groups'!$B$10*'Price Groups'!$B$8/'Price Groups'!$B$7</f>
        <v>436.304</v>
      </c>
      <c r="Q8" s="33" t="n">
        <f aca="false">IF(OR(N8="",P8=""),"",(N8-P8)/N8)</f>
        <v>0.247751724137931</v>
      </c>
      <c r="R8" s="34" t="n">
        <f aca="false">R5</f>
        <v>1</v>
      </c>
      <c r="S8" s="35" t="n">
        <f aca="false">'Price Groups'!$C$11</f>
        <v>0.153448275862069</v>
      </c>
      <c r="T8" s="36" t="n">
        <f aca="false">IF(OR(N8="",R8="-"),"",CEILING(ROUND(N8*(1+S8),2),IF(N8*(1+S8)&lt;100,0.5,IF(N8*(1+S8)&lt;1000,1,5))))</f>
        <v>669</v>
      </c>
      <c r="U8" s="33" t="n">
        <f aca="false">IF(OR(T8="",P8=""),"",(T8-P8)/T8)</f>
        <v>0.347826606875934</v>
      </c>
      <c r="V8" s="33" t="n">
        <f aca="false">IF(T8="",0,T8/N8-1)</f>
        <v>0.153448275862069</v>
      </c>
      <c r="W8" s="29" t="s">
        <v>62</v>
      </c>
    </row>
    <row r="9" customFormat="false" ht="15" hidden="false" customHeight="false" outlineLevel="0" collapsed="false">
      <c r="A9" s="29"/>
      <c r="B9" s="29" t="s">
        <v>65</v>
      </c>
      <c r="C9" s="29" t="s">
        <v>61</v>
      </c>
      <c r="D9" s="29" t="s">
        <v>56</v>
      </c>
      <c r="E9" s="29"/>
      <c r="F9" s="29"/>
      <c r="G9" s="29"/>
      <c r="H9" s="29"/>
      <c r="I9" s="29"/>
      <c r="J9" s="29"/>
      <c r="K9" s="29" t="n">
        <v>0</v>
      </c>
      <c r="L9" s="29"/>
      <c r="M9" s="29"/>
      <c r="N9" s="30" t="n">
        <v>580</v>
      </c>
      <c r="O9" s="31"/>
      <c r="P9" s="32" t="n">
        <f aca="false">'Price Groups'!$B$10*'Price Groups'!$B$8/'Price Groups'!$B$7</f>
        <v>436.304</v>
      </c>
      <c r="Q9" s="33" t="n">
        <f aca="false">IF(OR(N9="",P9=""),"",(N9-P9)/N9)</f>
        <v>0.247751724137931</v>
      </c>
      <c r="R9" s="34" t="n">
        <f aca="false">R5</f>
        <v>1</v>
      </c>
      <c r="S9" s="35" t="n">
        <f aca="false">'Price Groups'!$C$11</f>
        <v>0.153448275862069</v>
      </c>
      <c r="T9" s="36" t="n">
        <f aca="false">IF(OR(N9="",R9="-"),"",CEILING(ROUND(N9*(1+S9),2),IF(N9*(1+S9)&lt;100,0.5,IF(N9*(1+S9)&lt;1000,1,5))))</f>
        <v>669</v>
      </c>
      <c r="U9" s="33" t="n">
        <f aca="false">IF(OR(T9="",P9=""),"",(T9-P9)/T9)</f>
        <v>0.347826606875934</v>
      </c>
      <c r="V9" s="33" t="n">
        <f aca="false">IF(T9="",0,T9/N9-1)</f>
        <v>0.153448275862069</v>
      </c>
      <c r="W9" s="29" t="s">
        <v>62</v>
      </c>
    </row>
    <row r="10" customFormat="false" ht="15" hidden="false" customHeight="false" outlineLevel="0" collapsed="false">
      <c r="A10" s="29"/>
      <c r="B10" s="29" t="s">
        <v>66</v>
      </c>
      <c r="C10" s="29" t="s">
        <v>61</v>
      </c>
      <c r="D10" s="29" t="s">
        <v>56</v>
      </c>
      <c r="E10" s="29"/>
      <c r="F10" s="29"/>
      <c r="G10" s="29"/>
      <c r="H10" s="29"/>
      <c r="I10" s="29"/>
      <c r="J10" s="29"/>
      <c r="K10" s="29" t="n">
        <v>0</v>
      </c>
      <c r="L10" s="29"/>
      <c r="M10" s="29"/>
      <c r="N10" s="30" t="n">
        <v>420</v>
      </c>
      <c r="O10" s="37" t="n">
        <v>270</v>
      </c>
      <c r="P10" s="32" t="n">
        <f aca="false">O10*'Price Groups'!$B$8/'Price Groups'!$B$7</f>
        <v>318.384</v>
      </c>
      <c r="Q10" s="33" t="n">
        <f aca="false">IF(OR(N10="",P10=""),"",(N10-P10)/N10)</f>
        <v>0.241942857142857</v>
      </c>
      <c r="R10" s="34" t="n">
        <f aca="false">R5</f>
        <v>1</v>
      </c>
      <c r="S10" s="35" t="n">
        <f aca="false">'Price Groups'!$C$11</f>
        <v>0.153448275862069</v>
      </c>
      <c r="T10" s="36" t="n">
        <f aca="false">IF(OR(N10="",R10="-"),"",CEILING(ROUND(N10*(1+S10),2),IF(N10*(1+S10)&lt;100,0.5,IF(N10*(1+S10)&lt;1000,1,5))))</f>
        <v>485</v>
      </c>
      <c r="U10" s="33" t="n">
        <f aca="false">IF(OR(T10="",P10=""),"",(T10-P10)/T10)</f>
        <v>0.343538144329897</v>
      </c>
      <c r="V10" s="33" t="n">
        <f aca="false">IF(T10="",0,T10/N10-1)</f>
        <v>0.154761904761905</v>
      </c>
      <c r="W10" s="29" t="s">
        <v>62</v>
      </c>
    </row>
    <row r="11" customFormat="false" ht="15" hidden="false" customHeight="false" outlineLevel="0" collapsed="false">
      <c r="A11" s="29"/>
      <c r="B11" s="29" t="s">
        <v>67</v>
      </c>
      <c r="C11" s="29" t="s">
        <v>61</v>
      </c>
      <c r="D11" s="29" t="s">
        <v>56</v>
      </c>
      <c r="E11" s="29"/>
      <c r="F11" s="29"/>
      <c r="G11" s="29"/>
      <c r="H11" s="29"/>
      <c r="I11" s="29"/>
      <c r="J11" s="29"/>
      <c r="K11" s="29" t="n">
        <v>0</v>
      </c>
      <c r="L11" s="29"/>
      <c r="M11" s="29"/>
      <c r="N11" s="30" t="n">
        <v>480</v>
      </c>
      <c r="O11" s="31"/>
      <c r="P11" s="32"/>
      <c r="Q11" s="33" t="str">
        <f aca="false">IF(OR(N11="",P11=""),"",(N11-P11)/N11)</f>
        <v/>
      </c>
      <c r="R11" s="34" t="n">
        <f aca="false">R5</f>
        <v>1</v>
      </c>
      <c r="S11" s="35" t="n">
        <f aca="false">'Price Groups'!$C$11</f>
        <v>0.153448275862069</v>
      </c>
      <c r="T11" s="36" t="n">
        <f aca="false">IF(OR(N11="",R11="-"),"",CEILING(ROUND(N11*(1+S11),2),IF(N11*(1+S11)&lt;100,0.5,IF(N11*(1+S11)&lt;1000,1,5))))</f>
        <v>554</v>
      </c>
      <c r="U11" s="33" t="str">
        <f aca="false">IF(OR(T11="",P11=""),"",(T11-P11)/T11)</f>
        <v/>
      </c>
      <c r="V11" s="33" t="n">
        <f aca="false">IF(T11="",0,T11/N11-1)</f>
        <v>0.154166666666667</v>
      </c>
      <c r="W11" s="29" t="s">
        <v>62</v>
      </c>
    </row>
    <row r="12" customFormat="false" ht="15" hidden="false" customHeight="false" outlineLevel="0" collapsed="false">
      <c r="A12" s="29"/>
      <c r="B12" s="29" t="s">
        <v>68</v>
      </c>
      <c r="C12" s="29" t="s">
        <v>61</v>
      </c>
      <c r="D12" s="29" t="s">
        <v>56</v>
      </c>
      <c r="E12" s="29"/>
      <c r="F12" s="29"/>
      <c r="G12" s="29"/>
      <c r="H12" s="29"/>
      <c r="I12" s="29"/>
      <c r="J12" s="29"/>
      <c r="K12" s="29" t="n">
        <v>0</v>
      </c>
      <c r="L12" s="29"/>
      <c r="M12" s="29"/>
      <c r="N12" s="30" t="n">
        <v>420</v>
      </c>
      <c r="O12" s="37" t="n">
        <v>270</v>
      </c>
      <c r="P12" s="32" t="n">
        <f aca="false">O12*'Price Groups'!$B$8/'Price Groups'!$B$7</f>
        <v>318.384</v>
      </c>
      <c r="Q12" s="33" t="n">
        <f aca="false">IF(OR(N12="",P12=""),"",(N12-P12)/N12)</f>
        <v>0.241942857142857</v>
      </c>
      <c r="R12" s="34" t="n">
        <f aca="false">R5</f>
        <v>1</v>
      </c>
      <c r="S12" s="35" t="n">
        <f aca="false">'Price Groups'!$C$11</f>
        <v>0.153448275862069</v>
      </c>
      <c r="T12" s="36" t="n">
        <f aca="false">IF(OR(N12="",R12="-"),"",CEILING(ROUND(N12*(1+S12),2),IF(N12*(1+S12)&lt;100,0.5,IF(N12*(1+S12)&lt;1000,1,5))))</f>
        <v>485</v>
      </c>
      <c r="U12" s="33" t="n">
        <f aca="false">IF(OR(T12="",P12=""),"",(T12-P12)/T12)</f>
        <v>0.343538144329897</v>
      </c>
      <c r="V12" s="33" t="n">
        <f aca="false">IF(T12="",0,T12/N12-1)</f>
        <v>0.154761904761905</v>
      </c>
      <c r="W12" s="29" t="s">
        <v>62</v>
      </c>
    </row>
    <row r="13" customFormat="false" ht="15" hidden="false" customHeight="false" outlineLevel="0" collapsed="false">
      <c r="A13" s="29"/>
      <c r="B13" s="29" t="s">
        <v>69</v>
      </c>
      <c r="C13" s="29" t="s">
        <v>61</v>
      </c>
      <c r="D13" s="29" t="s">
        <v>56</v>
      </c>
      <c r="E13" s="29"/>
      <c r="F13" s="29"/>
      <c r="G13" s="29"/>
      <c r="H13" s="29"/>
      <c r="I13" s="29"/>
      <c r="J13" s="29"/>
      <c r="K13" s="29" t="n">
        <v>0</v>
      </c>
      <c r="L13" s="29"/>
      <c r="M13" s="29"/>
      <c r="N13" s="30" t="n">
        <v>480</v>
      </c>
      <c r="O13" s="31"/>
      <c r="P13" s="32"/>
      <c r="Q13" s="33" t="str">
        <f aca="false">IF(OR(N13="",P13=""),"",(N13-P13)/N13)</f>
        <v/>
      </c>
      <c r="R13" s="34" t="n">
        <f aca="false">R5</f>
        <v>1</v>
      </c>
      <c r="S13" s="35" t="n">
        <f aca="false">'Price Groups'!$C$11</f>
        <v>0.153448275862069</v>
      </c>
      <c r="T13" s="36" t="n">
        <f aca="false">IF(OR(N13="",R13="-"),"",CEILING(ROUND(N13*(1+S13),2),IF(N13*(1+S13)&lt;100,0.5,IF(N13*(1+S13)&lt;1000,1,5))))</f>
        <v>554</v>
      </c>
      <c r="U13" s="33" t="str">
        <f aca="false">IF(OR(T13="",P13=""),"",(T13-P13)/T13)</f>
        <v/>
      </c>
      <c r="V13" s="33" t="n">
        <f aca="false">IF(T13="",0,T13/N13-1)</f>
        <v>0.154166666666667</v>
      </c>
      <c r="W13" s="29" t="s">
        <v>62</v>
      </c>
    </row>
    <row r="14" customFormat="false" ht="15" hidden="false" customHeight="false" outlineLevel="0" collapsed="false">
      <c r="A14" s="29"/>
      <c r="B14" s="29" t="s">
        <v>70</v>
      </c>
      <c r="C14" s="29" t="s">
        <v>61</v>
      </c>
      <c r="D14" s="29" t="s">
        <v>56</v>
      </c>
      <c r="E14" s="29"/>
      <c r="F14" s="29"/>
      <c r="G14" s="29"/>
      <c r="H14" s="29"/>
      <c r="I14" s="29"/>
      <c r="J14" s="29"/>
      <c r="K14" s="29" t="n">
        <v>0</v>
      </c>
      <c r="L14" s="29"/>
      <c r="M14" s="29"/>
      <c r="N14" s="30" t="n">
        <v>65</v>
      </c>
      <c r="O14" s="37" t="n">
        <v>25</v>
      </c>
      <c r="P14" s="32" t="n">
        <f aca="false">O14*'Price Groups'!$B$8/'Price Groups'!$B$7</f>
        <v>29.48</v>
      </c>
      <c r="Q14" s="33" t="n">
        <f aca="false">IF(OR(N14="",P14=""),"",(N14-P14)/N14)</f>
        <v>0.546461538461538</v>
      </c>
      <c r="R14" s="34" t="n">
        <f aca="false">R5</f>
        <v>1</v>
      </c>
      <c r="S14" s="35" t="n">
        <f aca="false">'Price Groups'!$C$11</f>
        <v>0.153448275862069</v>
      </c>
      <c r="T14" s="36" t="n">
        <f aca="false">IF(OR(N14="",R14="-"),"",CEILING(ROUND(N14*(1+S14),2),IF(N14*(1+S14)&lt;100,0.5,IF(N14*(1+S14)&lt;1000,1,5))))</f>
        <v>75</v>
      </c>
      <c r="U14" s="33" t="n">
        <f aca="false">IF(OR(T14="",P14=""),"",(T14-P14)/T14)</f>
        <v>0.606933333333333</v>
      </c>
      <c r="V14" s="33" t="n">
        <f aca="false">IF(T14="",0,T14/N14-1)</f>
        <v>0.153846153846154</v>
      </c>
      <c r="W14" s="29" t="s">
        <v>62</v>
      </c>
    </row>
    <row r="15" customFormat="false" ht="15" hidden="false" customHeight="false" outlineLevel="0" collapsed="false">
      <c r="A15" s="29"/>
      <c r="B15" s="29" t="s">
        <v>71</v>
      </c>
      <c r="C15" s="29" t="s">
        <v>61</v>
      </c>
      <c r="D15" s="29" t="s">
        <v>56</v>
      </c>
      <c r="E15" s="29"/>
      <c r="F15" s="29"/>
      <c r="G15" s="29"/>
      <c r="H15" s="29"/>
      <c r="I15" s="29"/>
      <c r="J15" s="29"/>
      <c r="K15" s="29" t="n">
        <v>0</v>
      </c>
      <c r="L15" s="29"/>
      <c r="M15" s="29"/>
      <c r="N15" s="30" t="n">
        <v>65</v>
      </c>
      <c r="O15" s="37" t="n">
        <v>25</v>
      </c>
      <c r="P15" s="32" t="n">
        <f aca="false">O15*'Price Groups'!$B$8/'Price Groups'!$B$7</f>
        <v>29.48</v>
      </c>
      <c r="Q15" s="33" t="n">
        <f aca="false">IF(OR(N15="",P15=""),"",(N15-P15)/N15)</f>
        <v>0.546461538461538</v>
      </c>
      <c r="R15" s="34" t="n">
        <f aca="false">R5</f>
        <v>1</v>
      </c>
      <c r="S15" s="35" t="n">
        <f aca="false">'Price Groups'!$C$11</f>
        <v>0.153448275862069</v>
      </c>
      <c r="T15" s="36" t="n">
        <f aca="false">IF(OR(N15="",R15="-"),"",CEILING(ROUND(N15*(1+S15),2),IF(N15*(1+S15)&lt;100,0.5,IF(N15*(1+S15)&lt;1000,1,5))))</f>
        <v>75</v>
      </c>
      <c r="U15" s="33" t="n">
        <f aca="false">IF(OR(T15="",P15=""),"",(T15-P15)/T15)</f>
        <v>0.606933333333333</v>
      </c>
      <c r="V15" s="33" t="n">
        <f aca="false">IF(T15="",0,T15/N15-1)</f>
        <v>0.153846153846154</v>
      </c>
      <c r="W15" s="29" t="s">
        <v>62</v>
      </c>
    </row>
    <row r="16" customFormat="false" ht="15" hidden="false" customHeight="false" outlineLevel="0" collapsed="false">
      <c r="A16" s="29"/>
      <c r="B16" s="29" t="s">
        <v>72</v>
      </c>
      <c r="C16" s="29" t="s">
        <v>61</v>
      </c>
      <c r="D16" s="29" t="s">
        <v>56</v>
      </c>
      <c r="E16" s="29"/>
      <c r="F16" s="29"/>
      <c r="G16" s="29"/>
      <c r="H16" s="29"/>
      <c r="I16" s="29"/>
      <c r="J16" s="29"/>
      <c r="K16" s="29" t="n">
        <v>0</v>
      </c>
      <c r="L16" s="29"/>
      <c r="M16" s="29"/>
      <c r="N16" s="30" t="n">
        <v>65</v>
      </c>
      <c r="O16" s="37" t="n">
        <v>10</v>
      </c>
      <c r="P16" s="32" t="n">
        <f aca="false">O16*'Price Groups'!$B$8/'Price Groups'!$B$7</f>
        <v>11.792</v>
      </c>
      <c r="Q16" s="33" t="n">
        <f aca="false">IF(OR(N16="",P16=""),"",(N16-P16)/N16)</f>
        <v>0.818584615384615</v>
      </c>
      <c r="R16" s="34" t="n">
        <f aca="false">R5</f>
        <v>1</v>
      </c>
      <c r="S16" s="35" t="n">
        <f aca="false">'Price Groups'!$C$11</f>
        <v>0.153448275862069</v>
      </c>
      <c r="T16" s="36" t="n">
        <f aca="false">IF(OR(N16="",R16="-"),"",CEILING(ROUND(N16*(1+S16),2),IF(N16*(1+S16)&lt;100,0.5,IF(N16*(1+S16)&lt;1000,1,5))))</f>
        <v>75</v>
      </c>
      <c r="U16" s="33" t="n">
        <f aca="false">IF(OR(T16="",P16=""),"",(T16-P16)/T16)</f>
        <v>0.842773333333333</v>
      </c>
      <c r="V16" s="33" t="n">
        <f aca="false">IF(T16="",0,T16/N16-1)</f>
        <v>0.153846153846154</v>
      </c>
      <c r="W16" s="29" t="s">
        <v>62</v>
      </c>
    </row>
    <row r="17" customFormat="false" ht="15" hidden="false" customHeight="false" outlineLevel="0" collapsed="false">
      <c r="A17" s="29"/>
      <c r="B17" s="29" t="s">
        <v>73</v>
      </c>
      <c r="C17" s="29" t="s">
        <v>61</v>
      </c>
      <c r="D17" s="29" t="s">
        <v>56</v>
      </c>
      <c r="E17" s="29"/>
      <c r="F17" s="29"/>
      <c r="G17" s="29"/>
      <c r="H17" s="29"/>
      <c r="I17" s="29"/>
      <c r="J17" s="29"/>
      <c r="K17" s="29" t="n">
        <v>0</v>
      </c>
      <c r="L17" s="29"/>
      <c r="M17" s="29"/>
      <c r="N17" s="30" t="n">
        <v>240</v>
      </c>
      <c r="O17" s="31"/>
      <c r="P17" s="32"/>
      <c r="Q17" s="33" t="str">
        <f aca="false">IF(OR(N17="",P17=""),"",(N17-P17)/N17)</f>
        <v/>
      </c>
      <c r="R17" s="34" t="n">
        <f aca="false">R5</f>
        <v>1</v>
      </c>
      <c r="S17" s="35" t="n">
        <f aca="false">'Price Groups'!$C$11</f>
        <v>0.153448275862069</v>
      </c>
      <c r="T17" s="36" t="n">
        <f aca="false">IF(OR(N17="",R17="-"),"",CEILING(ROUND(N17*(1+S17),2),IF(N17*(1+S17)&lt;100,0.5,IF(N17*(1+S17)&lt;1000,1,5))))</f>
        <v>277</v>
      </c>
      <c r="U17" s="33" t="str">
        <f aca="false">IF(OR(T17="",P17=""),"",(T17-P17)/T17)</f>
        <v/>
      </c>
      <c r="V17" s="33" t="n">
        <f aca="false">IF(T17="",0,T17/N17-1)</f>
        <v>0.154166666666667</v>
      </c>
      <c r="W17" s="29" t="s">
        <v>62</v>
      </c>
    </row>
    <row r="18" customFormat="false" ht="15" hidden="false" customHeight="false" outlineLevel="0" collapsed="false">
      <c r="A18" s="29"/>
      <c r="B18" s="29" t="s">
        <v>74</v>
      </c>
      <c r="C18" s="29" t="s">
        <v>61</v>
      </c>
      <c r="D18" s="29" t="s">
        <v>56</v>
      </c>
      <c r="E18" s="29"/>
      <c r="F18" s="29"/>
      <c r="G18" s="29"/>
      <c r="H18" s="29"/>
      <c r="I18" s="29"/>
      <c r="J18" s="29"/>
      <c r="K18" s="29" t="n">
        <v>0</v>
      </c>
      <c r="L18" s="29"/>
      <c r="M18" s="29"/>
      <c r="N18" s="30" t="n">
        <v>240</v>
      </c>
      <c r="O18" s="31"/>
      <c r="P18" s="32"/>
      <c r="Q18" s="33" t="str">
        <f aca="false">IF(OR(N18="",P18=""),"",(N18-P18)/N18)</f>
        <v/>
      </c>
      <c r="R18" s="34" t="n">
        <f aca="false">R5</f>
        <v>1</v>
      </c>
      <c r="S18" s="35" t="n">
        <f aca="false">'Price Groups'!$C$11</f>
        <v>0.153448275862069</v>
      </c>
      <c r="T18" s="36" t="n">
        <f aca="false">IF(OR(N18="",R18="-"),"",CEILING(ROUND(N18*(1+S18),2),IF(N18*(1+S18)&lt;100,0.5,IF(N18*(1+S18)&lt;1000,1,5))))</f>
        <v>277</v>
      </c>
      <c r="U18" s="33" t="str">
        <f aca="false">IF(OR(T18="",P18=""),"",(T18-P18)/T18)</f>
        <v/>
      </c>
      <c r="V18" s="33" t="n">
        <f aca="false">IF(T18="",0,T18/N18-1)</f>
        <v>0.154166666666667</v>
      </c>
      <c r="W18" s="29" t="s">
        <v>62</v>
      </c>
    </row>
    <row r="19" customFormat="false" ht="15" hidden="false" customHeight="false" outlineLevel="0" collapsed="false">
      <c r="A19" s="29"/>
      <c r="B19" s="29" t="s">
        <v>75</v>
      </c>
      <c r="C19" s="29" t="s">
        <v>61</v>
      </c>
      <c r="D19" s="29" t="s">
        <v>56</v>
      </c>
      <c r="E19" s="29"/>
      <c r="F19" s="29"/>
      <c r="G19" s="29"/>
      <c r="H19" s="29"/>
      <c r="I19" s="29"/>
      <c r="J19" s="29"/>
      <c r="K19" s="29" t="n">
        <v>0</v>
      </c>
      <c r="L19" s="29"/>
      <c r="M19" s="29"/>
      <c r="N19" s="30" t="n">
        <v>210</v>
      </c>
      <c r="O19" s="31"/>
      <c r="P19" s="32"/>
      <c r="Q19" s="33" t="str">
        <f aca="false">IF(OR(N19="",P19=""),"",(N19-P19)/N19)</f>
        <v/>
      </c>
      <c r="R19" s="34" t="n">
        <f aca="false">R5</f>
        <v>1</v>
      </c>
      <c r="S19" s="35" t="n">
        <f aca="false">'Price Groups'!$C$11</f>
        <v>0.153448275862069</v>
      </c>
      <c r="T19" s="36" t="n">
        <f aca="false">IF(OR(N19="",R19="-"),"",CEILING(ROUND(N19*(1+S19),2),IF(N19*(1+S19)&lt;100,0.5,IF(N19*(1+S19)&lt;1000,1,5))))</f>
        <v>243</v>
      </c>
      <c r="U19" s="33" t="str">
        <f aca="false">IF(OR(T19="",P19=""),"",(T19-P19)/T19)</f>
        <v/>
      </c>
      <c r="V19" s="33" t="n">
        <f aca="false">IF(T19="",0,T19/N19-1)</f>
        <v>0.157142857142857</v>
      </c>
      <c r="W19" s="29" t="s">
        <v>62</v>
      </c>
    </row>
    <row r="20" customFormat="false" ht="15" hidden="false" customHeight="false" outlineLevel="0" collapsed="false">
      <c r="A20" s="29"/>
      <c r="B20" s="29" t="s">
        <v>76</v>
      </c>
      <c r="C20" s="29" t="s">
        <v>61</v>
      </c>
      <c r="D20" s="29" t="s">
        <v>56</v>
      </c>
      <c r="E20" s="29"/>
      <c r="F20" s="29"/>
      <c r="G20" s="29"/>
      <c r="H20" s="29"/>
      <c r="I20" s="29"/>
      <c r="J20" s="29"/>
      <c r="K20" s="29" t="n">
        <v>0</v>
      </c>
      <c r="L20" s="29"/>
      <c r="M20" s="29"/>
      <c r="N20" s="30" t="n">
        <v>590</v>
      </c>
      <c r="O20" s="31"/>
      <c r="P20" s="32"/>
      <c r="Q20" s="33" t="str">
        <f aca="false">IF(OR(N20="",P20=""),"",(N20-P20)/N20)</f>
        <v/>
      </c>
      <c r="R20" s="34" t="n">
        <f aca="false">R5</f>
        <v>1</v>
      </c>
      <c r="S20" s="35" t="n">
        <f aca="false">'Price Groups'!$C$11</f>
        <v>0.153448275862069</v>
      </c>
      <c r="T20" s="36" t="n">
        <f aca="false">IF(OR(N20="",R20="-"),"",CEILING(ROUND(N20*(1+S20),2),IF(N20*(1+S20)&lt;100,0.5,IF(N20*(1+S20)&lt;1000,1,5))))</f>
        <v>681</v>
      </c>
      <c r="U20" s="33" t="str">
        <f aca="false">IF(OR(T20="",P20=""),"",(T20-P20)/T20)</f>
        <v/>
      </c>
      <c r="V20" s="33" t="n">
        <f aca="false">IF(T20="",0,T20/N20-1)</f>
        <v>0.154237288135593</v>
      </c>
      <c r="W20" s="29" t="s">
        <v>62</v>
      </c>
    </row>
    <row r="21" customFormat="false" ht="15" hidden="false" customHeight="false" outlineLevel="0" collapsed="false">
      <c r="A21" s="29"/>
      <c r="B21" s="29" t="s">
        <v>77</v>
      </c>
      <c r="C21" s="29" t="s">
        <v>61</v>
      </c>
      <c r="D21" s="29" t="s">
        <v>56</v>
      </c>
      <c r="E21" s="29"/>
      <c r="F21" s="29"/>
      <c r="G21" s="29"/>
      <c r="H21" s="29"/>
      <c r="I21" s="29"/>
      <c r="J21" s="29"/>
      <c r="K21" s="29" t="n">
        <v>0</v>
      </c>
      <c r="L21" s="29"/>
      <c r="M21" s="29"/>
      <c r="N21" s="30" t="n">
        <v>570</v>
      </c>
      <c r="O21" s="31"/>
      <c r="P21" s="32"/>
      <c r="Q21" s="33" t="str">
        <f aca="false">IF(OR(N21="",P21=""),"",(N21-P21)/N21)</f>
        <v/>
      </c>
      <c r="R21" s="34" t="n">
        <f aca="false">R5</f>
        <v>1</v>
      </c>
      <c r="S21" s="35" t="n">
        <f aca="false">'Price Groups'!$C$11</f>
        <v>0.153448275862069</v>
      </c>
      <c r="T21" s="36" t="n">
        <f aca="false">IF(OR(N21="",R21="-"),"",CEILING(ROUND(N21*(1+S21),2),IF(N21*(1+S21)&lt;100,0.5,IF(N21*(1+S21)&lt;1000,1,5))))</f>
        <v>658</v>
      </c>
      <c r="U21" s="33" t="str">
        <f aca="false">IF(OR(T21="",P21=""),"",(T21-P21)/T21)</f>
        <v/>
      </c>
      <c r="V21" s="33" t="n">
        <f aca="false">IF(T21="",0,T21/N21-1)</f>
        <v>0.154385964912281</v>
      </c>
      <c r="W21" s="29" t="s">
        <v>62</v>
      </c>
    </row>
    <row r="22" customFormat="false" ht="15" hidden="false" customHeight="false" outlineLevel="0" collapsed="false">
      <c r="A22" s="29"/>
      <c r="B22" s="29" t="s">
        <v>78</v>
      </c>
      <c r="C22" s="29" t="s">
        <v>61</v>
      </c>
      <c r="D22" s="29" t="s">
        <v>56</v>
      </c>
      <c r="E22" s="29"/>
      <c r="F22" s="29"/>
      <c r="G22" s="29"/>
      <c r="H22" s="29"/>
      <c r="I22" s="29"/>
      <c r="J22" s="29"/>
      <c r="K22" s="29" t="n">
        <v>0</v>
      </c>
      <c r="L22" s="29"/>
      <c r="M22" s="29"/>
      <c r="N22" s="30" t="n">
        <v>260</v>
      </c>
      <c r="O22" s="31"/>
      <c r="P22" s="32"/>
      <c r="Q22" s="33" t="str">
        <f aca="false">IF(OR(N22="",P22=""),"",(N22-P22)/N22)</f>
        <v/>
      </c>
      <c r="R22" s="34" t="n">
        <f aca="false">R5</f>
        <v>1</v>
      </c>
      <c r="S22" s="35" t="n">
        <f aca="false">'Price Groups'!$C$11</f>
        <v>0.153448275862069</v>
      </c>
      <c r="T22" s="36" t="n">
        <f aca="false">IF(OR(N22="",R22="-"),"",CEILING(ROUND(N22*(1+S22),2),IF(N22*(1+S22)&lt;100,0.5,IF(N22*(1+S22)&lt;1000,1,5))))</f>
        <v>300</v>
      </c>
      <c r="U22" s="33" t="str">
        <f aca="false">IF(OR(T22="",P22=""),"",(T22-P22)/T22)</f>
        <v/>
      </c>
      <c r="V22" s="33" t="n">
        <f aca="false">IF(T22="",0,T22/N22-1)</f>
        <v>0.153846153846154</v>
      </c>
      <c r="W22" s="29" t="s">
        <v>62</v>
      </c>
    </row>
    <row r="23" customFormat="false" ht="15" hidden="false" customHeight="false" outlineLevel="0" collapsed="false">
      <c r="A23" s="29"/>
      <c r="B23" s="29" t="s">
        <v>79</v>
      </c>
      <c r="C23" s="29" t="s">
        <v>61</v>
      </c>
      <c r="D23" s="29" t="s">
        <v>56</v>
      </c>
      <c r="E23" s="29"/>
      <c r="F23" s="29"/>
      <c r="G23" s="29"/>
      <c r="H23" s="29"/>
      <c r="I23" s="29"/>
      <c r="J23" s="29"/>
      <c r="K23" s="29" t="n">
        <v>0</v>
      </c>
      <c r="L23" s="29"/>
      <c r="M23" s="29"/>
      <c r="N23" s="30" t="n">
        <v>280.8</v>
      </c>
      <c r="O23" s="31"/>
      <c r="P23" s="32"/>
      <c r="Q23" s="33" t="str">
        <f aca="false">IF(OR(N23="",P23=""),"",(N23-P23)/N23)</f>
        <v/>
      </c>
      <c r="R23" s="34" t="n">
        <f aca="false">R5</f>
        <v>1</v>
      </c>
      <c r="S23" s="35" t="n">
        <f aca="false">'Price Groups'!$C$11</f>
        <v>0.153448275862069</v>
      </c>
      <c r="T23" s="36" t="n">
        <f aca="false">IF(OR(N23="",R23="-"),"",CEILING(ROUND(N23*(1+S23),2),IF(N23*(1+S23)&lt;100,0.5,IF(N23*(1+S23)&lt;1000,1,5))))</f>
        <v>324</v>
      </c>
      <c r="U23" s="33" t="str">
        <f aca="false">IF(OR(T23="",P23=""),"",(T23-P23)/T23)</f>
        <v/>
      </c>
      <c r="V23" s="33" t="n">
        <f aca="false">IF(T23="",0,T23/N23-1)</f>
        <v>0.153846153846154</v>
      </c>
      <c r="W23" s="29" t="s">
        <v>62</v>
      </c>
    </row>
    <row r="24" customFormat="false" ht="15" hidden="false" customHeight="false" outlineLevel="0" collapsed="false">
      <c r="A24" s="29"/>
      <c r="B24" s="29" t="s">
        <v>80</v>
      </c>
      <c r="C24" s="29" t="s">
        <v>61</v>
      </c>
      <c r="D24" s="29" t="s">
        <v>56</v>
      </c>
      <c r="E24" s="29"/>
      <c r="F24" s="29"/>
      <c r="G24" s="29"/>
      <c r="H24" s="29"/>
      <c r="I24" s="29"/>
      <c r="J24" s="29"/>
      <c r="K24" s="29" t="n">
        <v>0</v>
      </c>
      <c r="L24" s="29"/>
      <c r="M24" s="29"/>
      <c r="N24" s="30" t="n">
        <v>749</v>
      </c>
      <c r="O24" s="31"/>
      <c r="P24" s="32"/>
      <c r="Q24" s="33" t="str">
        <f aca="false">IF(OR(N24="",P24=""),"",(N24-P24)/N24)</f>
        <v/>
      </c>
      <c r="R24" s="34" t="n">
        <f aca="false">R5</f>
        <v>1</v>
      </c>
      <c r="S24" s="35" t="n">
        <f aca="false">'Price Groups'!$C$11</f>
        <v>0.153448275862069</v>
      </c>
      <c r="T24" s="36" t="n">
        <f aca="false">IF(OR(N24="",R24="-"),"",CEILING(ROUND(N24*(1+S24),2),IF(N24*(1+S24)&lt;100,0.5,IF(N24*(1+S24)&lt;1000,1,5))))</f>
        <v>864</v>
      </c>
      <c r="U24" s="33" t="str">
        <f aca="false">IF(OR(T24="",P24=""),"",(T24-P24)/T24)</f>
        <v/>
      </c>
      <c r="V24" s="33" t="n">
        <f aca="false">IF(T24="",0,T24/N24-1)</f>
        <v>0.153538050734312</v>
      </c>
      <c r="W24" s="29" t="s">
        <v>62</v>
      </c>
    </row>
    <row r="25" customFormat="false" ht="15" hidden="false" customHeight="false" outlineLevel="0" collapsed="false">
      <c r="A25" s="29"/>
      <c r="B25" s="29" t="s">
        <v>81</v>
      </c>
      <c r="C25" s="29" t="s">
        <v>61</v>
      </c>
      <c r="D25" s="29" t="s">
        <v>56</v>
      </c>
      <c r="E25" s="29"/>
      <c r="F25" s="29"/>
      <c r="G25" s="29"/>
      <c r="H25" s="29"/>
      <c r="I25" s="29"/>
      <c r="J25" s="29"/>
      <c r="K25" s="29" t="n">
        <v>0</v>
      </c>
      <c r="L25" s="29"/>
      <c r="M25" s="29"/>
      <c r="N25" s="30" t="n">
        <v>730</v>
      </c>
      <c r="O25" s="31"/>
      <c r="P25" s="32"/>
      <c r="Q25" s="33" t="str">
        <f aca="false">IF(OR(N25="",P25=""),"",(N25-P25)/N25)</f>
        <v/>
      </c>
      <c r="R25" s="34" t="n">
        <f aca="false">R5</f>
        <v>1</v>
      </c>
      <c r="S25" s="35" t="n">
        <f aca="false">'Price Groups'!$C$11</f>
        <v>0.153448275862069</v>
      </c>
      <c r="T25" s="36" t="n">
        <f aca="false">IF(OR(N25="",R25="-"),"",CEILING(ROUND(N25*(1+S25),2),IF(N25*(1+S25)&lt;100,0.5,IF(N25*(1+S25)&lt;1000,1,5))))</f>
        <v>843</v>
      </c>
      <c r="U25" s="33" t="str">
        <f aca="false">IF(OR(T25="",P25=""),"",(T25-P25)/T25)</f>
        <v/>
      </c>
      <c r="V25" s="33" t="n">
        <f aca="false">IF(T25="",0,T25/N25-1)</f>
        <v>0.154794520547945</v>
      </c>
      <c r="W25" s="29" t="s">
        <v>62</v>
      </c>
    </row>
    <row r="26" customFormat="false" ht="15" hidden="false" customHeight="false" outlineLevel="0" collapsed="false">
      <c r="A26" s="29"/>
      <c r="B26" s="29" t="s">
        <v>82</v>
      </c>
      <c r="C26" s="29" t="s">
        <v>61</v>
      </c>
      <c r="D26" s="29" t="s">
        <v>56</v>
      </c>
      <c r="E26" s="29"/>
      <c r="F26" s="29"/>
      <c r="G26" s="29"/>
      <c r="H26" s="29"/>
      <c r="I26" s="29"/>
      <c r="J26" s="29"/>
      <c r="K26" s="29" t="n">
        <v>0</v>
      </c>
      <c r="L26" s="29"/>
      <c r="M26" s="29"/>
      <c r="N26" s="30" t="n">
        <v>595</v>
      </c>
      <c r="O26" s="31"/>
      <c r="P26" s="32"/>
      <c r="Q26" s="33" t="str">
        <f aca="false">IF(OR(N26="",P26=""),"",(N26-P26)/N26)</f>
        <v/>
      </c>
      <c r="R26" s="34" t="n">
        <f aca="false">R5</f>
        <v>1</v>
      </c>
      <c r="S26" s="35" t="n">
        <f aca="false">'Price Groups'!$C$11</f>
        <v>0.153448275862069</v>
      </c>
      <c r="T26" s="36" t="n">
        <f aca="false">IF(OR(N26="",R26="-"),"",CEILING(ROUND(N26*(1+S26),2),IF(N26*(1+S26)&lt;100,0.5,IF(N26*(1+S26)&lt;1000,1,5))))</f>
        <v>687</v>
      </c>
      <c r="U26" s="33" t="str">
        <f aca="false">IF(OR(T26="",P26=""),"",(T26-P26)/T26)</f>
        <v/>
      </c>
      <c r="V26" s="33" t="n">
        <f aca="false">IF(T26="",0,T26/N26-1)</f>
        <v>0.154621848739496</v>
      </c>
      <c r="W26" s="29" t="s">
        <v>62</v>
      </c>
    </row>
    <row r="27" customFormat="false" ht="15" hidden="false" customHeight="false" outlineLevel="0" collapsed="false">
      <c r="A27" s="29"/>
      <c r="B27" s="29" t="s">
        <v>83</v>
      </c>
      <c r="C27" s="29" t="s">
        <v>61</v>
      </c>
      <c r="D27" s="29" t="s">
        <v>56</v>
      </c>
      <c r="E27" s="29"/>
      <c r="F27" s="29"/>
      <c r="G27" s="29"/>
      <c r="H27" s="29"/>
      <c r="I27" s="29"/>
      <c r="J27" s="29"/>
      <c r="K27" s="29" t="n">
        <v>0</v>
      </c>
      <c r="L27" s="29"/>
      <c r="M27" s="29"/>
      <c r="N27" s="30" t="n">
        <v>730</v>
      </c>
      <c r="O27" s="31"/>
      <c r="P27" s="32"/>
      <c r="Q27" s="33" t="str">
        <f aca="false">IF(OR(N27="",P27=""),"",(N27-P27)/N27)</f>
        <v/>
      </c>
      <c r="R27" s="34" t="n">
        <f aca="false">R5</f>
        <v>1</v>
      </c>
      <c r="S27" s="35" t="n">
        <f aca="false">'Price Groups'!$C$11</f>
        <v>0.153448275862069</v>
      </c>
      <c r="T27" s="36" t="n">
        <f aca="false">IF(OR(N27="",R27="-"),"",CEILING(ROUND(N27*(1+S27),2),IF(N27*(1+S27)&lt;100,0.5,IF(N27*(1+S27)&lt;1000,1,5))))</f>
        <v>843</v>
      </c>
      <c r="U27" s="33" t="str">
        <f aca="false">IF(OR(T27="",P27=""),"",(T27-P27)/T27)</f>
        <v/>
      </c>
      <c r="V27" s="33" t="n">
        <f aca="false">IF(T27="",0,T27/N27-1)</f>
        <v>0.154794520547945</v>
      </c>
      <c r="W27" s="29" t="s">
        <v>62</v>
      </c>
    </row>
    <row r="28" customFormat="false" ht="15" hidden="false" customHeight="false" outlineLevel="0" collapsed="false">
      <c r="A28" s="29"/>
      <c r="B28" s="29" t="s">
        <v>84</v>
      </c>
      <c r="C28" s="29" t="s">
        <v>61</v>
      </c>
      <c r="D28" s="29" t="s">
        <v>56</v>
      </c>
      <c r="E28" s="29"/>
      <c r="F28" s="29"/>
      <c r="G28" s="29"/>
      <c r="H28" s="29"/>
      <c r="I28" s="29"/>
      <c r="J28" s="29"/>
      <c r="K28" s="29" t="n">
        <v>0</v>
      </c>
      <c r="L28" s="29"/>
      <c r="M28" s="29"/>
      <c r="N28" s="30" t="n">
        <v>890</v>
      </c>
      <c r="O28" s="31"/>
      <c r="P28" s="32"/>
      <c r="Q28" s="33" t="str">
        <f aca="false">IF(OR(N28="",P28=""),"",(N28-P28)/N28)</f>
        <v/>
      </c>
      <c r="R28" s="34" t="n">
        <f aca="false">R5</f>
        <v>1</v>
      </c>
      <c r="S28" s="35" t="n">
        <f aca="false">'Price Groups'!$C$11</f>
        <v>0.153448275862069</v>
      </c>
      <c r="T28" s="36" t="n">
        <f aca="false">IF(OR(N28="",R28="-"),"",CEILING(ROUND(N28*(1+S28),2),IF(N28*(1+S28)&lt;100,0.5,IF(N28*(1+S28)&lt;1000,1,5))))</f>
        <v>1030</v>
      </c>
      <c r="U28" s="33" t="str">
        <f aca="false">IF(OR(T28="",P28=""),"",(T28-P28)/T28)</f>
        <v/>
      </c>
      <c r="V28" s="33" t="n">
        <f aca="false">IF(T28="",0,T28/N28-1)</f>
        <v>0.157303370786517</v>
      </c>
      <c r="W28" s="29" t="s">
        <v>62</v>
      </c>
    </row>
    <row r="29" customFormat="false" ht="15" hidden="false" customHeight="false" outlineLevel="0" collapsed="false">
      <c r="A29" s="29"/>
      <c r="B29" s="29" t="s">
        <v>85</v>
      </c>
      <c r="C29" s="29" t="s">
        <v>61</v>
      </c>
      <c r="D29" s="29" t="s">
        <v>56</v>
      </c>
      <c r="E29" s="29"/>
      <c r="F29" s="29"/>
      <c r="G29" s="29"/>
      <c r="H29" s="29"/>
      <c r="I29" s="29"/>
      <c r="J29" s="29"/>
      <c r="K29" s="29" t="n">
        <v>0</v>
      </c>
      <c r="L29" s="29"/>
      <c r="M29" s="29"/>
      <c r="N29" s="30" t="n">
        <v>560</v>
      </c>
      <c r="O29" s="31"/>
      <c r="P29" s="32"/>
      <c r="Q29" s="33" t="str">
        <f aca="false">IF(OR(N29="",P29=""),"",(N29-P29)/N29)</f>
        <v/>
      </c>
      <c r="R29" s="34" t="n">
        <f aca="false">R5</f>
        <v>1</v>
      </c>
      <c r="S29" s="35" t="n">
        <f aca="false">'Price Groups'!$C$11</f>
        <v>0.153448275862069</v>
      </c>
      <c r="T29" s="36" t="n">
        <f aca="false">IF(OR(N29="",R29="-"),"",CEILING(ROUND(N29*(1+S29),2),IF(N29*(1+S29)&lt;100,0.5,IF(N29*(1+S29)&lt;1000,1,5))))</f>
        <v>646</v>
      </c>
      <c r="U29" s="33" t="str">
        <f aca="false">IF(OR(T29="",P29=""),"",(T29-P29)/T29)</f>
        <v/>
      </c>
      <c r="V29" s="33" t="n">
        <f aca="false">IF(T29="",0,T29/N29-1)</f>
        <v>0.153571428571428</v>
      </c>
      <c r="W29" s="29" t="s">
        <v>62</v>
      </c>
    </row>
    <row r="30" customFormat="false" ht="15" hidden="false" customHeight="false" outlineLevel="0" collapsed="false">
      <c r="A30" s="29"/>
      <c r="B30" s="29" t="s">
        <v>86</v>
      </c>
      <c r="C30" s="29" t="s">
        <v>61</v>
      </c>
      <c r="D30" s="29" t="s">
        <v>56</v>
      </c>
      <c r="E30" s="29"/>
      <c r="F30" s="29"/>
      <c r="G30" s="29"/>
      <c r="H30" s="29"/>
      <c r="I30" s="29"/>
      <c r="J30" s="29"/>
      <c r="K30" s="29" t="n">
        <v>0</v>
      </c>
      <c r="L30" s="29"/>
      <c r="M30" s="29"/>
      <c r="N30" s="30" t="n">
        <v>604.8</v>
      </c>
      <c r="O30" s="31"/>
      <c r="P30" s="32"/>
      <c r="Q30" s="33" t="str">
        <f aca="false">IF(OR(N30="",P30=""),"",(N30-P30)/N30)</f>
        <v/>
      </c>
      <c r="R30" s="34" t="n">
        <f aca="false">R5</f>
        <v>1</v>
      </c>
      <c r="S30" s="35" t="n">
        <f aca="false">'Price Groups'!$C$11</f>
        <v>0.153448275862069</v>
      </c>
      <c r="T30" s="36" t="n">
        <f aca="false">IF(OR(N30="",R30="-"),"",CEILING(ROUND(N30*(1+S30),2),IF(N30*(1+S30)&lt;100,0.5,IF(N30*(1+S30)&lt;1000,1,5))))</f>
        <v>698</v>
      </c>
      <c r="U30" s="33" t="str">
        <f aca="false">IF(OR(T30="",P30=""),"",(T30-P30)/T30)</f>
        <v/>
      </c>
      <c r="V30" s="33" t="n">
        <f aca="false">IF(T30="",0,T30/N30-1)</f>
        <v>0.154100529100529</v>
      </c>
      <c r="W30" s="29" t="s">
        <v>62</v>
      </c>
    </row>
    <row r="31" customFormat="false" ht="15" hidden="false" customHeight="false" outlineLevel="0" collapsed="false">
      <c r="A31" s="29"/>
      <c r="B31" s="29" t="s">
        <v>87</v>
      </c>
      <c r="C31" s="29" t="s">
        <v>61</v>
      </c>
      <c r="D31" s="29" t="s">
        <v>56</v>
      </c>
      <c r="E31" s="29"/>
      <c r="F31" s="29"/>
      <c r="G31" s="29"/>
      <c r="H31" s="29"/>
      <c r="I31" s="29"/>
      <c r="J31" s="29"/>
      <c r="K31" s="29" t="n">
        <v>0</v>
      </c>
      <c r="L31" s="29"/>
      <c r="M31" s="29"/>
      <c r="N31" s="30" t="n">
        <v>19.99</v>
      </c>
      <c r="O31" s="31"/>
      <c r="P31" s="32"/>
      <c r="Q31" s="33" t="str">
        <f aca="false">IF(OR(N31="",P31=""),"",(N31-P31)/N31)</f>
        <v/>
      </c>
      <c r="R31" s="34" t="n">
        <f aca="false">R5</f>
        <v>1</v>
      </c>
      <c r="S31" s="35" t="n">
        <f aca="false">'Price Groups'!$C$11</f>
        <v>0.153448275862069</v>
      </c>
      <c r="T31" s="36" t="n">
        <f aca="false">IF(OR(N31="",R31="-"),"",CEILING(ROUND(N31*(1+S31),2),IF(N31*(1+S31)&lt;100,0.5,IF(N31*(1+S31)&lt;1000,1,5))))</f>
        <v>23.5</v>
      </c>
      <c r="U31" s="33" t="str">
        <f aca="false">IF(OR(T31="",P31=""),"",(T31-P31)/T31)</f>
        <v/>
      </c>
      <c r="V31" s="33" t="n">
        <f aca="false">IF(T31="",0,T31/N31-1)</f>
        <v>0.175587793896949</v>
      </c>
      <c r="W31" s="29" t="s">
        <v>62</v>
      </c>
    </row>
    <row r="32" customFormat="false" ht="15" hidden="false" customHeight="false" outlineLevel="0" collapsed="false">
      <c r="A32" s="38" t="n">
        <v>2</v>
      </c>
      <c r="B32" s="38" t="s">
        <v>88</v>
      </c>
      <c r="C32" s="38" t="s">
        <v>57</v>
      </c>
      <c r="D32" s="38"/>
      <c r="E32" s="38" t="s">
        <v>58</v>
      </c>
      <c r="F32" s="39" t="n">
        <v>1414</v>
      </c>
      <c r="G32" s="39" t="n">
        <v>485</v>
      </c>
      <c r="H32" s="40" t="n">
        <v>67674.49</v>
      </c>
      <c r="I32" s="40" t="n">
        <v>-401.61</v>
      </c>
      <c r="J32" s="40" t="n">
        <v>-5567.47</v>
      </c>
      <c r="K32" s="41" t="n">
        <f aca="false">H32+I32+J32</f>
        <v>61705.41</v>
      </c>
      <c r="L32" s="42" t="n">
        <f aca="false">IF($K$1282=0,0,K32/$K$1282)</f>
        <v>0.00511157976386592</v>
      </c>
      <c r="M32" s="43" t="n">
        <f aca="false">IF(F32&lt;=0,0,K32/F32)</f>
        <v>43.6389038189533</v>
      </c>
      <c r="N32" s="40" t="n">
        <v>44.99</v>
      </c>
      <c r="O32" s="44" t="n">
        <v>0.77</v>
      </c>
      <c r="P32" s="43" t="n">
        <f aca="false">O32*'Price Groups'!$B$5</f>
        <v>17.325</v>
      </c>
      <c r="Q32" s="45" t="n">
        <f aca="false">IF(OR(N32="",P32=""),"",(N32-P32)/N32)</f>
        <v>0.614914425427873</v>
      </c>
      <c r="R32" s="46" t="n">
        <v>5</v>
      </c>
      <c r="S32" s="47" t="n">
        <f aca="false">IF(R32="-",0,IFERROR(VLOOKUP(R32,'Price Groups'!$A$13:$C$17,3,FALSE()),0))</f>
        <v>0.02</v>
      </c>
      <c r="T32" s="41" t="n">
        <f aca="false">IF(OR(N32="",R32="-"),"",CEILING(ROUND(N32*(1+S32),2),IF(N32*(1+S32)&lt;100,0.5,IF(N32*(1+S32)&lt;1000,1,5))))</f>
        <v>46</v>
      </c>
      <c r="U32" s="45" t="n">
        <f aca="false">IF(OR(T32="",P32=""),"",(T32-P32)/T32)</f>
        <v>0.623369565217391</v>
      </c>
      <c r="V32" s="45" t="n">
        <f aca="false">IF(T32="",0,T32/N32-1)</f>
        <v>0.0224494332073795</v>
      </c>
      <c r="W32" s="38" t="s">
        <v>89</v>
      </c>
    </row>
    <row r="33" customFormat="false" ht="15" hidden="false" customHeight="false" outlineLevel="0" collapsed="false">
      <c r="A33" s="19" t="n">
        <v>3</v>
      </c>
      <c r="B33" s="19" t="s">
        <v>90</v>
      </c>
      <c r="C33" s="19" t="s">
        <v>91</v>
      </c>
      <c r="D33" s="19"/>
      <c r="E33" s="19" t="s">
        <v>58</v>
      </c>
      <c r="F33" s="20" t="n">
        <v>1093</v>
      </c>
      <c r="G33" s="20" t="n">
        <v>143</v>
      </c>
      <c r="H33" s="21" t="n">
        <v>1140000</v>
      </c>
      <c r="I33" s="21" t="n">
        <v>-63960.92</v>
      </c>
      <c r="J33" s="21" t="n">
        <v>-46215</v>
      </c>
      <c r="K33" s="22" t="n">
        <f aca="false">H33+I33+J33</f>
        <v>1029824.08</v>
      </c>
      <c r="L33" s="23" t="n">
        <f aca="false">IF($K$1282=0,0,K33/$K$1282)</f>
        <v>0.0853090179235473</v>
      </c>
      <c r="M33" s="24" t="n">
        <f aca="false">IF(F33&lt;=0,0,K33/F33)</f>
        <v>942.199524245197</v>
      </c>
      <c r="N33" s="21" t="n">
        <v>1000</v>
      </c>
      <c r="O33" s="25"/>
      <c r="P33" s="24"/>
      <c r="Q33" s="26" t="str">
        <f aca="false">IF(OR(N33="",P33=""),"",(N33-P33)/N33)</f>
        <v/>
      </c>
      <c r="R33" s="48" t="s">
        <v>91</v>
      </c>
      <c r="S33" s="28" t="n">
        <f aca="false">IF(R33="-",0,IFERROR(VLOOKUP(R33,'Price Groups'!$A$13:$C$17,3,FALSE()),0))</f>
        <v>0</v>
      </c>
      <c r="T33" s="22" t="str">
        <f aca="false">IF(OR(N33="",R33="-"),"",CEILING(ROUND(N33*(1+S33),2),IF(N33*(1+S33)&lt;100,0.5,IF(N33*(1+S33)&lt;1000,1,5))))</f>
        <v/>
      </c>
      <c r="U33" s="26" t="str">
        <f aca="false">IF(OR(T33="",P33=""),"",(T33-P33)/T33)</f>
        <v/>
      </c>
      <c r="V33" s="26" t="n">
        <f aca="false">IF(T33="",0,T33/N33-1)</f>
        <v>0</v>
      </c>
      <c r="W33" s="19" t="s">
        <v>92</v>
      </c>
    </row>
    <row r="34" customFormat="false" ht="15" hidden="false" customHeight="false" outlineLevel="0" collapsed="false">
      <c r="A34" s="38" t="n">
        <v>4</v>
      </c>
      <c r="B34" s="38" t="s">
        <v>93</v>
      </c>
      <c r="C34" s="38" t="s">
        <v>57</v>
      </c>
      <c r="D34" s="38"/>
      <c r="E34" s="38" t="s">
        <v>58</v>
      </c>
      <c r="F34" s="39" t="n">
        <v>1002</v>
      </c>
      <c r="G34" s="39" t="n">
        <v>90</v>
      </c>
      <c r="H34" s="40" t="n">
        <v>6942.1</v>
      </c>
      <c r="I34" s="40" t="n">
        <v>-51.56</v>
      </c>
      <c r="J34" s="40" t="n">
        <v>-702.4</v>
      </c>
      <c r="K34" s="41" t="n">
        <f aca="false">H34+I34+J34</f>
        <v>6188.14</v>
      </c>
      <c r="L34" s="42" t="n">
        <f aca="false">IF($K$1282=0,0,K34/$K$1282)</f>
        <v>0.000512615850052196</v>
      </c>
      <c r="M34" s="43" t="n">
        <f aca="false">IF(F34&lt;=0,0,K34/F34)</f>
        <v>6.17578842315369</v>
      </c>
      <c r="N34" s="40" t="n">
        <v>12</v>
      </c>
      <c r="O34" s="44" t="n">
        <v>0.12</v>
      </c>
      <c r="P34" s="43" t="n">
        <f aca="false">O34*'Price Groups'!$B$5</f>
        <v>2.7</v>
      </c>
      <c r="Q34" s="45" t="n">
        <f aca="false">IF(OR(N34="",P34=""),"",(N34-P34)/N34)</f>
        <v>0.775</v>
      </c>
      <c r="R34" s="46" t="n">
        <v>1</v>
      </c>
      <c r="S34" s="47" t="n">
        <f aca="false">IF(R34="-",0,IFERROR(VLOOKUP(R34,'Price Groups'!$A$13:$C$17,3,FALSE()),0))</f>
        <v>0.22</v>
      </c>
      <c r="T34" s="41" t="n">
        <f aca="false">IF(OR(N34="",R34="-"),"",CEILING(ROUND(N34*(1+S34),2),IF(N34*(1+S34)&lt;100,0.5,IF(N34*(1+S34)&lt;1000,1,5))))</f>
        <v>15</v>
      </c>
      <c r="U34" s="45" t="n">
        <f aca="false">IF(OR(T34="",P34=""),"",(T34-P34)/T34)</f>
        <v>0.82</v>
      </c>
      <c r="V34" s="45" t="n">
        <f aca="false">IF(T34="",0,T34/N34-1)</f>
        <v>0.25</v>
      </c>
      <c r="W34" s="38" t="s">
        <v>94</v>
      </c>
    </row>
    <row r="35" customFormat="false" ht="15" hidden="false" customHeight="false" outlineLevel="0" collapsed="false">
      <c r="A35" s="19" t="n">
        <v>5</v>
      </c>
      <c r="B35" s="19" t="s">
        <v>95</v>
      </c>
      <c r="C35" s="19" t="s">
        <v>57</v>
      </c>
      <c r="D35" s="19"/>
      <c r="E35" s="19" t="s">
        <v>58</v>
      </c>
      <c r="F35" s="20" t="n">
        <v>985</v>
      </c>
      <c r="G35" s="20" t="n">
        <v>323</v>
      </c>
      <c r="H35" s="21" t="n">
        <v>33223.77</v>
      </c>
      <c r="I35" s="21" t="n">
        <v>-202.78</v>
      </c>
      <c r="J35" s="21" t="n">
        <v>-4064.74</v>
      </c>
      <c r="K35" s="22" t="n">
        <f aca="false">H35+I35+J35</f>
        <v>28956.25</v>
      </c>
      <c r="L35" s="23" t="n">
        <f aca="false">IF($K$1282=0,0,K35/$K$1282)</f>
        <v>0.00239869051250843</v>
      </c>
      <c r="M35" s="24" t="n">
        <f aca="false">IF(F35&lt;=0,0,K35/F35)</f>
        <v>29.3972081218274</v>
      </c>
      <c r="N35" s="21" t="n">
        <v>30</v>
      </c>
      <c r="O35" s="49" t="n">
        <v>0.43</v>
      </c>
      <c r="P35" s="24" t="n">
        <f aca="false">O35*'Price Groups'!$B$5</f>
        <v>9.675</v>
      </c>
      <c r="Q35" s="26" t="n">
        <f aca="false">IF(OR(N35="",P35=""),"",(N35-P35)/N35)</f>
        <v>0.6775</v>
      </c>
      <c r="R35" s="27" t="n">
        <v>5</v>
      </c>
      <c r="S35" s="28" t="n">
        <f aca="false">IF(R35="-",0,IFERROR(VLOOKUP(R35,'Price Groups'!$A$13:$C$17,3,FALSE()),0))</f>
        <v>0.02</v>
      </c>
      <c r="T35" s="22" t="n">
        <f aca="false">IF(OR(N35="",R35="-"),"",CEILING(ROUND(N35*(1+S35),2),IF(N35*(1+S35)&lt;100,0.5,IF(N35*(1+S35)&lt;1000,1,5))))</f>
        <v>31</v>
      </c>
      <c r="U35" s="26" t="n">
        <f aca="false">IF(OR(T35="",P35=""),"",(T35-P35)/T35)</f>
        <v>0.687903225806452</v>
      </c>
      <c r="V35" s="26" t="n">
        <f aca="false">IF(T35="",0,T35/N35-1)</f>
        <v>0.0333333333333334</v>
      </c>
      <c r="W35" s="19" t="s">
        <v>89</v>
      </c>
    </row>
    <row r="36" customFormat="false" ht="15" hidden="false" customHeight="false" outlineLevel="0" collapsed="false">
      <c r="A36" s="38" t="n">
        <v>6</v>
      </c>
      <c r="B36" s="38" t="s">
        <v>96</v>
      </c>
      <c r="C36" s="38" t="s">
        <v>57</v>
      </c>
      <c r="D36" s="38" t="s">
        <v>97</v>
      </c>
      <c r="E36" s="38" t="s">
        <v>58</v>
      </c>
      <c r="F36" s="39" t="n">
        <v>979</v>
      </c>
      <c r="G36" s="39" t="n">
        <v>439</v>
      </c>
      <c r="H36" s="40" t="n">
        <v>108001.82</v>
      </c>
      <c r="I36" s="40" t="n">
        <v>-781.47</v>
      </c>
      <c r="J36" s="40" t="n">
        <v>-12827.29</v>
      </c>
      <c r="K36" s="41" t="n">
        <f aca="false">H36+I36+J36</f>
        <v>94393.06</v>
      </c>
      <c r="L36" s="42" t="n">
        <f aca="false">IF($K$1282=0,0,K36/$K$1282)</f>
        <v>0.00781937362291866</v>
      </c>
      <c r="M36" s="43" t="n">
        <f aca="false">IF(F36&lt;=0,0,K36/F36)</f>
        <v>96.4178345250255</v>
      </c>
      <c r="N36" s="40" t="n">
        <v>95</v>
      </c>
      <c r="O36" s="44" t="n">
        <v>1.82</v>
      </c>
      <c r="P36" s="43" t="n">
        <f aca="false">O36*'Price Groups'!$B$5</f>
        <v>40.95</v>
      </c>
      <c r="Q36" s="45" t="n">
        <f aca="false">IF(OR(N36="",P36=""),"",(N36-P36)/N36)</f>
        <v>0.568947368421053</v>
      </c>
      <c r="R36" s="46" t="n">
        <v>2</v>
      </c>
      <c r="S36" s="47" t="n">
        <f aca="false">IF(R36="-",0,IFERROR(VLOOKUP(R36,'Price Groups'!$A$13:$C$17,3,FALSE()),0))</f>
        <v>0.18</v>
      </c>
      <c r="T36" s="41" t="n">
        <f aca="false">IF(OR(N36="",R36="-"),"",CEILING(ROUND(N36*(1+S36),2),IF(N36*(1+S36)&lt;100,0.5,IF(N36*(1+S36)&lt;1000,1,5))))</f>
        <v>113</v>
      </c>
      <c r="U36" s="45" t="n">
        <f aca="false">IF(OR(T36="",P36=""),"",(T36-P36)/T36)</f>
        <v>0.637610619469027</v>
      </c>
      <c r="V36" s="45" t="n">
        <f aca="false">IF(T36="",0,T36/N36-1)</f>
        <v>0.189473684210526</v>
      </c>
      <c r="W36" s="38" t="s">
        <v>98</v>
      </c>
    </row>
    <row r="37" customFormat="false" ht="15" hidden="false" customHeight="false" outlineLevel="0" collapsed="false">
      <c r="A37" s="19" t="n">
        <v>7</v>
      </c>
      <c r="B37" s="19" t="s">
        <v>99</v>
      </c>
      <c r="C37" s="19" t="s">
        <v>91</v>
      </c>
      <c r="D37" s="19"/>
      <c r="E37" s="19" t="s">
        <v>91</v>
      </c>
      <c r="F37" s="20" t="n">
        <v>958</v>
      </c>
      <c r="G37" s="20" t="n">
        <v>549</v>
      </c>
      <c r="H37" s="21" t="n">
        <v>167784.68</v>
      </c>
      <c r="I37" s="21" t="n">
        <v>-783.11</v>
      </c>
      <c r="J37" s="21" t="n">
        <v>-24769.39</v>
      </c>
      <c r="K37" s="22" t="n">
        <f aca="false">H37+I37+J37</f>
        <v>142232.18</v>
      </c>
      <c r="L37" s="23" t="n">
        <f aca="false">IF($K$1282=0,0,K37/$K$1282)</f>
        <v>0.0117822915860787</v>
      </c>
      <c r="M37" s="24" t="n">
        <f aca="false">IF(F37&lt;=0,0,K37/F37)</f>
        <v>148.467828810021</v>
      </c>
      <c r="N37" s="24"/>
      <c r="O37" s="25"/>
      <c r="P37" s="24"/>
      <c r="Q37" s="26" t="str">
        <f aca="false">IF(OR(N37="",P37=""),"",(N37-P37)/N37)</f>
        <v/>
      </c>
      <c r="R37" s="48" t="s">
        <v>91</v>
      </c>
      <c r="S37" s="28" t="n">
        <f aca="false">IF(R37="-",0,IFERROR(VLOOKUP(R37,'Price Groups'!$A$13:$C$17,3,FALSE()),0))</f>
        <v>0</v>
      </c>
      <c r="T37" s="22" t="str">
        <f aca="false">IF(OR(N37="",R37="-"),"",CEILING(ROUND(N37*(1+S37),2),IF(N37*(1+S37)&lt;100,0.5,IF(N37*(1+S37)&lt;1000,1,5))))</f>
        <v/>
      </c>
      <c r="U37" s="26" t="str">
        <f aca="false">IF(OR(T37="",P37=""),"",(T37-P37)/T37)</f>
        <v/>
      </c>
      <c r="V37" s="26" t="n">
        <f aca="false">IF(T37="",0,T37/N37-1)</f>
        <v>0</v>
      </c>
      <c r="W37" s="19" t="s">
        <v>92</v>
      </c>
    </row>
    <row r="38" customFormat="false" ht="15" hidden="false" customHeight="false" outlineLevel="0" collapsed="false">
      <c r="A38" s="38" t="n">
        <v>8</v>
      </c>
      <c r="B38" s="38" t="s">
        <v>100</v>
      </c>
      <c r="C38" s="38" t="s">
        <v>57</v>
      </c>
      <c r="D38" s="38"/>
      <c r="E38" s="38" t="s">
        <v>58</v>
      </c>
      <c r="F38" s="39" t="n">
        <v>918</v>
      </c>
      <c r="G38" s="39" t="n">
        <v>300</v>
      </c>
      <c r="H38" s="40" t="n">
        <v>135592.18</v>
      </c>
      <c r="I38" s="40" t="n">
        <v>-1177.3</v>
      </c>
      <c r="J38" s="40" t="n">
        <v>-13082.09</v>
      </c>
      <c r="K38" s="41" t="n">
        <f aca="false">H38+I38+J38</f>
        <v>121332.79</v>
      </c>
      <c r="L38" s="42" t="n">
        <f aca="false">IF($K$1282=0,0,K38/$K$1282)</f>
        <v>0.0100510187689765</v>
      </c>
      <c r="M38" s="43" t="n">
        <f aca="false">IF(F38&lt;=0,0,K38/F38)</f>
        <v>132.170795206972</v>
      </c>
      <c r="N38" s="40" t="n">
        <v>149.99</v>
      </c>
      <c r="O38" s="44" t="n">
        <v>2.61</v>
      </c>
      <c r="P38" s="43" t="n">
        <f aca="false">O38*'Price Groups'!$B$5</f>
        <v>58.725</v>
      </c>
      <c r="Q38" s="45" t="n">
        <f aca="false">IF(OR(N38="",P38=""),"",(N38-P38)/N38)</f>
        <v>0.608473898259884</v>
      </c>
      <c r="R38" s="46" t="n">
        <v>4</v>
      </c>
      <c r="S38" s="47" t="n">
        <f aca="false">IF(R38="-",0,IFERROR(VLOOKUP(R38,'Price Groups'!$A$13:$C$17,3,FALSE()),0))</f>
        <v>0.15</v>
      </c>
      <c r="T38" s="41" t="n">
        <f aca="false">IF(OR(N38="",R38="-"),"",CEILING(ROUND(N38*(1+S38),2),IF(N38*(1+S38)&lt;100,0.5,IF(N38*(1+S38)&lt;1000,1,5))))</f>
        <v>173</v>
      </c>
      <c r="U38" s="45" t="n">
        <f aca="false">IF(OR(T38="",P38=""),"",(T38-P38)/T38)</f>
        <v>0.660549132947977</v>
      </c>
      <c r="V38" s="45" t="n">
        <f aca="false">IF(T38="",0,T38/N38-1)</f>
        <v>0.15341022734849</v>
      </c>
      <c r="W38" s="38" t="s">
        <v>101</v>
      </c>
    </row>
    <row r="39" customFormat="false" ht="15" hidden="false" customHeight="false" outlineLevel="0" collapsed="false">
      <c r="A39" s="19" t="n">
        <v>9</v>
      </c>
      <c r="B39" s="19" t="s">
        <v>102</v>
      </c>
      <c r="C39" s="19" t="s">
        <v>57</v>
      </c>
      <c r="D39" s="19"/>
      <c r="E39" s="19" t="s">
        <v>58</v>
      </c>
      <c r="F39" s="20" t="n">
        <v>831</v>
      </c>
      <c r="G39" s="20" t="n">
        <v>532</v>
      </c>
      <c r="H39" s="21" t="n">
        <v>645690.36</v>
      </c>
      <c r="I39" s="21" t="n">
        <v>-10020.76</v>
      </c>
      <c r="J39" s="21" t="n">
        <v>-42697.4</v>
      </c>
      <c r="K39" s="22" t="n">
        <f aca="false">H39+I39+J39</f>
        <v>592972.2</v>
      </c>
      <c r="L39" s="23" t="n">
        <f aca="false">IF($K$1282=0,0,K39/$K$1282)</f>
        <v>0.0491208906650981</v>
      </c>
      <c r="M39" s="24" t="n">
        <f aca="false">IF(F39&lt;=0,0,K39/F39)</f>
        <v>713.564620938628</v>
      </c>
      <c r="N39" s="24"/>
      <c r="O39" s="25"/>
      <c r="P39" s="24"/>
      <c r="Q39" s="26" t="str">
        <f aca="false">IF(OR(N39="",P39=""),"",(N39-P39)/N39)</f>
        <v/>
      </c>
      <c r="R39" s="27" t="n">
        <v>4</v>
      </c>
      <c r="S39" s="28" t="n">
        <f aca="false">IF(R39="-",0,IFERROR(VLOOKUP(R39,'Price Groups'!$A$13:$C$17,3,FALSE()),0))</f>
        <v>0.15</v>
      </c>
      <c r="T39" s="22" t="str">
        <f aca="false">IF(OR(N39="",R39="-"),"",CEILING(ROUND(N39*(1+S39),2),IF(N39*(1+S39)&lt;100,0.5,IF(N39*(1+S39)&lt;1000,1,5))))</f>
        <v/>
      </c>
      <c r="U39" s="26" t="str">
        <f aca="false">IF(OR(T39="",P39=""),"",(T39-P39)/T39)</f>
        <v/>
      </c>
      <c r="V39" s="26" t="n">
        <f aca="false">IFERROR(AVERAGE(V40:V42),0)</f>
        <v>0.153926704922224</v>
      </c>
      <c r="W39" s="19" t="s">
        <v>101</v>
      </c>
    </row>
    <row r="40" customFormat="false" ht="15" hidden="false" customHeight="false" outlineLevel="0" collapsed="false">
      <c r="A40" s="29"/>
      <c r="B40" s="29" t="s">
        <v>103</v>
      </c>
      <c r="C40" s="29" t="s">
        <v>61</v>
      </c>
      <c r="D40" s="29" t="s">
        <v>102</v>
      </c>
      <c r="E40" s="29"/>
      <c r="F40" s="29"/>
      <c r="G40" s="29"/>
      <c r="H40" s="29"/>
      <c r="I40" s="29"/>
      <c r="J40" s="29"/>
      <c r="K40" s="29" t="n">
        <v>0</v>
      </c>
      <c r="L40" s="29"/>
      <c r="M40" s="29"/>
      <c r="N40" s="30" t="n">
        <v>885</v>
      </c>
      <c r="O40" s="37" t="n">
        <v>13.8</v>
      </c>
      <c r="P40" s="32" t="n">
        <f aca="false">O40*'Price Groups'!$B$5</f>
        <v>310.5</v>
      </c>
      <c r="Q40" s="33" t="n">
        <f aca="false">IF(OR(N40="",P40=""),"",(N40-P40)/N40)</f>
        <v>0.649152542372881</v>
      </c>
      <c r="R40" s="34" t="n">
        <f aca="false">R39</f>
        <v>4</v>
      </c>
      <c r="S40" s="35" t="n">
        <f aca="false">IF(R40="-",0,IFERROR(VLOOKUP(R40,'Price Groups'!$A$13:$C$17,3,FALSE()),0))</f>
        <v>0.15</v>
      </c>
      <c r="T40" s="36" t="n">
        <f aca="false">IF(OR(N40="",R40="-"),"",CEILING(ROUND(N40*(1+S40),2),IF(N40*(1+S40)&lt;100,0.5,IF(N40*(1+S40)&lt;1000,1,5))))</f>
        <v>1020</v>
      </c>
      <c r="U40" s="33" t="n">
        <f aca="false">IF(OR(T40="",P40=""),"",(T40-P40)/T40)</f>
        <v>0.695588235294118</v>
      </c>
      <c r="V40" s="33" t="n">
        <f aca="false">IF(T40="",0,T40/N40-1)</f>
        <v>0.152542372881356</v>
      </c>
      <c r="W40" s="29" t="s">
        <v>62</v>
      </c>
    </row>
    <row r="41" customFormat="false" ht="15" hidden="false" customHeight="false" outlineLevel="0" collapsed="false">
      <c r="A41" s="29"/>
      <c r="B41" s="29" t="s">
        <v>104</v>
      </c>
      <c r="C41" s="29" t="s">
        <v>61</v>
      </c>
      <c r="D41" s="29" t="s">
        <v>102</v>
      </c>
      <c r="E41" s="29"/>
      <c r="F41" s="29"/>
      <c r="G41" s="29"/>
      <c r="H41" s="29"/>
      <c r="I41" s="29"/>
      <c r="J41" s="29"/>
      <c r="K41" s="29" t="n">
        <v>0</v>
      </c>
      <c r="L41" s="29"/>
      <c r="M41" s="29"/>
      <c r="N41" s="30" t="n">
        <v>950</v>
      </c>
      <c r="O41" s="37" t="n">
        <v>13.8</v>
      </c>
      <c r="P41" s="32" t="n">
        <f aca="false">O41*'Price Groups'!$B$5</f>
        <v>310.5</v>
      </c>
      <c r="Q41" s="33" t="n">
        <f aca="false">IF(OR(N41="",P41=""),"",(N41-P41)/N41)</f>
        <v>0.673157894736842</v>
      </c>
      <c r="R41" s="34" t="n">
        <f aca="false">R39</f>
        <v>4</v>
      </c>
      <c r="S41" s="35" t="n">
        <f aca="false">IF(R41="-",0,IFERROR(VLOOKUP(R41,'Price Groups'!$A$13:$C$17,3,FALSE()),0))</f>
        <v>0.15</v>
      </c>
      <c r="T41" s="36" t="n">
        <f aca="false">IF(OR(N41="",R41="-"),"",CEILING(ROUND(N41*(1+S41),2),IF(N41*(1+S41)&lt;100,0.5,IF(N41*(1+S41)&lt;1000,1,5))))</f>
        <v>1095</v>
      </c>
      <c r="U41" s="33" t="n">
        <f aca="false">IF(OR(T41="",P41=""),"",(T41-P41)/T41)</f>
        <v>0.716438356164384</v>
      </c>
      <c r="V41" s="33" t="n">
        <f aca="false">IF(T41="",0,T41/N41-1)</f>
        <v>0.152631578947368</v>
      </c>
      <c r="W41" s="29" t="s">
        <v>62</v>
      </c>
    </row>
    <row r="42" customFormat="false" ht="15" hidden="false" customHeight="false" outlineLevel="0" collapsed="false">
      <c r="A42" s="29"/>
      <c r="B42" s="29" t="s">
        <v>105</v>
      </c>
      <c r="C42" s="29" t="s">
        <v>61</v>
      </c>
      <c r="D42" s="29" t="s">
        <v>102</v>
      </c>
      <c r="E42" s="29"/>
      <c r="F42" s="29"/>
      <c r="G42" s="29"/>
      <c r="H42" s="29"/>
      <c r="I42" s="29"/>
      <c r="J42" s="29"/>
      <c r="K42" s="29" t="n">
        <v>0</v>
      </c>
      <c r="L42" s="29"/>
      <c r="M42" s="29"/>
      <c r="N42" s="30" t="n">
        <v>118.45</v>
      </c>
      <c r="O42" s="37" t="n">
        <v>13.8</v>
      </c>
      <c r="P42" s="32" t="n">
        <f aca="false">O42*'Price Groups'!$B$5</f>
        <v>310.5</v>
      </c>
      <c r="Q42" s="33" t="n">
        <f aca="false">IF(OR(N42="",P42=""),"",(N42-P42)/N42)</f>
        <v>-1.62135922330097</v>
      </c>
      <c r="R42" s="34" t="n">
        <f aca="false">R39</f>
        <v>4</v>
      </c>
      <c r="S42" s="35" t="n">
        <f aca="false">IF(R42="-",0,IFERROR(VLOOKUP(R42,'Price Groups'!$A$13:$C$17,3,FALSE()),0))</f>
        <v>0.15</v>
      </c>
      <c r="T42" s="36" t="n">
        <f aca="false">IF(OR(N42="",R42="-"),"",CEILING(ROUND(N42*(1+S42),2),IF(N42*(1+S42)&lt;100,0.5,IF(N42*(1+S42)&lt;1000,1,5))))</f>
        <v>137</v>
      </c>
      <c r="U42" s="33" t="n">
        <f aca="false">IF(OR(T42="",P42=""),"",(T42-P42)/T42)</f>
        <v>-1.26642335766423</v>
      </c>
      <c r="V42" s="33" t="n">
        <f aca="false">IF(T42="",0,T42/N42-1)</f>
        <v>0.156606162937949</v>
      </c>
      <c r="W42" s="29" t="s">
        <v>62</v>
      </c>
    </row>
    <row r="43" customFormat="false" ht="15" hidden="false" customHeight="false" outlineLevel="0" collapsed="false">
      <c r="A43" s="38" t="n">
        <v>10</v>
      </c>
      <c r="B43" s="38" t="s">
        <v>106</v>
      </c>
      <c r="C43" s="38" t="s">
        <v>57</v>
      </c>
      <c r="D43" s="38"/>
      <c r="E43" s="38" t="s">
        <v>58</v>
      </c>
      <c r="F43" s="39" t="n">
        <v>769</v>
      </c>
      <c r="G43" s="39" t="n">
        <v>167</v>
      </c>
      <c r="H43" s="40" t="n">
        <v>37623.83</v>
      </c>
      <c r="I43" s="40" t="n">
        <v>-5563.83</v>
      </c>
      <c r="J43" s="40" t="n">
        <v>-2590.96</v>
      </c>
      <c r="K43" s="41" t="n">
        <f aca="false">H43+I43+J43</f>
        <v>29469.04</v>
      </c>
      <c r="L43" s="42" t="n">
        <f aca="false">IF($K$1282=0,0,K43/$K$1282)</f>
        <v>0.0024411692349918</v>
      </c>
      <c r="M43" s="43" t="n">
        <f aca="false">IF(F43&lt;=0,0,K43/F43)</f>
        <v>38.3212483745124</v>
      </c>
      <c r="N43" s="40" t="n">
        <v>55.37</v>
      </c>
      <c r="O43" s="44" t="n">
        <v>0.52</v>
      </c>
      <c r="P43" s="43" t="n">
        <f aca="false">O43*'Price Groups'!$B$5</f>
        <v>11.7</v>
      </c>
      <c r="Q43" s="45" t="n">
        <f aca="false">IF(OR(N43="",P43=""),"",(N43-P43)/N43)</f>
        <v>0.78869423875745</v>
      </c>
      <c r="R43" s="46" t="n">
        <v>3</v>
      </c>
      <c r="S43" s="47" t="n">
        <f aca="false">IF(R43="-",0,IFERROR(VLOOKUP(R43,'Price Groups'!$A$13:$C$17,3,FALSE()),0))</f>
        <v>0.16</v>
      </c>
      <c r="T43" s="41" t="n">
        <f aca="false">IF(OR(N43="",R43="-"),"",CEILING(ROUND(N43*(1+S43),2),IF(N43*(1+S43)&lt;100,0.5,IF(N43*(1+S43)&lt;1000,1,5))))</f>
        <v>64.5</v>
      </c>
      <c r="U43" s="45" t="n">
        <f aca="false">IF(OR(T43="",P43=""),"",(T43-P43)/T43)</f>
        <v>0.818604651162791</v>
      </c>
      <c r="V43" s="45" t="n">
        <f aca="false">IF(T43="",0,T43/N43-1)</f>
        <v>0.164890735055084</v>
      </c>
      <c r="W43" s="38" t="s">
        <v>107</v>
      </c>
    </row>
    <row r="44" customFormat="false" ht="15" hidden="false" customHeight="false" outlineLevel="0" collapsed="false">
      <c r="A44" s="19" t="n">
        <v>11</v>
      </c>
      <c r="B44" s="19" t="s">
        <v>108</v>
      </c>
      <c r="C44" s="19" t="s">
        <v>57</v>
      </c>
      <c r="D44" s="19"/>
      <c r="E44" s="19" t="s">
        <v>58</v>
      </c>
      <c r="F44" s="20" t="n">
        <v>766</v>
      </c>
      <c r="G44" s="20" t="n">
        <v>301</v>
      </c>
      <c r="H44" s="21" t="n">
        <v>16298.71</v>
      </c>
      <c r="I44" s="21" t="n">
        <v>-86.79</v>
      </c>
      <c r="J44" s="21" t="n">
        <v>-1885.64</v>
      </c>
      <c r="K44" s="22" t="n">
        <f aca="false">H44+I44+J44</f>
        <v>14326.28</v>
      </c>
      <c r="L44" s="23" t="n">
        <f aca="false">IF($K$1282=0,0,K44/$K$1282)</f>
        <v>0.00118676665367716</v>
      </c>
      <c r="M44" s="24" t="n">
        <f aca="false">IF(F44&lt;=0,0,K44/F44)</f>
        <v>18.7027154046997</v>
      </c>
      <c r="N44" s="21" t="n">
        <v>22</v>
      </c>
      <c r="O44" s="49" t="n">
        <v>0.36</v>
      </c>
      <c r="P44" s="24" t="n">
        <f aca="false">O44*'Price Groups'!$B$5</f>
        <v>8.1</v>
      </c>
      <c r="Q44" s="26" t="n">
        <f aca="false">IF(OR(N44="",P44=""),"",(N44-P44)/N44)</f>
        <v>0.631818181818182</v>
      </c>
      <c r="R44" s="27" t="n">
        <v>5</v>
      </c>
      <c r="S44" s="28" t="n">
        <f aca="false">IF(R44="-",0,IFERROR(VLOOKUP(R44,'Price Groups'!$A$13:$C$17,3,FALSE()),0))</f>
        <v>0.02</v>
      </c>
      <c r="T44" s="22" t="n">
        <f aca="false">IF(OR(N44="",R44="-"),"",CEILING(ROUND(N44*(1+S44),2),IF(N44*(1+S44)&lt;100,0.5,IF(N44*(1+S44)&lt;1000,1,5))))</f>
        <v>22.5</v>
      </c>
      <c r="U44" s="26" t="n">
        <f aca="false">IF(OR(T44="",P44=""),"",(T44-P44)/T44)</f>
        <v>0.64</v>
      </c>
      <c r="V44" s="26" t="n">
        <f aca="false">IF(T44="",0,T44/N44-1)</f>
        <v>0.0227272727272727</v>
      </c>
      <c r="W44" s="19" t="s">
        <v>89</v>
      </c>
    </row>
    <row r="45" customFormat="false" ht="15" hidden="false" customHeight="false" outlineLevel="0" collapsed="false">
      <c r="A45" s="38" t="n">
        <v>12</v>
      </c>
      <c r="B45" s="38" t="s">
        <v>109</v>
      </c>
      <c r="C45" s="38" t="s">
        <v>57</v>
      </c>
      <c r="D45" s="38"/>
      <c r="E45" s="38" t="s">
        <v>58</v>
      </c>
      <c r="F45" s="39" t="n">
        <v>681</v>
      </c>
      <c r="G45" s="39" t="n">
        <v>229</v>
      </c>
      <c r="H45" s="40" t="n">
        <v>72177.84</v>
      </c>
      <c r="I45" s="40" t="n">
        <v>-2873.22</v>
      </c>
      <c r="J45" s="40" t="n">
        <v>-4175.76</v>
      </c>
      <c r="K45" s="41" t="n">
        <f aca="false">H45+I45+J45</f>
        <v>65128.86</v>
      </c>
      <c r="L45" s="42" t="n">
        <f aca="false">IF($K$1282=0,0,K45/$K$1282)</f>
        <v>0.0053951730135114</v>
      </c>
      <c r="M45" s="43" t="n">
        <f aca="false">IF(F45&lt;=0,0,K45/F45)</f>
        <v>95.6370925110132</v>
      </c>
      <c r="N45" s="40" t="n">
        <v>99</v>
      </c>
      <c r="O45" s="44" t="n">
        <v>2.34</v>
      </c>
      <c r="P45" s="43" t="n">
        <f aca="false">O45*'Price Groups'!$B$5</f>
        <v>52.65</v>
      </c>
      <c r="Q45" s="45" t="n">
        <f aca="false">IF(OR(N45="",P45=""),"",(N45-P45)/N45)</f>
        <v>0.468181818181818</v>
      </c>
      <c r="R45" s="46" t="n">
        <v>4</v>
      </c>
      <c r="S45" s="47" t="n">
        <f aca="false">IF(R45="-",0,IFERROR(VLOOKUP(R45,'Price Groups'!$A$13:$C$17,3,FALSE()),0))</f>
        <v>0.15</v>
      </c>
      <c r="T45" s="41" t="n">
        <f aca="false">IF(OR(N45="",R45="-"),"",CEILING(ROUND(N45*(1+S45),2),IF(N45*(1+S45)&lt;100,0.5,IF(N45*(1+S45)&lt;1000,1,5))))</f>
        <v>114</v>
      </c>
      <c r="U45" s="45" t="n">
        <f aca="false">IF(OR(T45="",P45=""),"",(T45-P45)/T45)</f>
        <v>0.538157894736842</v>
      </c>
      <c r="V45" s="45" t="n">
        <f aca="false">IF(T45="",0,T45/N45-1)</f>
        <v>0.151515151515152</v>
      </c>
      <c r="W45" s="38" t="s">
        <v>101</v>
      </c>
    </row>
    <row r="46" customFormat="false" ht="15" hidden="false" customHeight="false" outlineLevel="0" collapsed="false">
      <c r="A46" s="19" t="n">
        <v>13</v>
      </c>
      <c r="B46" s="19" t="s">
        <v>110</v>
      </c>
      <c r="C46" s="19" t="s">
        <v>57</v>
      </c>
      <c r="D46" s="19" t="s">
        <v>111</v>
      </c>
      <c r="E46" s="19" t="s">
        <v>58</v>
      </c>
      <c r="F46" s="20" t="n">
        <v>678</v>
      </c>
      <c r="G46" s="20" t="n">
        <v>264</v>
      </c>
      <c r="H46" s="21" t="n">
        <v>28118</v>
      </c>
      <c r="I46" s="21" t="n">
        <v>-177.49</v>
      </c>
      <c r="J46" s="21" t="n">
        <v>-1965.35</v>
      </c>
      <c r="K46" s="22" t="n">
        <f aca="false">H46+I46+J46</f>
        <v>25975.16</v>
      </c>
      <c r="L46" s="23" t="n">
        <f aca="false">IF($K$1282=0,0,K46/$K$1282)</f>
        <v>0.00215174167417702</v>
      </c>
      <c r="M46" s="24" t="n">
        <f aca="false">IF(F46&lt;=0,0,K46/F46)</f>
        <v>38.3114454277286</v>
      </c>
      <c r="N46" s="21" t="n">
        <v>45</v>
      </c>
      <c r="O46" s="49" t="n">
        <v>1</v>
      </c>
      <c r="P46" s="24" t="n">
        <f aca="false">O46*'Price Groups'!$B$5</f>
        <v>22.5</v>
      </c>
      <c r="Q46" s="26" t="n">
        <f aca="false">IF(OR(N46="",P46=""),"",(N46-P46)/N46)</f>
        <v>0.5</v>
      </c>
      <c r="R46" s="27" t="n">
        <v>5</v>
      </c>
      <c r="S46" s="28" t="n">
        <f aca="false">IF(R46="-",0,IFERROR(VLOOKUP(R46,'Price Groups'!$A$13:$C$17,3,FALSE()),0))</f>
        <v>0.02</v>
      </c>
      <c r="T46" s="22" t="n">
        <f aca="false">IF(OR(N46="",R46="-"),"",CEILING(ROUND(N46*(1+S46),2),IF(N46*(1+S46)&lt;100,0.5,IF(N46*(1+S46)&lt;1000,1,5))))</f>
        <v>46</v>
      </c>
      <c r="U46" s="26" t="n">
        <f aca="false">IF(OR(T46="",P46=""),"",(T46-P46)/T46)</f>
        <v>0.510869565217391</v>
      </c>
      <c r="V46" s="26" t="n">
        <f aca="false">IF(T46="",0,T46/N46-1)</f>
        <v>0.0222222222222221</v>
      </c>
      <c r="W46" s="19" t="s">
        <v>89</v>
      </c>
    </row>
    <row r="47" customFormat="false" ht="15" hidden="false" customHeight="false" outlineLevel="0" collapsed="false">
      <c r="A47" s="38" t="n">
        <v>14</v>
      </c>
      <c r="B47" s="38" t="s">
        <v>112</v>
      </c>
      <c r="C47" s="38" t="s">
        <v>57</v>
      </c>
      <c r="D47" s="38"/>
      <c r="E47" s="38" t="s">
        <v>58</v>
      </c>
      <c r="F47" s="39" t="n">
        <v>653</v>
      </c>
      <c r="G47" s="39" t="n">
        <v>79</v>
      </c>
      <c r="H47" s="40" t="n">
        <v>6407.72</v>
      </c>
      <c r="I47" s="40" t="n">
        <v>-10.55</v>
      </c>
      <c r="J47" s="40" t="n">
        <v>-683.87</v>
      </c>
      <c r="K47" s="41" t="n">
        <f aca="false">H47+I47+J47</f>
        <v>5713.3</v>
      </c>
      <c r="L47" s="42" t="n">
        <f aca="false">IF($K$1282=0,0,K47/$K$1282)</f>
        <v>0.000473280846280661</v>
      </c>
      <c r="M47" s="43" t="n">
        <f aca="false">IF(F47&lt;=0,0,K47/F47)</f>
        <v>8.74931087289433</v>
      </c>
      <c r="N47" s="40" t="n">
        <v>9</v>
      </c>
      <c r="O47" s="44" t="n">
        <v>0.16</v>
      </c>
      <c r="P47" s="43" t="n">
        <f aca="false">O47*'Price Groups'!$B$5</f>
        <v>3.6</v>
      </c>
      <c r="Q47" s="45" t="n">
        <f aca="false">IF(OR(N47="",P47=""),"",(N47-P47)/N47)</f>
        <v>0.6</v>
      </c>
      <c r="R47" s="46" t="n">
        <v>1</v>
      </c>
      <c r="S47" s="47" t="n">
        <f aca="false">IF(R47="-",0,IFERROR(VLOOKUP(R47,'Price Groups'!$A$13:$C$17,3,FALSE()),0))</f>
        <v>0.22</v>
      </c>
      <c r="T47" s="41" t="n">
        <f aca="false">IF(OR(N47="",R47="-"),"",CEILING(ROUND(N47*(1+S47),2),IF(N47*(1+S47)&lt;100,0.5,IF(N47*(1+S47)&lt;1000,1,5))))</f>
        <v>11</v>
      </c>
      <c r="U47" s="45" t="n">
        <f aca="false">IF(OR(T47="",P47=""),"",(T47-P47)/T47)</f>
        <v>0.672727272727273</v>
      </c>
      <c r="V47" s="45" t="n">
        <f aca="false">IF(T47="",0,T47/N47-1)</f>
        <v>0.222222222222222</v>
      </c>
      <c r="W47" s="38" t="s">
        <v>94</v>
      </c>
    </row>
    <row r="48" customFormat="false" ht="15" hidden="false" customHeight="false" outlineLevel="0" collapsed="false">
      <c r="A48" s="19" t="n">
        <v>15</v>
      </c>
      <c r="B48" s="19" t="s">
        <v>113</v>
      </c>
      <c r="C48" s="19" t="s">
        <v>57</v>
      </c>
      <c r="D48" s="19" t="s">
        <v>114</v>
      </c>
      <c r="E48" s="19" t="s">
        <v>58</v>
      </c>
      <c r="F48" s="20" t="n">
        <v>636</v>
      </c>
      <c r="G48" s="20" t="n">
        <v>206</v>
      </c>
      <c r="H48" s="21" t="n">
        <v>204445.59</v>
      </c>
      <c r="I48" s="21" t="n">
        <v>-489.55</v>
      </c>
      <c r="J48" s="21" t="n">
        <v>-21122.11</v>
      </c>
      <c r="K48" s="22" t="n">
        <f aca="false">H48+I48+J48</f>
        <v>182833.93</v>
      </c>
      <c r="L48" s="23" t="n">
        <f aca="false">IF($K$1282=0,0,K48/$K$1282)</f>
        <v>0.0151456771251674</v>
      </c>
      <c r="M48" s="24" t="n">
        <f aca="false">IF(F48&lt;=0,0,K48/F48)</f>
        <v>287.474732704403</v>
      </c>
      <c r="N48" s="21" t="n">
        <v>315.01</v>
      </c>
      <c r="O48" s="49" t="n">
        <v>7.6</v>
      </c>
      <c r="P48" s="24" t="n">
        <f aca="false">O48*'Price Groups'!$B$5</f>
        <v>171</v>
      </c>
      <c r="Q48" s="26" t="n">
        <f aca="false">IF(OR(N48="",P48=""),"",(N48-P48)/N48)</f>
        <v>0.457160090155868</v>
      </c>
      <c r="R48" s="27" t="n">
        <v>2</v>
      </c>
      <c r="S48" s="28" t="n">
        <f aca="false">IF(R48="-",0,IFERROR(VLOOKUP(R48,'Price Groups'!$A$13:$C$17,3,FALSE()),0))</f>
        <v>0.18</v>
      </c>
      <c r="T48" s="22" t="n">
        <f aca="false">IF(OR(N48="",R48="-"),"",CEILING(ROUND(N48*(1+S48),2),IF(N48*(1+S48)&lt;100,0.5,IF(N48*(1+S48)&lt;1000,1,5))))</f>
        <v>372</v>
      </c>
      <c r="U48" s="26" t="n">
        <f aca="false">IF(OR(T48="",P48=""),"",(T48-P48)/T48)</f>
        <v>0.540322580645161</v>
      </c>
      <c r="V48" s="26" t="n">
        <f aca="false">IF(T48="",0,T48/N48-1)</f>
        <v>0.180914891590743</v>
      </c>
      <c r="W48" s="19" t="s">
        <v>115</v>
      </c>
    </row>
    <row r="49" customFormat="false" ht="15" hidden="false" customHeight="false" outlineLevel="0" collapsed="false">
      <c r="A49" s="38" t="n">
        <v>16</v>
      </c>
      <c r="B49" s="38" t="s">
        <v>116</v>
      </c>
      <c r="C49" s="38" t="s">
        <v>57</v>
      </c>
      <c r="D49" s="38"/>
      <c r="E49" s="38" t="s">
        <v>58</v>
      </c>
      <c r="F49" s="39" t="n">
        <v>635</v>
      </c>
      <c r="G49" s="39" t="n">
        <v>69</v>
      </c>
      <c r="H49" s="40" t="n">
        <v>53251.67</v>
      </c>
      <c r="I49" s="40" t="n">
        <v>-4357.54</v>
      </c>
      <c r="J49" s="40" t="n">
        <v>-947.96</v>
      </c>
      <c r="K49" s="41" t="n">
        <f aca="false">H49+I49+J49</f>
        <v>47946.17</v>
      </c>
      <c r="L49" s="42" t="n">
        <f aca="false">IF($K$1282=0,0,K49/$K$1282)</f>
        <v>0.00397178581791897</v>
      </c>
      <c r="M49" s="43" t="n">
        <f aca="false">IF(F49&lt;=0,0,K49/F49)</f>
        <v>75.5057795275591</v>
      </c>
      <c r="N49" s="40" t="n">
        <v>80</v>
      </c>
      <c r="O49" s="44" t="n">
        <v>1.74</v>
      </c>
      <c r="P49" s="43" t="n">
        <f aca="false">O49*'Price Groups'!$B$5</f>
        <v>39.15</v>
      </c>
      <c r="Q49" s="45" t="n">
        <f aca="false">IF(OR(N49="",P49=""),"",(N49-P49)/N49)</f>
        <v>0.510625</v>
      </c>
      <c r="R49" s="46" t="n">
        <v>4</v>
      </c>
      <c r="S49" s="47" t="n">
        <f aca="false">IF(R49="-",0,IFERROR(VLOOKUP(R49,'Price Groups'!$A$13:$C$17,3,FALSE()),0))</f>
        <v>0.15</v>
      </c>
      <c r="T49" s="41" t="n">
        <f aca="false">IF(OR(N49="",R49="-"),"",CEILING(ROUND(N49*(1+S49),2),IF(N49*(1+S49)&lt;100,0.5,IF(N49*(1+S49)&lt;1000,1,5))))</f>
        <v>92</v>
      </c>
      <c r="U49" s="45" t="n">
        <f aca="false">IF(OR(T49="",P49=""),"",(T49-P49)/T49)</f>
        <v>0.57445652173913</v>
      </c>
      <c r="V49" s="45" t="n">
        <f aca="false">IF(T49="",0,T49/N49-1)</f>
        <v>0.15</v>
      </c>
      <c r="W49" s="38" t="s">
        <v>101</v>
      </c>
    </row>
    <row r="50" customFormat="false" ht="15" hidden="false" customHeight="false" outlineLevel="0" collapsed="false">
      <c r="A50" s="19" t="n">
        <v>17</v>
      </c>
      <c r="B50" s="19" t="s">
        <v>117</v>
      </c>
      <c r="C50" s="19" t="s">
        <v>57</v>
      </c>
      <c r="D50" s="19" t="s">
        <v>118</v>
      </c>
      <c r="E50" s="19" t="s">
        <v>58</v>
      </c>
      <c r="F50" s="20" t="n">
        <v>611</v>
      </c>
      <c r="G50" s="20" t="n">
        <v>221</v>
      </c>
      <c r="H50" s="21" t="n">
        <v>28244.5</v>
      </c>
      <c r="I50" s="21" t="n">
        <v>-547.67</v>
      </c>
      <c r="J50" s="21" t="n">
        <v>-1424.91</v>
      </c>
      <c r="K50" s="22" t="n">
        <f aca="false">H50+I50+J50</f>
        <v>26271.92</v>
      </c>
      <c r="L50" s="23" t="n">
        <f aca="false">IF($K$1282=0,0,K50/$K$1282)</f>
        <v>0.00217632480895766</v>
      </c>
      <c r="M50" s="24" t="n">
        <f aca="false">IF(F50&lt;=0,0,K50/F50)</f>
        <v>42.998232405892</v>
      </c>
      <c r="N50" s="21" t="n">
        <v>39.99</v>
      </c>
      <c r="O50" s="49" t="n">
        <v>0.78</v>
      </c>
      <c r="P50" s="24" t="n">
        <f aca="false">O50*'Price Groups'!$B$5</f>
        <v>17.55</v>
      </c>
      <c r="Q50" s="26" t="n">
        <f aca="false">IF(OR(N50="",P50=""),"",(N50-P50)/N50)</f>
        <v>0.561140285071268</v>
      </c>
      <c r="R50" s="27" t="n">
        <v>5</v>
      </c>
      <c r="S50" s="28" t="n">
        <f aca="false">IF(R50="-",0,IFERROR(VLOOKUP(R50,'Price Groups'!$A$13:$C$17,3,FALSE()),0))</f>
        <v>0.02</v>
      </c>
      <c r="T50" s="22" t="n">
        <f aca="false">IF(OR(N50="",R50="-"),"",CEILING(ROUND(N50*(1+S50),2),IF(N50*(1+S50)&lt;100,0.5,IF(N50*(1+S50)&lt;1000,1,5))))</f>
        <v>41</v>
      </c>
      <c r="U50" s="26" t="n">
        <f aca="false">IF(OR(T50="",P50=""),"",(T50-P50)/T50)</f>
        <v>0.571951219512195</v>
      </c>
      <c r="V50" s="26" t="n">
        <f aca="false">IF(T50="",0,T50/N50-1)</f>
        <v>0.0252563140785196</v>
      </c>
      <c r="W50" s="19" t="s">
        <v>89</v>
      </c>
    </row>
    <row r="51" customFormat="false" ht="15" hidden="false" customHeight="false" outlineLevel="0" collapsed="false">
      <c r="A51" s="38" t="n">
        <v>18</v>
      </c>
      <c r="B51" s="38" t="s">
        <v>119</v>
      </c>
      <c r="C51" s="38" t="s">
        <v>57</v>
      </c>
      <c r="D51" s="38"/>
      <c r="E51" s="38" t="s">
        <v>58</v>
      </c>
      <c r="F51" s="39" t="n">
        <v>590</v>
      </c>
      <c r="G51" s="39" t="n">
        <v>348</v>
      </c>
      <c r="H51" s="40" t="n">
        <v>25708.5</v>
      </c>
      <c r="I51" s="40" t="n">
        <v>-253.99</v>
      </c>
      <c r="J51" s="40" t="n">
        <v>-3024.68</v>
      </c>
      <c r="K51" s="41" t="n">
        <f aca="false">H51+I51+J51</f>
        <v>22429.83</v>
      </c>
      <c r="L51" s="42" t="n">
        <f aca="false">IF($K$1282=0,0,K51/$K$1282)</f>
        <v>0.00185805207574105</v>
      </c>
      <c r="M51" s="43" t="n">
        <f aca="false">IF(F51&lt;=0,0,K51/F51)</f>
        <v>38.0166610169492</v>
      </c>
      <c r="N51" s="40" t="n">
        <v>39.99</v>
      </c>
      <c r="O51" s="44" t="n">
        <v>0.49</v>
      </c>
      <c r="P51" s="43" t="n">
        <f aca="false">O51*'Price Groups'!$B$5</f>
        <v>11.025</v>
      </c>
      <c r="Q51" s="45" t="n">
        <f aca="false">IF(OR(N51="",P51=""),"",(N51-P51)/N51)</f>
        <v>0.72430607651913</v>
      </c>
      <c r="R51" s="46" t="n">
        <v>5</v>
      </c>
      <c r="S51" s="47" t="n">
        <f aca="false">IF(R51="-",0,IFERROR(VLOOKUP(R51,'Price Groups'!$A$13:$C$17,3,FALSE()),0))</f>
        <v>0.02</v>
      </c>
      <c r="T51" s="41" t="n">
        <f aca="false">IF(OR(N51="",R51="-"),"",CEILING(ROUND(N51*(1+S51),2),IF(N51*(1+S51)&lt;100,0.5,IF(N51*(1+S51)&lt;1000,1,5))))</f>
        <v>41</v>
      </c>
      <c r="U51" s="45" t="n">
        <f aca="false">IF(OR(T51="",P51=""),"",(T51-P51)/T51)</f>
        <v>0.73109756097561</v>
      </c>
      <c r="V51" s="45" t="n">
        <f aca="false">IF(T51="",0,T51/N51-1)</f>
        <v>0.0252563140785196</v>
      </c>
      <c r="W51" s="38" t="s">
        <v>89</v>
      </c>
    </row>
    <row r="52" customFormat="false" ht="15" hidden="false" customHeight="false" outlineLevel="0" collapsed="false">
      <c r="A52" s="19" t="n">
        <v>19</v>
      </c>
      <c r="B52" s="19" t="s">
        <v>120</v>
      </c>
      <c r="C52" s="19" t="s">
        <v>57</v>
      </c>
      <c r="D52" s="19"/>
      <c r="E52" s="19" t="s">
        <v>58</v>
      </c>
      <c r="F52" s="20" t="n">
        <v>579</v>
      </c>
      <c r="G52" s="20" t="n">
        <v>85</v>
      </c>
      <c r="H52" s="21" t="n">
        <v>3312.69</v>
      </c>
      <c r="I52" s="21" t="n">
        <v>-29.6</v>
      </c>
      <c r="J52" s="21" t="n">
        <v>-234.88</v>
      </c>
      <c r="K52" s="22" t="n">
        <f aca="false">H52+I52+J52</f>
        <v>3048.21</v>
      </c>
      <c r="L52" s="23" t="n">
        <f aca="false">IF($K$1282=0,0,K52/$K$1282)</f>
        <v>0.000252508954271817</v>
      </c>
      <c r="M52" s="24" t="n">
        <f aca="false">IF(F52&lt;=0,0,K52/F52)</f>
        <v>5.26461139896373</v>
      </c>
      <c r="N52" s="21" t="n">
        <v>6</v>
      </c>
      <c r="O52" s="49" t="n">
        <v>0.17</v>
      </c>
      <c r="P52" s="24" t="n">
        <f aca="false">O52*'Price Groups'!$B$5</f>
        <v>3.825</v>
      </c>
      <c r="Q52" s="26" t="n">
        <f aca="false">IF(OR(N52="",P52=""),"",(N52-P52)/N52)</f>
        <v>0.3625</v>
      </c>
      <c r="R52" s="27" t="n">
        <v>1</v>
      </c>
      <c r="S52" s="28" t="n">
        <f aca="false">IF(R52="-",0,IFERROR(VLOOKUP(R52,'Price Groups'!$A$13:$C$17,3,FALSE()),0))</f>
        <v>0.22</v>
      </c>
      <c r="T52" s="22" t="n">
        <f aca="false">IF(OR(N52="",R52="-"),"",CEILING(ROUND(N52*(1+S52),2),IF(N52*(1+S52)&lt;100,0.5,IF(N52*(1+S52)&lt;1000,1,5))))</f>
        <v>7.5</v>
      </c>
      <c r="U52" s="26" t="n">
        <f aca="false">IF(OR(T52="",P52=""),"",(T52-P52)/T52)</f>
        <v>0.49</v>
      </c>
      <c r="V52" s="26" t="n">
        <f aca="false">IF(T52="",0,T52/N52-1)</f>
        <v>0.25</v>
      </c>
      <c r="W52" s="19" t="s">
        <v>94</v>
      </c>
    </row>
    <row r="53" customFormat="false" ht="15" hidden="false" customHeight="false" outlineLevel="0" collapsed="false">
      <c r="A53" s="38" t="n">
        <v>20</v>
      </c>
      <c r="B53" s="38" t="s">
        <v>121</v>
      </c>
      <c r="C53" s="38" t="s">
        <v>57</v>
      </c>
      <c r="D53" s="38"/>
      <c r="E53" s="38" t="s">
        <v>58</v>
      </c>
      <c r="F53" s="39" t="n">
        <v>577</v>
      </c>
      <c r="G53" s="39" t="n">
        <v>164</v>
      </c>
      <c r="H53" s="40" t="n">
        <v>11872.66</v>
      </c>
      <c r="I53" s="40" t="n">
        <v>-105.22</v>
      </c>
      <c r="J53" s="40" t="n">
        <v>-1822.22</v>
      </c>
      <c r="K53" s="41" t="n">
        <f aca="false">H53+I53+J53</f>
        <v>9945.22</v>
      </c>
      <c r="L53" s="42" t="n">
        <f aca="false">IF($K$1282=0,0,K53/$K$1282)</f>
        <v>0.000823846487677411</v>
      </c>
      <c r="M53" s="43" t="n">
        <f aca="false">IF(F53&lt;=0,0,K53/F53)</f>
        <v>17.2360831889081</v>
      </c>
      <c r="N53" s="40" t="n">
        <v>22</v>
      </c>
      <c r="O53" s="44" t="n">
        <v>0.31</v>
      </c>
      <c r="P53" s="43" t="n">
        <f aca="false">O53*'Price Groups'!$B$5</f>
        <v>6.975</v>
      </c>
      <c r="Q53" s="45" t="n">
        <f aca="false">IF(OR(N53="",P53=""),"",(N53-P53)/N53)</f>
        <v>0.682954545454546</v>
      </c>
      <c r="R53" s="46" t="n">
        <v>1</v>
      </c>
      <c r="S53" s="47" t="n">
        <f aca="false">IF(R53="-",0,IFERROR(VLOOKUP(R53,'Price Groups'!$A$13:$C$17,3,FALSE()),0))</f>
        <v>0.22</v>
      </c>
      <c r="T53" s="41" t="n">
        <f aca="false">IF(OR(N53="",R53="-"),"",CEILING(ROUND(N53*(1+S53),2),IF(N53*(1+S53)&lt;100,0.5,IF(N53*(1+S53)&lt;1000,1,5))))</f>
        <v>27</v>
      </c>
      <c r="U53" s="45" t="n">
        <f aca="false">IF(OR(T53="",P53=""),"",(T53-P53)/T53)</f>
        <v>0.741666666666667</v>
      </c>
      <c r="V53" s="45" t="n">
        <f aca="false">IF(T53="",0,T53/N53-1)</f>
        <v>0.227272727272727</v>
      </c>
      <c r="W53" s="38" t="s">
        <v>94</v>
      </c>
    </row>
    <row r="54" customFormat="false" ht="15" hidden="false" customHeight="false" outlineLevel="0" collapsed="false">
      <c r="A54" s="19" t="n">
        <v>21</v>
      </c>
      <c r="B54" s="19" t="s">
        <v>122</v>
      </c>
      <c r="C54" s="19" t="s">
        <v>57</v>
      </c>
      <c r="D54" s="19"/>
      <c r="E54" s="19" t="s">
        <v>58</v>
      </c>
      <c r="F54" s="20" t="n">
        <v>569</v>
      </c>
      <c r="G54" s="20" t="n">
        <v>224</v>
      </c>
      <c r="H54" s="21" t="n">
        <v>34029.91</v>
      </c>
      <c r="I54" s="21" t="n">
        <v>-205</v>
      </c>
      <c r="J54" s="21" t="n">
        <v>-2414.8</v>
      </c>
      <c r="K54" s="22" t="n">
        <f aca="false">H54+I54+J54</f>
        <v>31410.11</v>
      </c>
      <c r="L54" s="23" t="n">
        <f aca="false">IF($K$1282=0,0,K54/$K$1282)</f>
        <v>0.00260196444131564</v>
      </c>
      <c r="M54" s="24" t="n">
        <f aca="false">IF(F54&lt;=0,0,K54/F54)</f>
        <v>55.20230228471</v>
      </c>
      <c r="N54" s="21" t="n">
        <v>44.99</v>
      </c>
      <c r="O54" s="49" t="n">
        <v>1.43</v>
      </c>
      <c r="P54" s="24" t="n">
        <f aca="false">O54*'Price Groups'!$B$5</f>
        <v>32.175</v>
      </c>
      <c r="Q54" s="26" t="n">
        <f aca="false">IF(OR(N54="",P54=""),"",(N54-P54)/N54)</f>
        <v>0.284841075794621</v>
      </c>
      <c r="R54" s="27" t="n">
        <v>2</v>
      </c>
      <c r="S54" s="28" t="n">
        <f aca="false">IF(R54="-",0,IFERROR(VLOOKUP(R54,'Price Groups'!$A$13:$C$17,3,FALSE()),0))</f>
        <v>0.18</v>
      </c>
      <c r="T54" s="22" t="n">
        <f aca="false">IF(OR(N54="",R54="-"),"",CEILING(ROUND(N54*(1+S54),2),IF(N54*(1+S54)&lt;100,0.5,IF(N54*(1+S54)&lt;1000,1,5))))</f>
        <v>53.5</v>
      </c>
      <c r="U54" s="26" t="n">
        <f aca="false">IF(OR(T54="",P54=""),"",(T54-P54)/T54)</f>
        <v>0.398598130841122</v>
      </c>
      <c r="V54" s="26" t="n">
        <f aca="false">IF(T54="",0,T54/N54-1)</f>
        <v>0.189153145143365</v>
      </c>
      <c r="W54" s="19" t="s">
        <v>123</v>
      </c>
    </row>
    <row r="55" customFormat="false" ht="15" hidden="false" customHeight="false" outlineLevel="0" collapsed="false">
      <c r="A55" s="38" t="n">
        <v>22</v>
      </c>
      <c r="B55" s="38" t="s">
        <v>124</v>
      </c>
      <c r="C55" s="38" t="s">
        <v>57</v>
      </c>
      <c r="D55" s="38" t="s">
        <v>125</v>
      </c>
      <c r="E55" s="38" t="s">
        <v>58</v>
      </c>
      <c r="F55" s="39" t="n">
        <v>562</v>
      </c>
      <c r="G55" s="39" t="n">
        <v>73</v>
      </c>
      <c r="H55" s="40" t="n">
        <v>47914.15</v>
      </c>
      <c r="I55" s="40" t="n">
        <v>-13.16</v>
      </c>
      <c r="J55" s="40" t="n">
        <v>-5013.63</v>
      </c>
      <c r="K55" s="41" t="n">
        <f aca="false">H55+I55+J55</f>
        <v>42887.36</v>
      </c>
      <c r="L55" s="42" t="n">
        <f aca="false">IF($K$1282=0,0,K55/$K$1282)</f>
        <v>0.00355272190074797</v>
      </c>
      <c r="M55" s="43" t="n">
        <f aca="false">IF(F55&lt;=0,0,K55/F55)</f>
        <v>76.3120284697509</v>
      </c>
      <c r="N55" s="40" t="n">
        <v>69.99</v>
      </c>
      <c r="O55" s="44" t="n">
        <v>1.6</v>
      </c>
      <c r="P55" s="43" t="n">
        <f aca="false">O55*'Price Groups'!$B$5</f>
        <v>36</v>
      </c>
      <c r="Q55" s="45" t="n">
        <f aca="false">IF(OR(N55="",P55=""),"",(N55-P55)/N55)</f>
        <v>0.485640805829404</v>
      </c>
      <c r="R55" s="46" t="n">
        <v>2</v>
      </c>
      <c r="S55" s="47" t="n">
        <f aca="false">IF(R55="-",0,IFERROR(VLOOKUP(R55,'Price Groups'!$A$13:$C$17,3,FALSE()),0))</f>
        <v>0.18</v>
      </c>
      <c r="T55" s="41" t="n">
        <f aca="false">IF(OR(N55="",R55="-"),"",CEILING(ROUND(N55*(1+S55),2),IF(N55*(1+S55)&lt;100,0.5,IF(N55*(1+S55)&lt;1000,1,5))))</f>
        <v>83</v>
      </c>
      <c r="U55" s="45" t="n">
        <f aca="false">IF(OR(T55="",P55=""),"",(T55-P55)/T55)</f>
        <v>0.566265060240964</v>
      </c>
      <c r="V55" s="45" t="n">
        <f aca="false">IF(T55="",0,T55/N55-1)</f>
        <v>0.185883697671096</v>
      </c>
      <c r="W55" s="38" t="s">
        <v>98</v>
      </c>
    </row>
    <row r="56" customFormat="false" ht="15" hidden="false" customHeight="false" outlineLevel="0" collapsed="false">
      <c r="A56" s="19" t="n">
        <v>23</v>
      </c>
      <c r="B56" s="19" t="s">
        <v>126</v>
      </c>
      <c r="C56" s="19" t="s">
        <v>57</v>
      </c>
      <c r="D56" s="19"/>
      <c r="E56" s="19" t="s">
        <v>58</v>
      </c>
      <c r="F56" s="20" t="n">
        <v>556</v>
      </c>
      <c r="G56" s="20" t="n">
        <v>182</v>
      </c>
      <c r="H56" s="21" t="n">
        <v>66803.6</v>
      </c>
      <c r="I56" s="21" t="n">
        <v>-768.3</v>
      </c>
      <c r="J56" s="21" t="n">
        <v>0</v>
      </c>
      <c r="K56" s="22" t="n">
        <f aca="false">H56+I56+J56</f>
        <v>66035.3</v>
      </c>
      <c r="L56" s="23" t="n">
        <f aca="false">IF($K$1282=0,0,K56/$K$1282)</f>
        <v>0.00547026108700704</v>
      </c>
      <c r="M56" s="24" t="n">
        <f aca="false">IF(F56&lt;=0,0,K56/F56)</f>
        <v>118.768525179856</v>
      </c>
      <c r="N56" s="21" t="n">
        <v>129.8</v>
      </c>
      <c r="O56" s="49" t="n">
        <v>2.35</v>
      </c>
      <c r="P56" s="24" t="n">
        <f aca="false">O56*'Price Groups'!$B$5</f>
        <v>52.875</v>
      </c>
      <c r="Q56" s="26" t="n">
        <f aca="false">IF(OR(N56="",P56=""),"",(N56-P56)/N56)</f>
        <v>0.592642526964561</v>
      </c>
      <c r="R56" s="27" t="n">
        <v>4</v>
      </c>
      <c r="S56" s="28" t="n">
        <f aca="false">IF(R56="-",0,IFERROR(VLOOKUP(R56,'Price Groups'!$A$13:$C$17,3,FALSE()),0))</f>
        <v>0.15</v>
      </c>
      <c r="T56" s="22" t="n">
        <f aca="false">IF(OR(N56="",R56="-"),"",CEILING(ROUND(N56*(1+S56),2),IF(N56*(1+S56)&lt;100,0.5,IF(N56*(1+S56)&lt;1000,1,5))))</f>
        <v>150</v>
      </c>
      <c r="U56" s="26" t="n">
        <f aca="false">IF(OR(T56="",P56=""),"",(T56-P56)/T56)</f>
        <v>0.6475</v>
      </c>
      <c r="V56" s="26" t="n">
        <f aca="false">IF(T56="",0,T56/N56-1)</f>
        <v>0.155624036979969</v>
      </c>
      <c r="W56" s="19" t="s">
        <v>101</v>
      </c>
    </row>
    <row r="57" customFormat="false" ht="15" hidden="false" customHeight="false" outlineLevel="0" collapsed="false">
      <c r="A57" s="38" t="n">
        <v>24</v>
      </c>
      <c r="B57" s="38" t="s">
        <v>127</v>
      </c>
      <c r="C57" s="38" t="s">
        <v>57</v>
      </c>
      <c r="D57" s="38"/>
      <c r="E57" s="38" t="s">
        <v>58</v>
      </c>
      <c r="F57" s="39" t="n">
        <v>552</v>
      </c>
      <c r="G57" s="39" t="n">
        <v>149</v>
      </c>
      <c r="H57" s="40" t="n">
        <v>15852.85</v>
      </c>
      <c r="I57" s="40" t="n">
        <v>-135.58</v>
      </c>
      <c r="J57" s="40" t="n">
        <v>-1105.9</v>
      </c>
      <c r="K57" s="41" t="n">
        <f aca="false">H57+I57+J57</f>
        <v>14611.37</v>
      </c>
      <c r="L57" s="42" t="n">
        <f aca="false">IF($K$1282=0,0,K57/$K$1282)</f>
        <v>0.0012103830638895</v>
      </c>
      <c r="M57" s="43" t="n">
        <f aca="false">IF(F57&lt;=0,0,K57/F57)</f>
        <v>26.4698731884058</v>
      </c>
      <c r="N57" s="40" t="n">
        <v>29.99</v>
      </c>
      <c r="O57" s="44" t="n">
        <v>0.42</v>
      </c>
      <c r="P57" s="43" t="n">
        <f aca="false">O57*'Price Groups'!$B$5</f>
        <v>9.45</v>
      </c>
      <c r="Q57" s="45" t="n">
        <f aca="false">IF(OR(N57="",P57=""),"",(N57-P57)/N57)</f>
        <v>0.68489496498833</v>
      </c>
      <c r="R57" s="46" t="n">
        <v>3</v>
      </c>
      <c r="S57" s="47" t="n">
        <f aca="false">IF(R57="-",0,IFERROR(VLOOKUP(R57,'Price Groups'!$A$13:$C$17,3,FALSE()),0))</f>
        <v>0.16</v>
      </c>
      <c r="T57" s="41" t="n">
        <f aca="false">IF(OR(N57="",R57="-"),"",CEILING(ROUND(N57*(1+S57),2),IF(N57*(1+S57)&lt;100,0.5,IF(N57*(1+S57)&lt;1000,1,5))))</f>
        <v>35</v>
      </c>
      <c r="U57" s="45" t="n">
        <f aca="false">IF(OR(T57="",P57=""),"",(T57-P57)/T57)</f>
        <v>0.73</v>
      </c>
      <c r="V57" s="45" t="n">
        <f aca="false">IF(T57="",0,T57/N57-1)</f>
        <v>0.16705568522841</v>
      </c>
      <c r="W57" s="38" t="s">
        <v>107</v>
      </c>
    </row>
    <row r="58" customFormat="false" ht="15" hidden="false" customHeight="false" outlineLevel="0" collapsed="false">
      <c r="A58" s="19" t="n">
        <v>25</v>
      </c>
      <c r="B58" s="19" t="s">
        <v>128</v>
      </c>
      <c r="C58" s="19" t="s">
        <v>57</v>
      </c>
      <c r="D58" s="19"/>
      <c r="E58" s="19" t="s">
        <v>58</v>
      </c>
      <c r="F58" s="20" t="n">
        <v>543</v>
      </c>
      <c r="G58" s="20" t="n">
        <v>127</v>
      </c>
      <c r="H58" s="21" t="n">
        <v>47964</v>
      </c>
      <c r="I58" s="21" t="n">
        <v>-1891.62</v>
      </c>
      <c r="J58" s="21" t="n">
        <v>-433</v>
      </c>
      <c r="K58" s="22" t="n">
        <f aca="false">H58+I58+J58</f>
        <v>45639.38</v>
      </c>
      <c r="L58" s="23" t="n">
        <f aca="false">IF($K$1282=0,0,K58/$K$1282)</f>
        <v>0.00378069493814865</v>
      </c>
      <c r="M58" s="24" t="n">
        <f aca="false">IF(F58&lt;=0,0,K58/F58)</f>
        <v>84.050423572744</v>
      </c>
      <c r="N58" s="24"/>
      <c r="O58" s="25"/>
      <c r="P58" s="24"/>
      <c r="Q58" s="26" t="str">
        <f aca="false">IF(OR(N58="",P58=""),"",(N58-P58)/N58)</f>
        <v/>
      </c>
      <c r="R58" s="27" t="n">
        <v>2</v>
      </c>
      <c r="S58" s="28" t="n">
        <f aca="false">IF(R58="-",0,IFERROR(VLOOKUP(R58,'Price Groups'!$A$13:$C$17,3,FALSE()),0))</f>
        <v>0.18</v>
      </c>
      <c r="T58" s="22" t="str">
        <f aca="false">IF(OR(N58="",R58="-"),"",CEILING(ROUND(N58*(1+S58),2),IF(N58*(1+S58)&lt;100,0.5,IF(N58*(1+S58)&lt;1000,1,5))))</f>
        <v/>
      </c>
      <c r="U58" s="26" t="str">
        <f aca="false">IF(OR(T58="",P58=""),"",(T58-P58)/T58)</f>
        <v/>
      </c>
      <c r="V58" s="26" t="n">
        <f aca="false">IFERROR(AVERAGE(V59:V66),0)</f>
        <v>0.180604026845638</v>
      </c>
      <c r="W58" s="19" t="s">
        <v>129</v>
      </c>
    </row>
    <row r="59" customFormat="false" ht="15" hidden="false" customHeight="false" outlineLevel="0" collapsed="false">
      <c r="A59" s="29"/>
      <c r="B59" s="29" t="s">
        <v>130</v>
      </c>
      <c r="C59" s="29" t="s">
        <v>61</v>
      </c>
      <c r="D59" s="29" t="s">
        <v>128</v>
      </c>
      <c r="E59" s="29"/>
      <c r="F59" s="29"/>
      <c r="G59" s="29"/>
      <c r="H59" s="29"/>
      <c r="I59" s="29"/>
      <c r="J59" s="29"/>
      <c r="K59" s="29" t="n">
        <v>0</v>
      </c>
      <c r="L59" s="29"/>
      <c r="M59" s="29"/>
      <c r="N59" s="30" t="n">
        <v>75</v>
      </c>
      <c r="O59" s="31"/>
      <c r="P59" s="32"/>
      <c r="Q59" s="33" t="str">
        <f aca="false">IF(OR(N59="",P59=""),"",(N59-P59)/N59)</f>
        <v/>
      </c>
      <c r="R59" s="34" t="n">
        <f aca="false">R58</f>
        <v>2</v>
      </c>
      <c r="S59" s="35" t="n">
        <f aca="false">IF(R59="-",0,IFERROR(VLOOKUP(R59,'Price Groups'!$A$13:$C$17,3,FALSE()),0))</f>
        <v>0.18</v>
      </c>
      <c r="T59" s="36" t="n">
        <f aca="false">IF(OR(N59="",R59="-"),"",CEILING(ROUND(N59*(1+S59),2),IF(N59*(1+S59)&lt;100,0.5,IF(N59*(1+S59)&lt;1000,1,5))))</f>
        <v>88.5</v>
      </c>
      <c r="U59" s="33" t="str">
        <f aca="false">IF(OR(T59="",P59=""),"",(T59-P59)/T59)</f>
        <v/>
      </c>
      <c r="V59" s="33" t="n">
        <f aca="false">IF(T59="",0,T59/N59-1)</f>
        <v>0.18</v>
      </c>
      <c r="W59" s="29" t="s">
        <v>62</v>
      </c>
    </row>
    <row r="60" customFormat="false" ht="15" hidden="false" customHeight="false" outlineLevel="0" collapsed="false">
      <c r="A60" s="29"/>
      <c r="B60" s="29" t="s">
        <v>131</v>
      </c>
      <c r="C60" s="29" t="s">
        <v>61</v>
      </c>
      <c r="D60" s="29" t="s">
        <v>128</v>
      </c>
      <c r="E60" s="29"/>
      <c r="F60" s="29"/>
      <c r="G60" s="29"/>
      <c r="H60" s="29"/>
      <c r="I60" s="29"/>
      <c r="J60" s="29"/>
      <c r="K60" s="29" t="n">
        <v>0</v>
      </c>
      <c r="L60" s="29"/>
      <c r="M60" s="29"/>
      <c r="N60" s="30" t="n">
        <v>149</v>
      </c>
      <c r="O60" s="31"/>
      <c r="P60" s="32"/>
      <c r="Q60" s="33" t="str">
        <f aca="false">IF(OR(N60="",P60=""),"",(N60-P60)/N60)</f>
        <v/>
      </c>
      <c r="R60" s="34" t="n">
        <f aca="false">R58</f>
        <v>2</v>
      </c>
      <c r="S60" s="35" t="n">
        <f aca="false">IF(R60="-",0,IFERROR(VLOOKUP(R60,'Price Groups'!$A$13:$C$17,3,FALSE()),0))</f>
        <v>0.18</v>
      </c>
      <c r="T60" s="36" t="n">
        <f aca="false">IF(OR(N60="",R60="-"),"",CEILING(ROUND(N60*(1+S60),2),IF(N60*(1+S60)&lt;100,0.5,IF(N60*(1+S60)&lt;1000,1,5))))</f>
        <v>176</v>
      </c>
      <c r="U60" s="33" t="str">
        <f aca="false">IF(OR(T60="",P60=""),"",(T60-P60)/T60)</f>
        <v/>
      </c>
      <c r="V60" s="33" t="n">
        <f aca="false">IF(T60="",0,T60/N60-1)</f>
        <v>0.181208053691275</v>
      </c>
      <c r="W60" s="29" t="s">
        <v>62</v>
      </c>
    </row>
    <row r="61" customFormat="false" ht="15" hidden="false" customHeight="false" outlineLevel="0" collapsed="false">
      <c r="A61" s="29"/>
      <c r="B61" s="29" t="s">
        <v>132</v>
      </c>
      <c r="C61" s="29" t="s">
        <v>61</v>
      </c>
      <c r="D61" s="29" t="s">
        <v>128</v>
      </c>
      <c r="E61" s="29"/>
      <c r="F61" s="29"/>
      <c r="G61" s="29"/>
      <c r="H61" s="29"/>
      <c r="I61" s="29"/>
      <c r="J61" s="29"/>
      <c r="K61" s="29" t="n">
        <v>0</v>
      </c>
      <c r="L61" s="29"/>
      <c r="M61" s="29"/>
      <c r="N61" s="30" t="n">
        <v>75</v>
      </c>
      <c r="O61" s="31"/>
      <c r="P61" s="32"/>
      <c r="Q61" s="33" t="str">
        <f aca="false">IF(OR(N61="",P61=""),"",(N61-P61)/N61)</f>
        <v/>
      </c>
      <c r="R61" s="34" t="n">
        <f aca="false">R58</f>
        <v>2</v>
      </c>
      <c r="S61" s="35" t="n">
        <f aca="false">IF(R61="-",0,IFERROR(VLOOKUP(R61,'Price Groups'!$A$13:$C$17,3,FALSE()),0))</f>
        <v>0.18</v>
      </c>
      <c r="T61" s="36" t="n">
        <f aca="false">IF(OR(N61="",R61="-"),"",CEILING(ROUND(N61*(1+S61),2),IF(N61*(1+S61)&lt;100,0.5,IF(N61*(1+S61)&lt;1000,1,5))))</f>
        <v>88.5</v>
      </c>
      <c r="U61" s="33" t="str">
        <f aca="false">IF(OR(T61="",P61=""),"",(T61-P61)/T61)</f>
        <v/>
      </c>
      <c r="V61" s="33" t="n">
        <f aca="false">IF(T61="",0,T61/N61-1)</f>
        <v>0.18</v>
      </c>
      <c r="W61" s="29" t="s">
        <v>62</v>
      </c>
    </row>
    <row r="62" customFormat="false" ht="15" hidden="false" customHeight="false" outlineLevel="0" collapsed="false">
      <c r="A62" s="29"/>
      <c r="B62" s="29" t="s">
        <v>133</v>
      </c>
      <c r="C62" s="29" t="s">
        <v>61</v>
      </c>
      <c r="D62" s="29" t="s">
        <v>128</v>
      </c>
      <c r="E62" s="29"/>
      <c r="F62" s="29"/>
      <c r="G62" s="29"/>
      <c r="H62" s="29"/>
      <c r="I62" s="29"/>
      <c r="J62" s="29"/>
      <c r="K62" s="29" t="n">
        <v>0</v>
      </c>
      <c r="L62" s="29"/>
      <c r="M62" s="29"/>
      <c r="N62" s="30" t="n">
        <v>75</v>
      </c>
      <c r="O62" s="31"/>
      <c r="P62" s="32"/>
      <c r="Q62" s="33" t="str">
        <f aca="false">IF(OR(N62="",P62=""),"",(N62-P62)/N62)</f>
        <v/>
      </c>
      <c r="R62" s="34" t="n">
        <f aca="false">R58</f>
        <v>2</v>
      </c>
      <c r="S62" s="35" t="n">
        <f aca="false">IF(R62="-",0,IFERROR(VLOOKUP(R62,'Price Groups'!$A$13:$C$17,3,FALSE()),0))</f>
        <v>0.18</v>
      </c>
      <c r="T62" s="36" t="n">
        <f aca="false">IF(OR(N62="",R62="-"),"",CEILING(ROUND(N62*(1+S62),2),IF(N62*(1+S62)&lt;100,0.5,IF(N62*(1+S62)&lt;1000,1,5))))</f>
        <v>88.5</v>
      </c>
      <c r="U62" s="33" t="str">
        <f aca="false">IF(OR(T62="",P62=""),"",(T62-P62)/T62)</f>
        <v/>
      </c>
      <c r="V62" s="33" t="n">
        <f aca="false">IF(T62="",0,T62/N62-1)</f>
        <v>0.18</v>
      </c>
      <c r="W62" s="29" t="s">
        <v>62</v>
      </c>
    </row>
    <row r="63" customFormat="false" ht="15" hidden="false" customHeight="false" outlineLevel="0" collapsed="false">
      <c r="A63" s="29"/>
      <c r="B63" s="29" t="s">
        <v>134</v>
      </c>
      <c r="C63" s="29" t="s">
        <v>61</v>
      </c>
      <c r="D63" s="29" t="s">
        <v>128</v>
      </c>
      <c r="E63" s="29"/>
      <c r="F63" s="29"/>
      <c r="G63" s="29"/>
      <c r="H63" s="29"/>
      <c r="I63" s="29"/>
      <c r="J63" s="29"/>
      <c r="K63" s="29" t="n">
        <v>0</v>
      </c>
      <c r="L63" s="29"/>
      <c r="M63" s="29"/>
      <c r="N63" s="30" t="n">
        <v>75</v>
      </c>
      <c r="O63" s="31"/>
      <c r="P63" s="32"/>
      <c r="Q63" s="33" t="str">
        <f aca="false">IF(OR(N63="",P63=""),"",(N63-P63)/N63)</f>
        <v/>
      </c>
      <c r="R63" s="34" t="n">
        <f aca="false">R58</f>
        <v>2</v>
      </c>
      <c r="S63" s="35" t="n">
        <f aca="false">IF(R63="-",0,IFERROR(VLOOKUP(R63,'Price Groups'!$A$13:$C$17,3,FALSE()),0))</f>
        <v>0.18</v>
      </c>
      <c r="T63" s="36" t="n">
        <f aca="false">IF(OR(N63="",R63="-"),"",CEILING(ROUND(N63*(1+S63),2),IF(N63*(1+S63)&lt;100,0.5,IF(N63*(1+S63)&lt;1000,1,5))))</f>
        <v>88.5</v>
      </c>
      <c r="U63" s="33" t="str">
        <f aca="false">IF(OR(T63="",P63=""),"",(T63-P63)/T63)</f>
        <v/>
      </c>
      <c r="V63" s="33" t="n">
        <f aca="false">IF(T63="",0,T63/N63-1)</f>
        <v>0.18</v>
      </c>
      <c r="W63" s="29" t="s">
        <v>62</v>
      </c>
    </row>
    <row r="64" customFormat="false" ht="15" hidden="false" customHeight="false" outlineLevel="0" collapsed="false">
      <c r="A64" s="29"/>
      <c r="B64" s="29" t="s">
        <v>135</v>
      </c>
      <c r="C64" s="29" t="s">
        <v>61</v>
      </c>
      <c r="D64" s="29" t="s">
        <v>128</v>
      </c>
      <c r="E64" s="29"/>
      <c r="F64" s="29"/>
      <c r="G64" s="29"/>
      <c r="H64" s="29"/>
      <c r="I64" s="29"/>
      <c r="J64" s="29"/>
      <c r="K64" s="29" t="n">
        <v>0</v>
      </c>
      <c r="L64" s="29"/>
      <c r="M64" s="29"/>
      <c r="N64" s="30" t="n">
        <v>149</v>
      </c>
      <c r="O64" s="31"/>
      <c r="P64" s="32"/>
      <c r="Q64" s="33" t="str">
        <f aca="false">IF(OR(N64="",P64=""),"",(N64-P64)/N64)</f>
        <v/>
      </c>
      <c r="R64" s="34" t="n">
        <f aca="false">R58</f>
        <v>2</v>
      </c>
      <c r="S64" s="35" t="n">
        <f aca="false">IF(R64="-",0,IFERROR(VLOOKUP(R64,'Price Groups'!$A$13:$C$17,3,FALSE()),0))</f>
        <v>0.18</v>
      </c>
      <c r="T64" s="36" t="n">
        <f aca="false">IF(OR(N64="",R64="-"),"",CEILING(ROUND(N64*(1+S64),2),IF(N64*(1+S64)&lt;100,0.5,IF(N64*(1+S64)&lt;1000,1,5))))</f>
        <v>176</v>
      </c>
      <c r="U64" s="33" t="str">
        <f aca="false">IF(OR(T64="",P64=""),"",(T64-P64)/T64)</f>
        <v/>
      </c>
      <c r="V64" s="33" t="n">
        <f aca="false">IF(T64="",0,T64/N64-1)</f>
        <v>0.181208053691275</v>
      </c>
      <c r="W64" s="29" t="s">
        <v>62</v>
      </c>
    </row>
    <row r="65" customFormat="false" ht="15" hidden="false" customHeight="false" outlineLevel="0" collapsed="false">
      <c r="A65" s="29"/>
      <c r="B65" s="29" t="s">
        <v>136</v>
      </c>
      <c r="C65" s="29" t="s">
        <v>61</v>
      </c>
      <c r="D65" s="29" t="s">
        <v>128</v>
      </c>
      <c r="E65" s="29"/>
      <c r="F65" s="29"/>
      <c r="G65" s="29"/>
      <c r="H65" s="29"/>
      <c r="I65" s="29"/>
      <c r="J65" s="29"/>
      <c r="K65" s="29" t="n">
        <v>0</v>
      </c>
      <c r="L65" s="29"/>
      <c r="M65" s="29"/>
      <c r="N65" s="30" t="n">
        <v>149</v>
      </c>
      <c r="O65" s="31"/>
      <c r="P65" s="32"/>
      <c r="Q65" s="33" t="str">
        <f aca="false">IF(OR(N65="",P65=""),"",(N65-P65)/N65)</f>
        <v/>
      </c>
      <c r="R65" s="34" t="n">
        <f aca="false">R58</f>
        <v>2</v>
      </c>
      <c r="S65" s="35" t="n">
        <f aca="false">IF(R65="-",0,IFERROR(VLOOKUP(R65,'Price Groups'!$A$13:$C$17,3,FALSE()),0))</f>
        <v>0.18</v>
      </c>
      <c r="T65" s="36" t="n">
        <f aca="false">IF(OR(N65="",R65="-"),"",CEILING(ROUND(N65*(1+S65),2),IF(N65*(1+S65)&lt;100,0.5,IF(N65*(1+S65)&lt;1000,1,5))))</f>
        <v>176</v>
      </c>
      <c r="U65" s="33" t="str">
        <f aca="false">IF(OR(T65="",P65=""),"",(T65-P65)/T65)</f>
        <v/>
      </c>
      <c r="V65" s="33" t="n">
        <f aca="false">IF(T65="",0,T65/N65-1)</f>
        <v>0.181208053691275</v>
      </c>
      <c r="W65" s="29" t="s">
        <v>62</v>
      </c>
    </row>
    <row r="66" customFormat="false" ht="15" hidden="false" customHeight="false" outlineLevel="0" collapsed="false">
      <c r="A66" s="29"/>
      <c r="B66" s="29" t="s">
        <v>137</v>
      </c>
      <c r="C66" s="29" t="s">
        <v>61</v>
      </c>
      <c r="D66" s="29" t="s">
        <v>128</v>
      </c>
      <c r="E66" s="29"/>
      <c r="F66" s="29"/>
      <c r="G66" s="29"/>
      <c r="H66" s="29"/>
      <c r="I66" s="29"/>
      <c r="J66" s="29"/>
      <c r="K66" s="29" t="n">
        <v>0</v>
      </c>
      <c r="L66" s="29"/>
      <c r="M66" s="29"/>
      <c r="N66" s="30" t="n">
        <v>149</v>
      </c>
      <c r="O66" s="31"/>
      <c r="P66" s="32"/>
      <c r="Q66" s="33" t="str">
        <f aca="false">IF(OR(N66="",P66=""),"",(N66-P66)/N66)</f>
        <v/>
      </c>
      <c r="R66" s="34" t="n">
        <f aca="false">R58</f>
        <v>2</v>
      </c>
      <c r="S66" s="35" t="n">
        <f aca="false">IF(R66="-",0,IFERROR(VLOOKUP(R66,'Price Groups'!$A$13:$C$17,3,FALSE()),0))</f>
        <v>0.18</v>
      </c>
      <c r="T66" s="36" t="n">
        <f aca="false">IF(OR(N66="",R66="-"),"",CEILING(ROUND(N66*(1+S66),2),IF(N66*(1+S66)&lt;100,0.5,IF(N66*(1+S66)&lt;1000,1,5))))</f>
        <v>176</v>
      </c>
      <c r="U66" s="33" t="str">
        <f aca="false">IF(OR(T66="",P66=""),"",(T66-P66)/T66)</f>
        <v/>
      </c>
      <c r="V66" s="33" t="n">
        <f aca="false">IF(T66="",0,T66/N66-1)</f>
        <v>0.181208053691275</v>
      </c>
      <c r="W66" s="29" t="s">
        <v>62</v>
      </c>
    </row>
    <row r="67" customFormat="false" ht="15" hidden="false" customHeight="false" outlineLevel="0" collapsed="false">
      <c r="A67" s="38" t="n">
        <v>26</v>
      </c>
      <c r="B67" s="38" t="s">
        <v>138</v>
      </c>
      <c r="C67" s="38" t="s">
        <v>57</v>
      </c>
      <c r="D67" s="38"/>
      <c r="E67" s="38" t="s">
        <v>58</v>
      </c>
      <c r="F67" s="39" t="n">
        <v>536</v>
      </c>
      <c r="G67" s="39" t="n">
        <v>222</v>
      </c>
      <c r="H67" s="40" t="n">
        <v>13266.58</v>
      </c>
      <c r="I67" s="40" t="n">
        <v>-160.78</v>
      </c>
      <c r="J67" s="40" t="n">
        <v>-1292.44</v>
      </c>
      <c r="K67" s="41" t="n">
        <f aca="false">H67+I67+J67</f>
        <v>11813.36</v>
      </c>
      <c r="L67" s="42" t="n">
        <f aca="false">IF($K$1282=0,0,K67/$K$1282)</f>
        <v>0.000978600286737631</v>
      </c>
      <c r="M67" s="43" t="n">
        <f aca="false">IF(F67&lt;=0,0,K67/F67)</f>
        <v>22.0398507462687</v>
      </c>
      <c r="N67" s="40" t="n">
        <v>29.99</v>
      </c>
      <c r="O67" s="44" t="n">
        <v>0.28</v>
      </c>
      <c r="P67" s="43" t="n">
        <f aca="false">O67*'Price Groups'!$B$5</f>
        <v>6.3</v>
      </c>
      <c r="Q67" s="45" t="n">
        <f aca="false">IF(OR(N67="",P67=""),"",(N67-P67)/N67)</f>
        <v>0.789929976658886</v>
      </c>
      <c r="R67" s="46" t="n">
        <v>5</v>
      </c>
      <c r="S67" s="47" t="n">
        <f aca="false">IF(R67="-",0,IFERROR(VLOOKUP(R67,'Price Groups'!$A$13:$C$17,3,FALSE()),0))</f>
        <v>0.02</v>
      </c>
      <c r="T67" s="41" t="n">
        <f aca="false">IF(OR(N67="",R67="-"),"",CEILING(ROUND(N67*(1+S67),2),IF(N67*(1+S67)&lt;100,0.5,IF(N67*(1+S67)&lt;1000,1,5))))</f>
        <v>31</v>
      </c>
      <c r="U67" s="45" t="n">
        <f aca="false">IF(OR(T67="",P67=""),"",(T67-P67)/T67)</f>
        <v>0.796774193548387</v>
      </c>
      <c r="V67" s="45" t="n">
        <f aca="false">IF(T67="",0,T67/N67-1)</f>
        <v>0.033677892630877</v>
      </c>
      <c r="W67" s="38" t="s">
        <v>89</v>
      </c>
    </row>
    <row r="68" customFormat="false" ht="15" hidden="false" customHeight="false" outlineLevel="0" collapsed="false">
      <c r="A68" s="19" t="n">
        <v>27</v>
      </c>
      <c r="B68" s="19" t="s">
        <v>139</v>
      </c>
      <c r="C68" s="19" t="s">
        <v>57</v>
      </c>
      <c r="D68" s="19" t="s">
        <v>140</v>
      </c>
      <c r="E68" s="19" t="s">
        <v>58</v>
      </c>
      <c r="F68" s="20" t="n">
        <v>531</v>
      </c>
      <c r="G68" s="20" t="n">
        <v>185</v>
      </c>
      <c r="H68" s="21" t="n">
        <v>12332.66</v>
      </c>
      <c r="I68" s="21" t="n">
        <v>-78.68</v>
      </c>
      <c r="J68" s="21" t="n">
        <v>-249.96</v>
      </c>
      <c r="K68" s="22" t="n">
        <f aca="false">H68+I68+J68</f>
        <v>12004.02</v>
      </c>
      <c r="L68" s="23" t="n">
        <f aca="false">IF($K$1282=0,0,K68/$K$1282)</f>
        <v>0.000994394263275161</v>
      </c>
      <c r="M68" s="24" t="n">
        <f aca="false">IF(F68&lt;=0,0,K68/F68)</f>
        <v>22.6064406779661</v>
      </c>
      <c r="N68" s="21" t="n">
        <v>24.99</v>
      </c>
      <c r="O68" s="49" t="n">
        <v>0.42</v>
      </c>
      <c r="P68" s="24" t="n">
        <f aca="false">O68*'Price Groups'!$B$5</f>
        <v>9.45</v>
      </c>
      <c r="Q68" s="26" t="n">
        <f aca="false">IF(OR(N68="",P68=""),"",(N68-P68)/N68)</f>
        <v>0.621848739495798</v>
      </c>
      <c r="R68" s="27" t="n">
        <v>5</v>
      </c>
      <c r="S68" s="28" t="n">
        <f aca="false">IF(R68="-",0,IFERROR(VLOOKUP(R68,'Price Groups'!$A$13:$C$17,3,FALSE()),0))</f>
        <v>0.02</v>
      </c>
      <c r="T68" s="22" t="n">
        <f aca="false">IF(OR(N68="",R68="-"),"",CEILING(ROUND(N68*(1+S68),2),IF(N68*(1+S68)&lt;100,0.5,IF(N68*(1+S68)&lt;1000,1,5))))</f>
        <v>25.5</v>
      </c>
      <c r="U68" s="26" t="n">
        <f aca="false">IF(OR(T68="",P68=""),"",(T68-P68)/T68)</f>
        <v>0.629411764705882</v>
      </c>
      <c r="V68" s="26" t="n">
        <f aca="false">IF(T68="",0,T68/N68-1)</f>
        <v>0.0204081632653061</v>
      </c>
      <c r="W68" s="19" t="s">
        <v>89</v>
      </c>
    </row>
    <row r="69" customFormat="false" ht="15" hidden="false" customHeight="false" outlineLevel="0" collapsed="false">
      <c r="A69" s="38" t="n">
        <v>28</v>
      </c>
      <c r="B69" s="38" t="s">
        <v>141</v>
      </c>
      <c r="C69" s="38" t="s">
        <v>57</v>
      </c>
      <c r="D69" s="38"/>
      <c r="E69" s="38" t="s">
        <v>58</v>
      </c>
      <c r="F69" s="39" t="n">
        <v>518</v>
      </c>
      <c r="G69" s="39" t="n">
        <v>292</v>
      </c>
      <c r="H69" s="40" t="n">
        <v>24295.7</v>
      </c>
      <c r="I69" s="40" t="n">
        <v>-147.24</v>
      </c>
      <c r="J69" s="40" t="n">
        <v>-3324.1</v>
      </c>
      <c r="K69" s="41" t="n">
        <f aca="false">H69+I69+J69</f>
        <v>20824.36</v>
      </c>
      <c r="L69" s="42" t="n">
        <f aca="false">IF($K$1282=0,0,K69/$K$1282)</f>
        <v>0.00172505744911927</v>
      </c>
      <c r="M69" s="43" t="n">
        <f aca="false">IF(F69&lt;=0,0,K69/F69)</f>
        <v>40.2014671814672</v>
      </c>
      <c r="N69" s="40" t="n">
        <v>42.9</v>
      </c>
      <c r="O69" s="44" t="n">
        <v>0.4</v>
      </c>
      <c r="P69" s="43" t="n">
        <f aca="false">O69*'Price Groups'!$B$5</f>
        <v>9</v>
      </c>
      <c r="Q69" s="45" t="n">
        <f aca="false">IF(OR(N69="",P69=""),"",(N69-P69)/N69)</f>
        <v>0.79020979020979</v>
      </c>
      <c r="R69" s="46" t="n">
        <v>5</v>
      </c>
      <c r="S69" s="47" t="n">
        <f aca="false">IF(R69="-",0,IFERROR(VLOOKUP(R69,'Price Groups'!$A$13:$C$17,3,FALSE()),0))</f>
        <v>0.02</v>
      </c>
      <c r="T69" s="41" t="n">
        <f aca="false">IF(OR(N69="",R69="-"),"",CEILING(ROUND(N69*(1+S69),2),IF(N69*(1+S69)&lt;100,0.5,IF(N69*(1+S69)&lt;1000,1,5))))</f>
        <v>44</v>
      </c>
      <c r="U69" s="45" t="n">
        <f aca="false">IF(OR(T69="",P69=""),"",(T69-P69)/T69)</f>
        <v>0.795454545454545</v>
      </c>
      <c r="V69" s="45" t="n">
        <f aca="false">IF(T69="",0,T69/N69-1)</f>
        <v>0.0256410256410258</v>
      </c>
      <c r="W69" s="38" t="s">
        <v>89</v>
      </c>
    </row>
    <row r="70" customFormat="false" ht="15" hidden="false" customHeight="false" outlineLevel="0" collapsed="false">
      <c r="A70" s="19" t="n">
        <v>29</v>
      </c>
      <c r="B70" s="19" t="s">
        <v>142</v>
      </c>
      <c r="C70" s="19" t="s">
        <v>57</v>
      </c>
      <c r="D70" s="19"/>
      <c r="E70" s="19" t="s">
        <v>58</v>
      </c>
      <c r="F70" s="20" t="n">
        <v>515</v>
      </c>
      <c r="G70" s="20" t="n">
        <v>115</v>
      </c>
      <c r="H70" s="21" t="n">
        <v>32636.14</v>
      </c>
      <c r="I70" s="21" t="n">
        <v>-258.51</v>
      </c>
      <c r="J70" s="21" t="n">
        <v>-2857.91</v>
      </c>
      <c r="K70" s="22" t="n">
        <f aca="false">H70+I70+J70</f>
        <v>29519.72</v>
      </c>
      <c r="L70" s="23" t="n">
        <f aca="false">IF($K$1282=0,0,K70/$K$1282)</f>
        <v>0.00244536748701594</v>
      </c>
      <c r="M70" s="24" t="n">
        <f aca="false">IF(F70&lt;=0,0,K70/F70)</f>
        <v>57.3198446601942</v>
      </c>
      <c r="N70" s="21" t="n">
        <v>99</v>
      </c>
      <c r="O70" s="49" t="n">
        <v>2.2</v>
      </c>
      <c r="P70" s="24" t="n">
        <f aca="false">O70*'Price Groups'!$B$5</f>
        <v>49.5</v>
      </c>
      <c r="Q70" s="26" t="n">
        <f aca="false">IF(OR(N70="",P70=""),"",(N70-P70)/N70)</f>
        <v>0.5</v>
      </c>
      <c r="R70" s="27" t="n">
        <v>3</v>
      </c>
      <c r="S70" s="28" t="n">
        <f aca="false">IF(R70="-",0,IFERROR(VLOOKUP(R70,'Price Groups'!$A$13:$C$17,3,FALSE()),0))</f>
        <v>0.16</v>
      </c>
      <c r="T70" s="22" t="n">
        <f aca="false">IF(OR(N70="",R70="-"),"",CEILING(ROUND(N70*(1+S70),2),IF(N70*(1+S70)&lt;100,0.5,IF(N70*(1+S70)&lt;1000,1,5))))</f>
        <v>115</v>
      </c>
      <c r="U70" s="26" t="n">
        <f aca="false">IF(OR(T70="",P70=""),"",(T70-P70)/T70)</f>
        <v>0.569565217391304</v>
      </c>
      <c r="V70" s="26" t="n">
        <f aca="false">IF(T70="",0,T70/N70-1)</f>
        <v>0.161616161616162</v>
      </c>
      <c r="W70" s="19" t="s">
        <v>107</v>
      </c>
    </row>
    <row r="71" customFormat="false" ht="15" hidden="false" customHeight="false" outlineLevel="0" collapsed="false">
      <c r="A71" s="38" t="n">
        <v>30</v>
      </c>
      <c r="B71" s="38" t="s">
        <v>143</v>
      </c>
      <c r="C71" s="38" t="s">
        <v>57</v>
      </c>
      <c r="D71" s="38"/>
      <c r="E71" s="38" t="s">
        <v>58</v>
      </c>
      <c r="F71" s="39" t="n">
        <v>500</v>
      </c>
      <c r="G71" s="39" t="n">
        <v>253</v>
      </c>
      <c r="H71" s="40" t="n">
        <v>66610.73</v>
      </c>
      <c r="I71" s="40" t="n">
        <v>-3129.92</v>
      </c>
      <c r="J71" s="40" t="n">
        <v>-4059.81</v>
      </c>
      <c r="K71" s="41" t="n">
        <f aca="false">H71+I71+J71</f>
        <v>59421</v>
      </c>
      <c r="L71" s="42" t="n">
        <f aca="false">IF($K$1282=0,0,K71/$K$1282)</f>
        <v>0.00492234280833199</v>
      </c>
      <c r="M71" s="43" t="n">
        <f aca="false">IF(F71&lt;=0,0,K71/F71)</f>
        <v>118.842</v>
      </c>
      <c r="N71" s="40" t="n">
        <v>137.99</v>
      </c>
      <c r="O71" s="44" t="n">
        <v>2.8</v>
      </c>
      <c r="P71" s="43" t="n">
        <f aca="false">O71*'Price Groups'!$B$5</f>
        <v>63</v>
      </c>
      <c r="Q71" s="45" t="n">
        <f aca="false">IF(OR(N71="",P71=""),"",(N71-P71)/N71)</f>
        <v>0.543445177186753</v>
      </c>
      <c r="R71" s="46" t="n">
        <v>4</v>
      </c>
      <c r="S71" s="47" t="n">
        <f aca="false">IF(R71="-",0,IFERROR(VLOOKUP(R71,'Price Groups'!$A$13:$C$17,3,FALSE()),0))</f>
        <v>0.15</v>
      </c>
      <c r="T71" s="41" t="n">
        <f aca="false">IF(OR(N71="",R71="-"),"",CEILING(ROUND(N71*(1+S71),2),IF(N71*(1+S71)&lt;100,0.5,IF(N71*(1+S71)&lt;1000,1,5))))</f>
        <v>159</v>
      </c>
      <c r="U71" s="45" t="n">
        <f aca="false">IF(OR(T71="",P71=""),"",(T71-P71)/T71)</f>
        <v>0.60377358490566</v>
      </c>
      <c r="V71" s="45" t="n">
        <f aca="false">IF(T71="",0,T71/N71-1)</f>
        <v>0.152257409957243</v>
      </c>
      <c r="W71" s="38" t="s">
        <v>101</v>
      </c>
    </row>
    <row r="72" customFormat="false" ht="15" hidden="false" customHeight="false" outlineLevel="0" collapsed="false">
      <c r="A72" s="19" t="n">
        <v>31</v>
      </c>
      <c r="B72" s="19" t="s">
        <v>144</v>
      </c>
      <c r="C72" s="19" t="s">
        <v>57</v>
      </c>
      <c r="D72" s="19"/>
      <c r="E72" s="19" t="s">
        <v>58</v>
      </c>
      <c r="F72" s="20" t="n">
        <v>498</v>
      </c>
      <c r="G72" s="20" t="n">
        <v>233</v>
      </c>
      <c r="H72" s="21" t="n">
        <v>18631.25</v>
      </c>
      <c r="I72" s="21" t="n">
        <v>-119.45</v>
      </c>
      <c r="J72" s="21" t="n">
        <v>-1305.68</v>
      </c>
      <c r="K72" s="22" t="n">
        <f aca="false">H72+I72+J72</f>
        <v>17206.12</v>
      </c>
      <c r="L72" s="23" t="n">
        <f aca="false">IF($K$1282=0,0,K72/$K$1282)</f>
        <v>0.00142532810018844</v>
      </c>
      <c r="M72" s="24" t="n">
        <f aca="false">IF(F72&lt;=0,0,K72/F72)</f>
        <v>34.5504417670683</v>
      </c>
      <c r="N72" s="21" t="n">
        <v>44.99</v>
      </c>
      <c r="O72" s="49" t="n">
        <v>0.74</v>
      </c>
      <c r="P72" s="24" t="n">
        <f aca="false">O72*'Price Groups'!$B$5</f>
        <v>16.65</v>
      </c>
      <c r="Q72" s="26" t="n">
        <f aca="false">IF(OR(N72="",P72=""),"",(N72-P72)/N72)</f>
        <v>0.629917759502112</v>
      </c>
      <c r="R72" s="27" t="n">
        <v>5</v>
      </c>
      <c r="S72" s="28" t="n">
        <f aca="false">IF(R72="-",0,IFERROR(VLOOKUP(R72,'Price Groups'!$A$13:$C$17,3,FALSE()),0))</f>
        <v>0.02</v>
      </c>
      <c r="T72" s="22" t="n">
        <f aca="false">IF(OR(N72="",R72="-"),"",CEILING(ROUND(N72*(1+S72),2),IF(N72*(1+S72)&lt;100,0.5,IF(N72*(1+S72)&lt;1000,1,5))))</f>
        <v>46</v>
      </c>
      <c r="U72" s="26" t="n">
        <f aca="false">IF(OR(T72="",P72=""),"",(T72-P72)/T72)</f>
        <v>0.63804347826087</v>
      </c>
      <c r="V72" s="26" t="n">
        <f aca="false">IF(T72="",0,T72/N72-1)</f>
        <v>0.0224494332073795</v>
      </c>
      <c r="W72" s="19" t="s">
        <v>89</v>
      </c>
    </row>
    <row r="73" customFormat="false" ht="15" hidden="false" customHeight="false" outlineLevel="0" collapsed="false">
      <c r="A73" s="38" t="n">
        <v>32</v>
      </c>
      <c r="B73" s="38" t="s">
        <v>145</v>
      </c>
      <c r="C73" s="38" t="s">
        <v>57</v>
      </c>
      <c r="D73" s="38"/>
      <c r="E73" s="38" t="s">
        <v>58</v>
      </c>
      <c r="F73" s="39" t="n">
        <v>489</v>
      </c>
      <c r="G73" s="39" t="n">
        <v>333</v>
      </c>
      <c r="H73" s="40" t="n">
        <v>195582.9</v>
      </c>
      <c r="I73" s="40" t="n">
        <v>-2192.4</v>
      </c>
      <c r="J73" s="40" t="n">
        <v>-21199.65</v>
      </c>
      <c r="K73" s="41" t="n">
        <f aca="false">H73+I73+J73</f>
        <v>172190.85</v>
      </c>
      <c r="L73" s="42" t="n">
        <f aca="false">IF($K$1282=0,0,K73/$K$1282)</f>
        <v>0.014264021005336</v>
      </c>
      <c r="M73" s="43" t="n">
        <f aca="false">IF(F73&lt;=0,0,K73/F73)</f>
        <v>352.128527607362</v>
      </c>
      <c r="N73" s="40" t="n">
        <v>405.9</v>
      </c>
      <c r="O73" s="44" t="n">
        <v>7.27</v>
      </c>
      <c r="P73" s="43" t="n">
        <f aca="false">O73*'Price Groups'!$B$5</f>
        <v>163.575</v>
      </c>
      <c r="Q73" s="45" t="n">
        <f aca="false">IF(OR(N73="",P73=""),"",(N73-P73)/N73)</f>
        <v>0.597006651884701</v>
      </c>
      <c r="R73" s="46" t="n">
        <v>4</v>
      </c>
      <c r="S73" s="47" t="n">
        <f aca="false">IF(R73="-",0,IFERROR(VLOOKUP(R73,'Price Groups'!$A$13:$C$17,3,FALSE()),0))</f>
        <v>0.15</v>
      </c>
      <c r="T73" s="41" t="n">
        <f aca="false">IF(OR(N73="",R73="-"),"",CEILING(ROUND(N73*(1+S73),2),IF(N73*(1+S73)&lt;100,0.5,IF(N73*(1+S73)&lt;1000,1,5))))</f>
        <v>467</v>
      </c>
      <c r="U73" s="45" t="n">
        <f aca="false">IF(OR(T73="",P73=""),"",(T73-P73)/T73)</f>
        <v>0.649732334047109</v>
      </c>
      <c r="V73" s="45" t="n">
        <f aca="false">IF(T73="",0,T73/N73-1)</f>
        <v>0.150529687115053</v>
      </c>
      <c r="W73" s="38" t="s">
        <v>101</v>
      </c>
    </row>
    <row r="74" customFormat="false" ht="15" hidden="false" customHeight="false" outlineLevel="0" collapsed="false">
      <c r="A74" s="19" t="n">
        <v>33</v>
      </c>
      <c r="B74" s="19" t="s">
        <v>146</v>
      </c>
      <c r="C74" s="19" t="s">
        <v>57</v>
      </c>
      <c r="D74" s="19"/>
      <c r="E74" s="19" t="s">
        <v>58</v>
      </c>
      <c r="F74" s="20" t="n">
        <v>469</v>
      </c>
      <c r="G74" s="20" t="n">
        <v>285</v>
      </c>
      <c r="H74" s="21" t="n">
        <v>135814.59</v>
      </c>
      <c r="I74" s="21" t="n">
        <v>-2122.39</v>
      </c>
      <c r="J74" s="21" t="n">
        <v>-10684.4</v>
      </c>
      <c r="K74" s="22" t="n">
        <f aca="false">H74+I74+J74</f>
        <v>123007.8</v>
      </c>
      <c r="L74" s="23" t="n">
        <f aca="false">IF($K$1282=0,0,K74/$K$1282)</f>
        <v>0.010189773980558</v>
      </c>
      <c r="M74" s="24" t="n">
        <f aca="false">IF(F74&lt;=0,0,K74/F74)</f>
        <v>262.276759061834</v>
      </c>
      <c r="N74" s="21" t="n">
        <v>299.99</v>
      </c>
      <c r="O74" s="49" t="n">
        <v>6.25</v>
      </c>
      <c r="P74" s="24" t="n">
        <f aca="false">O74*'Price Groups'!$B$5</f>
        <v>140.625</v>
      </c>
      <c r="Q74" s="26" t="n">
        <f aca="false">IF(OR(N74="",P74=""),"",(N74-P74)/N74)</f>
        <v>0.531234374479149</v>
      </c>
      <c r="R74" s="27" t="n">
        <v>4</v>
      </c>
      <c r="S74" s="28" t="n">
        <f aca="false">IF(R74="-",0,IFERROR(VLOOKUP(R74,'Price Groups'!$A$13:$C$17,3,FALSE()),0))</f>
        <v>0.15</v>
      </c>
      <c r="T74" s="22" t="n">
        <f aca="false">IF(OR(N74="",R74="-"),"",CEILING(ROUND(N74*(1+S74),2),IF(N74*(1+S74)&lt;100,0.5,IF(N74*(1+S74)&lt;1000,1,5))))</f>
        <v>345</v>
      </c>
      <c r="U74" s="26" t="n">
        <f aca="false">IF(OR(T74="",P74=""),"",(T74-P74)/T74)</f>
        <v>0.592391304347826</v>
      </c>
      <c r="V74" s="26" t="n">
        <f aca="false">IF(T74="",0,T74/N74-1)</f>
        <v>0.150038334611154</v>
      </c>
      <c r="W74" s="19" t="s">
        <v>101</v>
      </c>
    </row>
    <row r="75" customFormat="false" ht="15" hidden="false" customHeight="false" outlineLevel="0" collapsed="false">
      <c r="A75" s="38" t="n">
        <v>34</v>
      </c>
      <c r="B75" s="38" t="s">
        <v>147</v>
      </c>
      <c r="C75" s="38" t="s">
        <v>57</v>
      </c>
      <c r="D75" s="38"/>
      <c r="E75" s="38" t="s">
        <v>58</v>
      </c>
      <c r="F75" s="39" t="n">
        <v>468</v>
      </c>
      <c r="G75" s="39" t="n">
        <v>217</v>
      </c>
      <c r="H75" s="40" t="n">
        <v>15712.9</v>
      </c>
      <c r="I75" s="40" t="n">
        <v>-68.27</v>
      </c>
      <c r="J75" s="40" t="n">
        <v>-1258.24</v>
      </c>
      <c r="K75" s="41" t="n">
        <f aca="false">H75+I75+J75</f>
        <v>14386.39</v>
      </c>
      <c r="L75" s="42" t="n">
        <f aca="false">IF($K$1282=0,0,K75/$K$1282)</f>
        <v>0.00119174607216909</v>
      </c>
      <c r="M75" s="43" t="n">
        <f aca="false">IF(F75&lt;=0,0,K75/F75)</f>
        <v>30.7401495726496</v>
      </c>
      <c r="N75" s="40" t="n">
        <v>38.42</v>
      </c>
      <c r="O75" s="44" t="n">
        <v>0.4</v>
      </c>
      <c r="P75" s="43" t="n">
        <f aca="false">O75*'Price Groups'!$B$5</f>
        <v>9</v>
      </c>
      <c r="Q75" s="45" t="n">
        <f aca="false">IF(OR(N75="",P75=""),"",(N75-P75)/N75)</f>
        <v>0.765747006767309</v>
      </c>
      <c r="R75" s="46" t="n">
        <v>5</v>
      </c>
      <c r="S75" s="47" t="n">
        <f aca="false">IF(R75="-",0,IFERROR(VLOOKUP(R75,'Price Groups'!$A$13:$C$17,3,FALSE()),0))</f>
        <v>0.02</v>
      </c>
      <c r="T75" s="41" t="n">
        <f aca="false">IF(OR(N75="",R75="-"),"",CEILING(ROUND(N75*(1+S75),2),IF(N75*(1+S75)&lt;100,0.5,IF(N75*(1+S75)&lt;1000,1,5))))</f>
        <v>39.5</v>
      </c>
      <c r="U75" s="45" t="n">
        <f aca="false">IF(OR(T75="",P75=""),"",(T75-P75)/T75)</f>
        <v>0.772151898734177</v>
      </c>
      <c r="V75" s="45" t="n">
        <f aca="false">IF(T75="",0,T75/N75-1)</f>
        <v>0.0281103591879228</v>
      </c>
      <c r="W75" s="38" t="s">
        <v>89</v>
      </c>
    </row>
    <row r="76" customFormat="false" ht="15" hidden="false" customHeight="false" outlineLevel="0" collapsed="false">
      <c r="A76" s="19" t="n">
        <v>35</v>
      </c>
      <c r="B76" s="19" t="s">
        <v>148</v>
      </c>
      <c r="C76" s="19" t="s">
        <v>57</v>
      </c>
      <c r="D76" s="19"/>
      <c r="E76" s="19" t="s">
        <v>58</v>
      </c>
      <c r="F76" s="20" t="n">
        <v>467</v>
      </c>
      <c r="G76" s="20" t="n">
        <v>180</v>
      </c>
      <c r="H76" s="21" t="n">
        <v>4777</v>
      </c>
      <c r="I76" s="21" t="n">
        <v>-21.95</v>
      </c>
      <c r="J76" s="21" t="n">
        <v>-918.18</v>
      </c>
      <c r="K76" s="22" t="n">
        <f aca="false">H76+I76+J76</f>
        <v>3836.87</v>
      </c>
      <c r="L76" s="23" t="n">
        <f aca="false">IF($K$1282=0,0,K76/$K$1282)</f>
        <v>0.000317840316571663</v>
      </c>
      <c r="M76" s="24" t="n">
        <f aca="false">IF(F76&lt;=0,0,K76/F76)</f>
        <v>8.21599571734475</v>
      </c>
      <c r="N76" s="21" t="n">
        <v>7.7</v>
      </c>
      <c r="O76" s="49" t="n">
        <v>0.24</v>
      </c>
      <c r="P76" s="24" t="n">
        <f aca="false">O76*'Price Groups'!$B$5</f>
        <v>5.4</v>
      </c>
      <c r="Q76" s="26" t="n">
        <f aca="false">IF(OR(N76="",P76=""),"",(N76-P76)/N76)</f>
        <v>0.298701298701299</v>
      </c>
      <c r="R76" s="27" t="n">
        <v>1</v>
      </c>
      <c r="S76" s="28" t="n">
        <f aca="false">IF(R76="-",0,IFERROR(VLOOKUP(R76,'Price Groups'!$A$13:$C$17,3,FALSE()),0))</f>
        <v>0.22</v>
      </c>
      <c r="T76" s="22" t="n">
        <f aca="false">IF(OR(N76="",R76="-"),"",CEILING(ROUND(N76*(1+S76),2),IF(N76*(1+S76)&lt;100,0.5,IF(N76*(1+S76)&lt;1000,1,5))))</f>
        <v>9.5</v>
      </c>
      <c r="U76" s="26" t="n">
        <f aca="false">IF(OR(T76="",P76=""),"",(T76-P76)/T76)</f>
        <v>0.431578947368421</v>
      </c>
      <c r="V76" s="26" t="n">
        <f aca="false">IF(T76="",0,T76/N76-1)</f>
        <v>0.233766233766234</v>
      </c>
      <c r="W76" s="19" t="s">
        <v>94</v>
      </c>
    </row>
    <row r="77" customFormat="false" ht="15" hidden="false" customHeight="false" outlineLevel="0" collapsed="false">
      <c r="A77" s="38" t="n">
        <v>36</v>
      </c>
      <c r="B77" s="38" t="s">
        <v>149</v>
      </c>
      <c r="C77" s="38" t="s">
        <v>57</v>
      </c>
      <c r="D77" s="38"/>
      <c r="E77" s="38" t="s">
        <v>58</v>
      </c>
      <c r="F77" s="39" t="n">
        <v>467</v>
      </c>
      <c r="G77" s="39" t="n">
        <v>79</v>
      </c>
      <c r="H77" s="40" t="n">
        <v>3980.84</v>
      </c>
      <c r="I77" s="40" t="n">
        <v>-7.52</v>
      </c>
      <c r="J77" s="40" t="n">
        <v>-399.95</v>
      </c>
      <c r="K77" s="41" t="n">
        <f aca="false">H77+I77+J77</f>
        <v>3573.37</v>
      </c>
      <c r="L77" s="42" t="n">
        <f aca="false">IF($K$1282=0,0,K77/$K$1282)</f>
        <v>0.000296012388229907</v>
      </c>
      <c r="M77" s="43" t="n">
        <f aca="false">IF(F77&lt;=0,0,K77/F77)</f>
        <v>7.65175588865096</v>
      </c>
      <c r="N77" s="40" t="n">
        <v>11</v>
      </c>
      <c r="O77" s="44" t="n">
        <v>0.15</v>
      </c>
      <c r="P77" s="43" t="n">
        <f aca="false">O77*'Price Groups'!$B$5</f>
        <v>3.375</v>
      </c>
      <c r="Q77" s="45" t="n">
        <f aca="false">IF(OR(N77="",P77=""),"",(N77-P77)/N77)</f>
        <v>0.693181818181818</v>
      </c>
      <c r="R77" s="46" t="n">
        <v>1</v>
      </c>
      <c r="S77" s="47" t="n">
        <f aca="false">IF(R77="-",0,IFERROR(VLOOKUP(R77,'Price Groups'!$A$13:$C$17,3,FALSE()),0))</f>
        <v>0.22</v>
      </c>
      <c r="T77" s="41" t="n">
        <f aca="false">IF(OR(N77="",R77="-"),"",CEILING(ROUND(N77*(1+S77),2),IF(N77*(1+S77)&lt;100,0.5,IF(N77*(1+S77)&lt;1000,1,5))))</f>
        <v>13.5</v>
      </c>
      <c r="U77" s="45" t="n">
        <f aca="false">IF(OR(T77="",P77=""),"",(T77-P77)/T77)</f>
        <v>0.75</v>
      </c>
      <c r="V77" s="45" t="n">
        <f aca="false">IF(T77="",0,T77/N77-1)</f>
        <v>0.227272727272727</v>
      </c>
      <c r="W77" s="38" t="s">
        <v>94</v>
      </c>
    </row>
    <row r="78" customFormat="false" ht="15" hidden="false" customHeight="false" outlineLevel="0" collapsed="false">
      <c r="A78" s="19" t="n">
        <v>37</v>
      </c>
      <c r="B78" s="19" t="s">
        <v>150</v>
      </c>
      <c r="C78" s="19" t="s">
        <v>57</v>
      </c>
      <c r="D78" s="19"/>
      <c r="E78" s="19" t="s">
        <v>58</v>
      </c>
      <c r="F78" s="20" t="n">
        <v>464</v>
      </c>
      <c r="G78" s="20" t="n">
        <v>132</v>
      </c>
      <c r="H78" s="21" t="n">
        <v>33651.75</v>
      </c>
      <c r="I78" s="21" t="n">
        <v>-383.11</v>
      </c>
      <c r="J78" s="21" t="n">
        <v>-7757.86</v>
      </c>
      <c r="K78" s="22" t="n">
        <f aca="false">H78+I78+J78</f>
        <v>25510.78</v>
      </c>
      <c r="L78" s="23" t="n">
        <f aca="false">IF($K$1282=0,0,K78/$K$1282)</f>
        <v>0.00211327316046414</v>
      </c>
      <c r="M78" s="24" t="n">
        <f aca="false">IF(F78&lt;=0,0,K78/F78)</f>
        <v>54.9801293103448</v>
      </c>
      <c r="N78" s="21" t="n">
        <v>111</v>
      </c>
      <c r="O78" s="49" t="n">
        <v>2.22</v>
      </c>
      <c r="P78" s="24" t="n">
        <f aca="false">O78*'Price Groups'!$B$5</f>
        <v>49.95</v>
      </c>
      <c r="Q78" s="26" t="n">
        <f aca="false">IF(OR(N78="",P78=""),"",(N78-P78)/N78)</f>
        <v>0.55</v>
      </c>
      <c r="R78" s="27" t="n">
        <v>3</v>
      </c>
      <c r="S78" s="28" t="n">
        <f aca="false">IF(R78="-",0,IFERROR(VLOOKUP(R78,'Price Groups'!$A$13:$C$17,3,FALSE()),0))</f>
        <v>0.16</v>
      </c>
      <c r="T78" s="22" t="n">
        <f aca="false">IF(OR(N78="",R78="-"),"",CEILING(ROUND(N78*(1+S78),2),IF(N78*(1+S78)&lt;100,0.5,IF(N78*(1+S78)&lt;1000,1,5))))</f>
        <v>129</v>
      </c>
      <c r="U78" s="26" t="n">
        <f aca="false">IF(OR(T78="",P78=""),"",(T78-P78)/T78)</f>
        <v>0.612790697674419</v>
      </c>
      <c r="V78" s="26" t="n">
        <f aca="false">IF(T78="",0,T78/N78-1)</f>
        <v>0.162162162162162</v>
      </c>
      <c r="W78" s="19" t="s">
        <v>107</v>
      </c>
    </row>
    <row r="79" customFormat="false" ht="15" hidden="false" customHeight="false" outlineLevel="0" collapsed="false">
      <c r="A79" s="38" t="n">
        <v>38</v>
      </c>
      <c r="B79" s="38" t="s">
        <v>151</v>
      </c>
      <c r="C79" s="38" t="s">
        <v>57</v>
      </c>
      <c r="D79" s="38"/>
      <c r="E79" s="38" t="s">
        <v>58</v>
      </c>
      <c r="F79" s="39" t="n">
        <v>456</v>
      </c>
      <c r="G79" s="39" t="n">
        <v>254</v>
      </c>
      <c r="H79" s="40" t="n">
        <v>15807.1</v>
      </c>
      <c r="I79" s="40" t="n">
        <v>-223.28</v>
      </c>
      <c r="J79" s="40" t="n">
        <v>-1828.44</v>
      </c>
      <c r="K79" s="41" t="n">
        <f aca="false">H79+I79+J79</f>
        <v>13755.38</v>
      </c>
      <c r="L79" s="42" t="n">
        <f aca="false">IF($K$1282=0,0,K79/$K$1282)</f>
        <v>0.00113947418957732</v>
      </c>
      <c r="M79" s="43" t="n">
        <f aca="false">IF(F79&lt;=0,0,K79/F79)</f>
        <v>30.1653070175439</v>
      </c>
      <c r="N79" s="40" t="n">
        <v>35.03</v>
      </c>
      <c r="O79" s="44" t="n">
        <v>0.45</v>
      </c>
      <c r="P79" s="43" t="n">
        <f aca="false">O79*'Price Groups'!$B$5</f>
        <v>10.125</v>
      </c>
      <c r="Q79" s="45" t="n">
        <f aca="false">IF(OR(N79="",P79=""),"",(N79-P79)/N79)</f>
        <v>0.710962032543534</v>
      </c>
      <c r="R79" s="46" t="n">
        <v>5</v>
      </c>
      <c r="S79" s="47" t="n">
        <f aca="false">IF(R79="-",0,IFERROR(VLOOKUP(R79,'Price Groups'!$A$13:$C$17,3,FALSE()),0))</f>
        <v>0.02</v>
      </c>
      <c r="T79" s="41" t="n">
        <f aca="false">IF(OR(N79="",R79="-"),"",CEILING(ROUND(N79*(1+S79),2),IF(N79*(1+S79)&lt;100,0.5,IF(N79*(1+S79)&lt;1000,1,5))))</f>
        <v>36</v>
      </c>
      <c r="U79" s="45" t="n">
        <f aca="false">IF(OR(T79="",P79=""),"",(T79-P79)/T79)</f>
        <v>0.71875</v>
      </c>
      <c r="V79" s="45" t="n">
        <f aca="false">IF(T79="",0,T79/N79-1)</f>
        <v>0.0276905509563232</v>
      </c>
      <c r="W79" s="38" t="s">
        <v>89</v>
      </c>
    </row>
    <row r="80" customFormat="false" ht="15" hidden="false" customHeight="false" outlineLevel="0" collapsed="false">
      <c r="A80" s="19" t="n">
        <v>39</v>
      </c>
      <c r="B80" s="19" t="s">
        <v>152</v>
      </c>
      <c r="C80" s="19" t="s">
        <v>57</v>
      </c>
      <c r="D80" s="19"/>
      <c r="E80" s="19" t="s">
        <v>58</v>
      </c>
      <c r="F80" s="20" t="n">
        <v>456</v>
      </c>
      <c r="G80" s="20" t="n">
        <v>145</v>
      </c>
      <c r="H80" s="21" t="n">
        <v>46427.82</v>
      </c>
      <c r="I80" s="21" t="n">
        <v>-49.64</v>
      </c>
      <c r="J80" s="21" t="n">
        <v>-4509.35</v>
      </c>
      <c r="K80" s="22" t="n">
        <f aca="false">H80+I80+J80</f>
        <v>41868.83</v>
      </c>
      <c r="L80" s="23" t="n">
        <f aca="false">IF($K$1282=0,0,K80/$K$1282)</f>
        <v>0.00346834846676721</v>
      </c>
      <c r="M80" s="24" t="n">
        <f aca="false">IF(F80&lt;=0,0,K80/F80)</f>
        <v>91.8176096491228</v>
      </c>
      <c r="N80" s="21" t="n">
        <v>105.02</v>
      </c>
      <c r="O80" s="49" t="n">
        <v>2.2</v>
      </c>
      <c r="P80" s="24" t="n">
        <f aca="false">O80*'Price Groups'!$B$5</f>
        <v>49.5</v>
      </c>
      <c r="Q80" s="26" t="n">
        <f aca="false">IF(OR(N80="",P80=""),"",(N80-P80)/N80)</f>
        <v>0.528661207389069</v>
      </c>
      <c r="R80" s="27" t="n">
        <v>4</v>
      </c>
      <c r="S80" s="28" t="n">
        <f aca="false">IF(R80="-",0,IFERROR(VLOOKUP(R80,'Price Groups'!$A$13:$C$17,3,FALSE()),0))</f>
        <v>0.15</v>
      </c>
      <c r="T80" s="22" t="n">
        <f aca="false">IF(OR(N80="",R80="-"),"",CEILING(ROUND(N80*(1+S80),2),IF(N80*(1+S80)&lt;100,0.5,IF(N80*(1+S80)&lt;1000,1,5))))</f>
        <v>121</v>
      </c>
      <c r="U80" s="26" t="n">
        <f aca="false">IF(OR(T80="",P80=""),"",(T80-P80)/T80)</f>
        <v>0.590909090909091</v>
      </c>
      <c r="V80" s="26" t="n">
        <f aca="false">IF(T80="",0,T80/N80-1)</f>
        <v>0.152161493048943</v>
      </c>
      <c r="W80" s="19" t="s">
        <v>101</v>
      </c>
    </row>
    <row r="81" customFormat="false" ht="15" hidden="false" customHeight="false" outlineLevel="0" collapsed="false">
      <c r="A81" s="38" t="n">
        <v>40</v>
      </c>
      <c r="B81" s="38" t="s">
        <v>153</v>
      </c>
      <c r="C81" s="38" t="s">
        <v>57</v>
      </c>
      <c r="D81" s="38"/>
      <c r="E81" s="38" t="s">
        <v>58</v>
      </c>
      <c r="F81" s="39" t="n">
        <v>451</v>
      </c>
      <c r="G81" s="39" t="n">
        <v>180</v>
      </c>
      <c r="H81" s="40" t="n">
        <v>5148.05</v>
      </c>
      <c r="I81" s="40" t="n">
        <v>-55.45</v>
      </c>
      <c r="J81" s="40" t="n">
        <v>-481.06</v>
      </c>
      <c r="K81" s="41" t="n">
        <f aca="false">H81+I81+J81</f>
        <v>4611.54</v>
      </c>
      <c r="L81" s="42" t="n">
        <f aca="false">IF($K$1282=0,0,K81/$K$1282)</f>
        <v>0.00038201276912767</v>
      </c>
      <c r="M81" s="43" t="n">
        <f aca="false">IF(F81&lt;=0,0,K81/F81)</f>
        <v>10.2251441241685</v>
      </c>
      <c r="N81" s="40" t="n">
        <v>14.99</v>
      </c>
      <c r="O81" s="44" t="n">
        <v>0.18</v>
      </c>
      <c r="P81" s="43" t="n">
        <f aca="false">O81*'Price Groups'!$B$5</f>
        <v>4.05</v>
      </c>
      <c r="Q81" s="45" t="n">
        <f aca="false">IF(OR(N81="",P81=""),"",(N81-P81)/N81)</f>
        <v>0.729819879919947</v>
      </c>
      <c r="R81" s="46" t="n">
        <v>5</v>
      </c>
      <c r="S81" s="47" t="n">
        <f aca="false">IF(R81="-",0,IFERROR(VLOOKUP(R81,'Price Groups'!$A$13:$C$17,3,FALSE()),0))</f>
        <v>0.02</v>
      </c>
      <c r="T81" s="41" t="n">
        <f aca="false">IF(OR(N81="",R81="-"),"",CEILING(ROUND(N81*(1+S81),2),IF(N81*(1+S81)&lt;100,0.5,IF(N81*(1+S81)&lt;1000,1,5))))</f>
        <v>15.5</v>
      </c>
      <c r="U81" s="45" t="n">
        <f aca="false">IF(OR(T81="",P81=""),"",(T81-P81)/T81)</f>
        <v>0.738709677419355</v>
      </c>
      <c r="V81" s="45" t="n">
        <f aca="false">IF(T81="",0,T81/N81-1)</f>
        <v>0.0340226817878586</v>
      </c>
      <c r="W81" s="38" t="s">
        <v>89</v>
      </c>
    </row>
    <row r="82" customFormat="false" ht="15" hidden="false" customHeight="false" outlineLevel="0" collapsed="false">
      <c r="A82" s="19" t="n">
        <v>41</v>
      </c>
      <c r="B82" s="19" t="s">
        <v>154</v>
      </c>
      <c r="C82" s="19" t="s">
        <v>57</v>
      </c>
      <c r="D82" s="19"/>
      <c r="E82" s="19" t="s">
        <v>58</v>
      </c>
      <c r="F82" s="20" t="n">
        <v>434</v>
      </c>
      <c r="G82" s="20" t="n">
        <v>175</v>
      </c>
      <c r="H82" s="21" t="n">
        <v>20384.63</v>
      </c>
      <c r="I82" s="21" t="n">
        <v>-246.38</v>
      </c>
      <c r="J82" s="21" t="n">
        <v>-3058.33</v>
      </c>
      <c r="K82" s="22" t="n">
        <f aca="false">H82+I82+J82</f>
        <v>17079.92</v>
      </c>
      <c r="L82" s="23" t="n">
        <f aca="false">IF($K$1282=0,0,K82/$K$1282)</f>
        <v>0.00141487388934696</v>
      </c>
      <c r="M82" s="24" t="n">
        <f aca="false">IF(F82&lt;=0,0,K82/F82)</f>
        <v>39.3546543778802</v>
      </c>
      <c r="N82" s="21" t="n">
        <v>49.99</v>
      </c>
      <c r="O82" s="49" t="n">
        <v>1.17</v>
      </c>
      <c r="P82" s="24" t="n">
        <f aca="false">O82*'Price Groups'!$B$5</f>
        <v>26.325</v>
      </c>
      <c r="Q82" s="26" t="n">
        <f aca="false">IF(OR(N82="",P82=""),"",(N82-P82)/N82)</f>
        <v>0.473394678935787</v>
      </c>
      <c r="R82" s="27" t="n">
        <v>5</v>
      </c>
      <c r="S82" s="28" t="n">
        <f aca="false">IF(R82="-",0,IFERROR(VLOOKUP(R82,'Price Groups'!$A$13:$C$17,3,FALSE()),0))</f>
        <v>0.02</v>
      </c>
      <c r="T82" s="22" t="n">
        <f aca="false">IF(OR(N82="",R82="-"),"",CEILING(ROUND(N82*(1+S82),2),IF(N82*(1+S82)&lt;100,0.5,IF(N82*(1+S82)&lt;1000,1,5))))</f>
        <v>51</v>
      </c>
      <c r="U82" s="26" t="n">
        <f aca="false">IF(OR(T82="",P82=""),"",(T82-P82)/T82)</f>
        <v>0.483823529411765</v>
      </c>
      <c r="V82" s="26" t="n">
        <f aca="false">IF(T82="",0,T82/N82-1)</f>
        <v>0.0202040408081616</v>
      </c>
      <c r="W82" s="19" t="s">
        <v>89</v>
      </c>
    </row>
    <row r="83" customFormat="false" ht="15" hidden="false" customHeight="false" outlineLevel="0" collapsed="false">
      <c r="A83" s="38" t="n">
        <v>42</v>
      </c>
      <c r="B83" s="38" t="s">
        <v>155</v>
      </c>
      <c r="C83" s="38" t="s">
        <v>57</v>
      </c>
      <c r="D83" s="38"/>
      <c r="E83" s="38" t="s">
        <v>58</v>
      </c>
      <c r="F83" s="39" t="n">
        <v>429</v>
      </c>
      <c r="G83" s="39" t="n">
        <v>129</v>
      </c>
      <c r="H83" s="40" t="n">
        <v>13127.9</v>
      </c>
      <c r="I83" s="40" t="n">
        <v>-89.38</v>
      </c>
      <c r="J83" s="40" t="n">
        <v>-1338.9</v>
      </c>
      <c r="K83" s="41" t="n">
        <f aca="false">H83+I83+J83</f>
        <v>11699.62</v>
      </c>
      <c r="L83" s="42" t="n">
        <f aca="false">IF($K$1282=0,0,K83/$K$1282)</f>
        <v>0.000969178242830264</v>
      </c>
      <c r="M83" s="43" t="n">
        <f aca="false">IF(F83&lt;=0,0,K83/F83)</f>
        <v>27.2718414918415</v>
      </c>
      <c r="N83" s="40" t="n">
        <v>34.99</v>
      </c>
      <c r="O83" s="44" t="n">
        <v>0.33</v>
      </c>
      <c r="P83" s="43" t="n">
        <f aca="false">O83*'Price Groups'!$B$5</f>
        <v>7.425</v>
      </c>
      <c r="Q83" s="45" t="n">
        <f aca="false">IF(OR(N83="",P83=""),"",(N83-P83)/N83)</f>
        <v>0.787796513289511</v>
      </c>
      <c r="R83" s="46" t="n">
        <v>3</v>
      </c>
      <c r="S83" s="47" t="n">
        <f aca="false">IF(R83="-",0,IFERROR(VLOOKUP(R83,'Price Groups'!$A$13:$C$17,3,FALSE()),0))</f>
        <v>0.16</v>
      </c>
      <c r="T83" s="41" t="n">
        <f aca="false">IF(OR(N83="",R83="-"),"",CEILING(ROUND(N83*(1+S83),2),IF(N83*(1+S83)&lt;100,0.5,IF(N83*(1+S83)&lt;1000,1,5))))</f>
        <v>41</v>
      </c>
      <c r="U83" s="45" t="n">
        <f aca="false">IF(OR(T83="",P83=""),"",(T83-P83)/T83)</f>
        <v>0.81890243902439</v>
      </c>
      <c r="V83" s="45" t="n">
        <f aca="false">IF(T83="",0,T83/N83-1)</f>
        <v>0.171763360960274</v>
      </c>
      <c r="W83" s="38" t="s">
        <v>107</v>
      </c>
    </row>
    <row r="84" customFormat="false" ht="15" hidden="false" customHeight="false" outlineLevel="0" collapsed="false">
      <c r="A84" s="19" t="n">
        <v>43</v>
      </c>
      <c r="B84" s="19" t="s">
        <v>156</v>
      </c>
      <c r="C84" s="19" t="s">
        <v>57</v>
      </c>
      <c r="D84" s="19"/>
      <c r="E84" s="19" t="s">
        <v>58</v>
      </c>
      <c r="F84" s="20" t="n">
        <v>428</v>
      </c>
      <c r="G84" s="20" t="n">
        <v>213</v>
      </c>
      <c r="H84" s="21" t="n">
        <v>9333</v>
      </c>
      <c r="I84" s="21" t="n">
        <v>-126.07</v>
      </c>
      <c r="J84" s="21" t="n">
        <v>-685.58</v>
      </c>
      <c r="K84" s="22" t="n">
        <f aca="false">H84+I84+J84</f>
        <v>8521.35</v>
      </c>
      <c r="L84" s="23" t="n">
        <f aca="false">IF($K$1282=0,0,K84/$K$1282)</f>
        <v>0.000705895321347332</v>
      </c>
      <c r="M84" s="24" t="n">
        <f aca="false">IF(F84&lt;=0,0,K84/F84)</f>
        <v>19.9096962616822</v>
      </c>
      <c r="N84" s="21" t="n">
        <v>21</v>
      </c>
      <c r="O84" s="49" t="n">
        <v>0.47</v>
      </c>
      <c r="P84" s="24" t="n">
        <f aca="false">O84*'Price Groups'!$B$5</f>
        <v>10.575</v>
      </c>
      <c r="Q84" s="26" t="n">
        <f aca="false">IF(OR(N84="",P84=""),"",(N84-P84)/N84)</f>
        <v>0.496428571428571</v>
      </c>
      <c r="R84" s="27" t="n">
        <v>5</v>
      </c>
      <c r="S84" s="28" t="n">
        <f aca="false">IF(R84="-",0,IFERROR(VLOOKUP(R84,'Price Groups'!$A$13:$C$17,3,FALSE()),0))</f>
        <v>0.02</v>
      </c>
      <c r="T84" s="22" t="n">
        <f aca="false">IF(OR(N84="",R84="-"),"",CEILING(ROUND(N84*(1+S84),2),IF(N84*(1+S84)&lt;100,0.5,IF(N84*(1+S84)&lt;1000,1,5))))</f>
        <v>21.5</v>
      </c>
      <c r="U84" s="26" t="n">
        <f aca="false">IF(OR(T84="",P84=""),"",(T84-P84)/T84)</f>
        <v>0.508139534883721</v>
      </c>
      <c r="V84" s="26" t="n">
        <f aca="false">IF(T84="",0,T84/N84-1)</f>
        <v>0.0238095238095237</v>
      </c>
      <c r="W84" s="19" t="s">
        <v>89</v>
      </c>
    </row>
    <row r="85" customFormat="false" ht="15" hidden="false" customHeight="false" outlineLevel="0" collapsed="false">
      <c r="A85" s="38" t="n">
        <v>44</v>
      </c>
      <c r="B85" s="38" t="s">
        <v>157</v>
      </c>
      <c r="C85" s="38" t="s">
        <v>57</v>
      </c>
      <c r="D85" s="38" t="s">
        <v>158</v>
      </c>
      <c r="E85" s="38" t="s">
        <v>58</v>
      </c>
      <c r="F85" s="39" t="n">
        <v>416</v>
      </c>
      <c r="G85" s="39" t="n">
        <v>308</v>
      </c>
      <c r="H85" s="40" t="n">
        <v>65429.69</v>
      </c>
      <c r="I85" s="40" t="n">
        <v>-378.37</v>
      </c>
      <c r="J85" s="40" t="n">
        <v>-9569.76</v>
      </c>
      <c r="K85" s="41" t="n">
        <f aca="false">H85+I85+J85</f>
        <v>55481.56</v>
      </c>
      <c r="L85" s="42" t="n">
        <f aca="false">IF($K$1282=0,0,K85/$K$1282)</f>
        <v>0.0045960057532024</v>
      </c>
      <c r="M85" s="43" t="n">
        <f aca="false">IF(F85&lt;=0,0,K85/F85)</f>
        <v>133.369134615385</v>
      </c>
      <c r="N85" s="40" t="n">
        <v>129.99</v>
      </c>
      <c r="O85" s="44" t="n">
        <v>3.79</v>
      </c>
      <c r="P85" s="43" t="n">
        <f aca="false">O85*'Price Groups'!$B$5</f>
        <v>85.275</v>
      </c>
      <c r="Q85" s="45" t="n">
        <f aca="false">IF(OR(N85="",P85=""),"",(N85-P85)/N85)</f>
        <v>0.343987999076852</v>
      </c>
      <c r="R85" s="46" t="n">
        <v>2</v>
      </c>
      <c r="S85" s="47" t="n">
        <f aca="false">IF(R85="-",0,IFERROR(VLOOKUP(R85,'Price Groups'!$A$13:$C$17,3,FALSE()),0))</f>
        <v>0.18</v>
      </c>
      <c r="T85" s="41" t="n">
        <f aca="false">IF(OR(N85="",R85="-"),"",CEILING(ROUND(N85*(1+S85),2),IF(N85*(1+S85)&lt;100,0.5,IF(N85*(1+S85)&lt;1000,1,5))))</f>
        <v>154</v>
      </c>
      <c r="U85" s="45" t="n">
        <f aca="false">IF(OR(T85="",P85=""),"",(T85-P85)/T85)</f>
        <v>0.446266233766234</v>
      </c>
      <c r="V85" s="45" t="n">
        <f aca="false">IF(T85="",0,T85/N85-1)</f>
        <v>0.184706515885837</v>
      </c>
      <c r="W85" s="38" t="s">
        <v>159</v>
      </c>
    </row>
    <row r="86" customFormat="false" ht="15" hidden="false" customHeight="false" outlineLevel="0" collapsed="false">
      <c r="A86" s="19" t="n">
        <v>45</v>
      </c>
      <c r="B86" s="19" t="s">
        <v>160</v>
      </c>
      <c r="C86" s="19" t="s">
        <v>57</v>
      </c>
      <c r="D86" s="19"/>
      <c r="E86" s="19" t="s">
        <v>58</v>
      </c>
      <c r="F86" s="20" t="n">
        <v>409</v>
      </c>
      <c r="G86" s="20" t="n">
        <v>141</v>
      </c>
      <c r="H86" s="21" t="n">
        <v>16642.07</v>
      </c>
      <c r="I86" s="21" t="n">
        <v>-77.9</v>
      </c>
      <c r="J86" s="21" t="n">
        <v>-798.93</v>
      </c>
      <c r="K86" s="22" t="n">
        <f aca="false">H86+I86+J86</f>
        <v>15765.24</v>
      </c>
      <c r="L86" s="23" t="n">
        <f aca="false">IF($K$1282=0,0,K86/$K$1282)</f>
        <v>0.00130596785203258</v>
      </c>
      <c r="M86" s="24" t="n">
        <f aca="false">IF(F86&lt;=0,0,K86/F86)</f>
        <v>38.5458190709046</v>
      </c>
      <c r="N86" s="21" t="n">
        <v>44.99</v>
      </c>
      <c r="O86" s="49" t="n">
        <v>1.17</v>
      </c>
      <c r="P86" s="24" t="n">
        <f aca="false">O86*'Price Groups'!$B$5</f>
        <v>26.325</v>
      </c>
      <c r="Q86" s="26" t="n">
        <f aca="false">IF(OR(N86="",P86=""),"",(N86-P86)/N86)</f>
        <v>0.41486997110469</v>
      </c>
      <c r="R86" s="27" t="n">
        <v>3</v>
      </c>
      <c r="S86" s="28" t="n">
        <f aca="false">IF(R86="-",0,IFERROR(VLOOKUP(R86,'Price Groups'!$A$13:$C$17,3,FALSE()),0))</f>
        <v>0.16</v>
      </c>
      <c r="T86" s="22" t="n">
        <f aca="false">IF(OR(N86="",R86="-"),"",CEILING(ROUND(N86*(1+S86),2),IF(N86*(1+S86)&lt;100,0.5,IF(N86*(1+S86)&lt;1000,1,5))))</f>
        <v>52.5</v>
      </c>
      <c r="U86" s="26" t="n">
        <f aca="false">IF(OR(T86="",P86=""),"",(T86-P86)/T86)</f>
        <v>0.498571428571429</v>
      </c>
      <c r="V86" s="26" t="n">
        <f aca="false">IF(T86="",0,T86/N86-1)</f>
        <v>0.1669259835519</v>
      </c>
      <c r="W86" s="19" t="s">
        <v>107</v>
      </c>
    </row>
    <row r="87" customFormat="false" ht="15" hidden="false" customHeight="false" outlineLevel="0" collapsed="false">
      <c r="A87" s="38" t="n">
        <v>46</v>
      </c>
      <c r="B87" s="38" t="s">
        <v>161</v>
      </c>
      <c r="C87" s="38" t="s">
        <v>57</v>
      </c>
      <c r="D87" s="38"/>
      <c r="E87" s="38" t="s">
        <v>58</v>
      </c>
      <c r="F87" s="39" t="n">
        <v>404</v>
      </c>
      <c r="G87" s="39" t="n">
        <v>89</v>
      </c>
      <c r="H87" s="40" t="n">
        <v>27316.84</v>
      </c>
      <c r="I87" s="40" t="n">
        <v>-5282.81</v>
      </c>
      <c r="J87" s="40" t="n">
        <v>-239.24</v>
      </c>
      <c r="K87" s="41" t="n">
        <f aca="false">H87+I87+J87</f>
        <v>21794.79</v>
      </c>
      <c r="L87" s="42" t="n">
        <f aca="false">IF($K$1282=0,0,K87/$K$1282)</f>
        <v>0.00180544635424523</v>
      </c>
      <c r="M87" s="43" t="n">
        <f aca="false">IF(F87&lt;=0,0,K87/F87)</f>
        <v>53.9475</v>
      </c>
      <c r="N87" s="40" t="n">
        <v>70</v>
      </c>
      <c r="O87" s="44" t="n">
        <v>1.45</v>
      </c>
      <c r="P87" s="43" t="n">
        <f aca="false">O87*'Price Groups'!$B$5</f>
        <v>32.625</v>
      </c>
      <c r="Q87" s="45" t="n">
        <f aca="false">IF(OR(N87="",P87=""),"",(N87-P87)/N87)</f>
        <v>0.533928571428571</v>
      </c>
      <c r="R87" s="46" t="n">
        <v>3</v>
      </c>
      <c r="S87" s="47" t="n">
        <f aca="false">IF(R87="-",0,IFERROR(VLOOKUP(R87,'Price Groups'!$A$13:$C$17,3,FALSE()),0))</f>
        <v>0.16</v>
      </c>
      <c r="T87" s="41" t="n">
        <f aca="false">IF(OR(N87="",R87="-"),"",CEILING(ROUND(N87*(1+S87),2),IF(N87*(1+S87)&lt;100,0.5,IF(N87*(1+S87)&lt;1000,1,5))))</f>
        <v>81.5</v>
      </c>
      <c r="U87" s="45" t="n">
        <f aca="false">IF(OR(T87="",P87=""),"",(T87-P87)/T87)</f>
        <v>0.599693251533742</v>
      </c>
      <c r="V87" s="45" t="n">
        <f aca="false">IF(T87="",0,T87/N87-1)</f>
        <v>0.164285714285714</v>
      </c>
      <c r="W87" s="38" t="s">
        <v>107</v>
      </c>
    </row>
    <row r="88" customFormat="false" ht="15" hidden="false" customHeight="false" outlineLevel="0" collapsed="false">
      <c r="A88" s="19" t="n">
        <v>47</v>
      </c>
      <c r="B88" s="19" t="s">
        <v>162</v>
      </c>
      <c r="C88" s="19" t="s">
        <v>57</v>
      </c>
      <c r="D88" s="19"/>
      <c r="E88" s="19" t="s">
        <v>58</v>
      </c>
      <c r="F88" s="20" t="n">
        <v>397</v>
      </c>
      <c r="G88" s="20" t="n">
        <v>221</v>
      </c>
      <c r="H88" s="21" t="n">
        <v>13891.33</v>
      </c>
      <c r="I88" s="21" t="n">
        <v>-402.61</v>
      </c>
      <c r="J88" s="21" t="n">
        <v>-1655.8</v>
      </c>
      <c r="K88" s="22" t="n">
        <f aca="false">H88+I88+J88</f>
        <v>11832.92</v>
      </c>
      <c r="L88" s="23" t="n">
        <f aca="false">IF($K$1282=0,0,K88/$K$1282)</f>
        <v>0.000980220606579622</v>
      </c>
      <c r="M88" s="24" t="n">
        <f aca="false">IF(F88&lt;=0,0,K88/F88)</f>
        <v>29.8058438287154</v>
      </c>
      <c r="N88" s="21" t="n">
        <v>29.99</v>
      </c>
      <c r="O88" s="49" t="n">
        <v>0.37</v>
      </c>
      <c r="P88" s="24" t="n">
        <f aca="false">O88*'Price Groups'!$B$5</f>
        <v>8.325</v>
      </c>
      <c r="Q88" s="26" t="n">
        <f aca="false">IF(OR(N88="",P88=""),"",(N88-P88)/N88)</f>
        <v>0.722407469156385</v>
      </c>
      <c r="R88" s="27" t="n">
        <v>5</v>
      </c>
      <c r="S88" s="28" t="n">
        <f aca="false">IF(R88="-",0,IFERROR(VLOOKUP(R88,'Price Groups'!$A$13:$C$17,3,FALSE()),0))</f>
        <v>0.02</v>
      </c>
      <c r="T88" s="22" t="n">
        <f aca="false">IF(OR(N88="",R88="-"),"",CEILING(ROUND(N88*(1+S88),2),IF(N88*(1+S88)&lt;100,0.5,IF(N88*(1+S88)&lt;1000,1,5))))</f>
        <v>31</v>
      </c>
      <c r="U88" s="26" t="n">
        <f aca="false">IF(OR(T88="",P88=""),"",(T88-P88)/T88)</f>
        <v>0.731451612903226</v>
      </c>
      <c r="V88" s="26" t="n">
        <f aca="false">IF(T88="",0,T88/N88-1)</f>
        <v>0.033677892630877</v>
      </c>
      <c r="W88" s="19" t="s">
        <v>89</v>
      </c>
    </row>
    <row r="89" customFormat="false" ht="15" hidden="false" customHeight="false" outlineLevel="0" collapsed="false">
      <c r="A89" s="38" t="n">
        <v>48</v>
      </c>
      <c r="B89" s="38" t="s">
        <v>163</v>
      </c>
      <c r="C89" s="38" t="s">
        <v>57</v>
      </c>
      <c r="D89" s="38"/>
      <c r="E89" s="38" t="s">
        <v>58</v>
      </c>
      <c r="F89" s="39" t="n">
        <v>387</v>
      </c>
      <c r="G89" s="39" t="n">
        <v>204</v>
      </c>
      <c r="H89" s="40" t="n">
        <v>22625.93</v>
      </c>
      <c r="I89" s="40" t="n">
        <v>-224.11</v>
      </c>
      <c r="J89" s="40" t="n">
        <v>-2786.1</v>
      </c>
      <c r="K89" s="41" t="n">
        <f aca="false">H89+I89+J89</f>
        <v>19615.72</v>
      </c>
      <c r="L89" s="42" t="n">
        <f aca="false">IF($K$1282=0,0,K89/$K$1282)</f>
        <v>0.00162493559974174</v>
      </c>
      <c r="M89" s="43" t="n">
        <f aca="false">IF(F89&lt;=0,0,K89/F89)</f>
        <v>50.6866149870801</v>
      </c>
      <c r="N89" s="40" t="n">
        <v>56.49</v>
      </c>
      <c r="O89" s="44" t="n">
        <v>0.73</v>
      </c>
      <c r="P89" s="43" t="n">
        <f aca="false">O89*'Price Groups'!$B$5</f>
        <v>16.425</v>
      </c>
      <c r="Q89" s="45" t="n">
        <f aca="false">IF(OR(N89="",P89=""),"",(N89-P89)/N89)</f>
        <v>0.709240573552841</v>
      </c>
      <c r="R89" s="46" t="n">
        <v>3</v>
      </c>
      <c r="S89" s="47" t="n">
        <f aca="false">IF(R89="-",0,IFERROR(VLOOKUP(R89,'Price Groups'!$A$13:$C$17,3,FALSE()),0))</f>
        <v>0.16</v>
      </c>
      <c r="T89" s="41" t="n">
        <f aca="false">IF(OR(N89="",R89="-"),"",CEILING(ROUND(N89*(1+S89),2),IF(N89*(1+S89)&lt;100,0.5,IF(N89*(1+S89)&lt;1000,1,5))))</f>
        <v>66</v>
      </c>
      <c r="U89" s="45" t="n">
        <f aca="false">IF(OR(T89="",P89=""),"",(T89-P89)/T89)</f>
        <v>0.751136363636364</v>
      </c>
      <c r="V89" s="45" t="n">
        <f aca="false">IF(T89="",0,T89/N89-1)</f>
        <v>0.168348380244291</v>
      </c>
      <c r="W89" s="38" t="s">
        <v>107</v>
      </c>
    </row>
    <row r="90" customFormat="false" ht="15" hidden="false" customHeight="false" outlineLevel="0" collapsed="false">
      <c r="A90" s="19" t="n">
        <v>49</v>
      </c>
      <c r="B90" s="19" t="s">
        <v>164</v>
      </c>
      <c r="C90" s="19" t="s">
        <v>57</v>
      </c>
      <c r="D90" s="19" t="s">
        <v>165</v>
      </c>
      <c r="E90" s="19" t="s">
        <v>58</v>
      </c>
      <c r="F90" s="20" t="n">
        <v>382</v>
      </c>
      <c r="G90" s="20" t="n">
        <v>123</v>
      </c>
      <c r="H90" s="21" t="n">
        <v>30463.16</v>
      </c>
      <c r="I90" s="21" t="n">
        <v>-5315.72</v>
      </c>
      <c r="J90" s="21" t="n">
        <v>-1342.12</v>
      </c>
      <c r="K90" s="22" t="n">
        <f aca="false">H90+I90+J90</f>
        <v>23805.32</v>
      </c>
      <c r="L90" s="23" t="n">
        <f aca="false">IF($K$1282=0,0,K90/$K$1282)</f>
        <v>0.00197199551845377</v>
      </c>
      <c r="M90" s="24" t="n">
        <f aca="false">IF(F90&lt;=0,0,K90/F90)</f>
        <v>62.3175916230367</v>
      </c>
      <c r="N90" s="21" t="n">
        <v>83</v>
      </c>
      <c r="O90" s="49" t="n">
        <v>1.05</v>
      </c>
      <c r="P90" s="24" t="n">
        <f aca="false">O90*'Price Groups'!$B$5</f>
        <v>23.625</v>
      </c>
      <c r="Q90" s="26" t="n">
        <f aca="false">IF(OR(N90="",P90=""),"",(N90-P90)/N90)</f>
        <v>0.715361445783133</v>
      </c>
      <c r="R90" s="27" t="n">
        <v>4</v>
      </c>
      <c r="S90" s="28" t="n">
        <f aca="false">IF(R90="-",0,IFERROR(VLOOKUP(R90,'Price Groups'!$A$13:$C$17,3,FALSE()),0))</f>
        <v>0.15</v>
      </c>
      <c r="T90" s="22" t="n">
        <f aca="false">IF(OR(N90="",R90="-"),"",CEILING(ROUND(N90*(1+S90),2),IF(N90*(1+S90)&lt;100,0.5,IF(N90*(1+S90)&lt;1000,1,5))))</f>
        <v>95.5</v>
      </c>
      <c r="U90" s="26" t="n">
        <f aca="false">IF(OR(T90="",P90=""),"",(T90-P90)/T90)</f>
        <v>0.75261780104712</v>
      </c>
      <c r="V90" s="26" t="n">
        <f aca="false">IF(T90="",0,T90/N90-1)</f>
        <v>0.150602409638554</v>
      </c>
      <c r="W90" s="19" t="s">
        <v>101</v>
      </c>
    </row>
    <row r="91" customFormat="false" ht="15" hidden="false" customHeight="false" outlineLevel="0" collapsed="false">
      <c r="A91" s="38" t="n">
        <v>50</v>
      </c>
      <c r="B91" s="38" t="s">
        <v>166</v>
      </c>
      <c r="C91" s="38" t="s">
        <v>57</v>
      </c>
      <c r="D91" s="38"/>
      <c r="E91" s="38" t="s">
        <v>58</v>
      </c>
      <c r="F91" s="39" t="n">
        <v>358</v>
      </c>
      <c r="G91" s="39" t="n">
        <v>139</v>
      </c>
      <c r="H91" s="40" t="n">
        <v>11082.94</v>
      </c>
      <c r="I91" s="40" t="n">
        <v>-56.39</v>
      </c>
      <c r="J91" s="40" t="n">
        <v>-1229.65</v>
      </c>
      <c r="K91" s="41" t="n">
        <f aca="false">H91+I91+J91</f>
        <v>9796.9</v>
      </c>
      <c r="L91" s="42" t="n">
        <f aca="false">IF($K$1282=0,0,K91/$K$1282)</f>
        <v>0.000811559890593354</v>
      </c>
      <c r="M91" s="43" t="n">
        <f aca="false">IF(F91&lt;=0,0,K91/F91)</f>
        <v>27.3656424581006</v>
      </c>
      <c r="N91" s="40" t="n">
        <v>24.99</v>
      </c>
      <c r="O91" s="44" t="n">
        <v>0.42</v>
      </c>
      <c r="P91" s="43" t="n">
        <f aca="false">O91*'Price Groups'!$B$5</f>
        <v>9.45</v>
      </c>
      <c r="Q91" s="45" t="n">
        <f aca="false">IF(OR(N91="",P91=""),"",(N91-P91)/N91)</f>
        <v>0.621848739495798</v>
      </c>
      <c r="R91" s="46" t="n">
        <v>1</v>
      </c>
      <c r="S91" s="47" t="n">
        <f aca="false">IF(R91="-",0,IFERROR(VLOOKUP(R91,'Price Groups'!$A$13:$C$17,3,FALSE()),0))</f>
        <v>0.22</v>
      </c>
      <c r="T91" s="41" t="n">
        <f aca="false">IF(OR(N91="",R91="-"),"",CEILING(ROUND(N91*(1+S91),2),IF(N91*(1+S91)&lt;100,0.5,IF(N91*(1+S91)&lt;1000,1,5))))</f>
        <v>30.5</v>
      </c>
      <c r="U91" s="45" t="n">
        <f aca="false">IF(OR(T91="",P91=""),"",(T91-P91)/T91)</f>
        <v>0.69016393442623</v>
      </c>
      <c r="V91" s="45" t="n">
        <f aca="false">IF(T91="",0,T91/N91-1)</f>
        <v>0.220488195278111</v>
      </c>
      <c r="W91" s="38" t="s">
        <v>94</v>
      </c>
    </row>
    <row r="92" customFormat="false" ht="15" hidden="false" customHeight="false" outlineLevel="0" collapsed="false">
      <c r="A92" s="19" t="n">
        <v>51</v>
      </c>
      <c r="B92" s="19" t="s">
        <v>167</v>
      </c>
      <c r="C92" s="19" t="s">
        <v>57</v>
      </c>
      <c r="D92" s="19"/>
      <c r="E92" s="19" t="s">
        <v>58</v>
      </c>
      <c r="F92" s="20" t="n">
        <v>357</v>
      </c>
      <c r="G92" s="20" t="n">
        <v>158</v>
      </c>
      <c r="H92" s="21" t="n">
        <v>16755.7</v>
      </c>
      <c r="I92" s="21" t="n">
        <v>-139.56</v>
      </c>
      <c r="J92" s="21" t="n">
        <v>-1286.28</v>
      </c>
      <c r="K92" s="22" t="n">
        <f aca="false">H92+I92+J92</f>
        <v>15329.86</v>
      </c>
      <c r="L92" s="23" t="n">
        <f aca="false">IF($K$1282=0,0,K92/$K$1282)</f>
        <v>0.00126990165301385</v>
      </c>
      <c r="M92" s="24" t="n">
        <f aca="false">IF(F92&lt;=0,0,K92/F92)</f>
        <v>42.9407843137255</v>
      </c>
      <c r="N92" s="21" t="n">
        <v>49.99</v>
      </c>
      <c r="O92" s="49" t="n">
        <v>0.74</v>
      </c>
      <c r="P92" s="24" t="n">
        <f aca="false">O92*'Price Groups'!$B$5</f>
        <v>16.65</v>
      </c>
      <c r="Q92" s="26" t="n">
        <f aca="false">IF(OR(N92="",P92=""),"",(N92-P92)/N92)</f>
        <v>0.666933386677336</v>
      </c>
      <c r="R92" s="27" t="n">
        <v>3</v>
      </c>
      <c r="S92" s="28" t="n">
        <f aca="false">IF(R92="-",0,IFERROR(VLOOKUP(R92,'Price Groups'!$A$13:$C$17,3,FALSE()),0))</f>
        <v>0.16</v>
      </c>
      <c r="T92" s="22" t="n">
        <f aca="false">IF(OR(N92="",R92="-"),"",CEILING(ROUND(N92*(1+S92),2),IF(N92*(1+S92)&lt;100,0.5,IF(N92*(1+S92)&lt;1000,1,5))))</f>
        <v>58</v>
      </c>
      <c r="U92" s="26" t="n">
        <f aca="false">IF(OR(T92="",P92=""),"",(T92-P92)/T92)</f>
        <v>0.712931034482759</v>
      </c>
      <c r="V92" s="26" t="n">
        <f aca="false">IF(T92="",0,T92/N92-1)</f>
        <v>0.160232046409282</v>
      </c>
      <c r="W92" s="19" t="s">
        <v>107</v>
      </c>
    </row>
    <row r="93" customFormat="false" ht="15" hidden="false" customHeight="false" outlineLevel="0" collapsed="false">
      <c r="A93" s="38" t="n">
        <v>52</v>
      </c>
      <c r="B93" s="38" t="s">
        <v>168</v>
      </c>
      <c r="C93" s="38" t="s">
        <v>57</v>
      </c>
      <c r="D93" s="38"/>
      <c r="E93" s="38" t="s">
        <v>58</v>
      </c>
      <c r="F93" s="39" t="n">
        <v>356</v>
      </c>
      <c r="G93" s="39" t="n">
        <v>131</v>
      </c>
      <c r="H93" s="40" t="n">
        <v>24502.55</v>
      </c>
      <c r="I93" s="40" t="n">
        <v>-261.51</v>
      </c>
      <c r="J93" s="40" t="n">
        <v>-2661.66</v>
      </c>
      <c r="K93" s="41" t="n">
        <f aca="false">H93+I93+J93</f>
        <v>21579.38</v>
      </c>
      <c r="L93" s="42" t="n">
        <f aca="false">IF($K$1282=0,0,K93/$K$1282)</f>
        <v>0.00178760212637389</v>
      </c>
      <c r="M93" s="43" t="n">
        <f aca="false">IF(F93&lt;=0,0,K93/F93)</f>
        <v>60.6162359550562</v>
      </c>
      <c r="N93" s="40" t="n">
        <v>55</v>
      </c>
      <c r="O93" s="44" t="n">
        <v>1.08</v>
      </c>
      <c r="P93" s="43" t="n">
        <f aca="false">O93*'Price Groups'!$B$5</f>
        <v>24.3</v>
      </c>
      <c r="Q93" s="45" t="n">
        <f aca="false">IF(OR(N93="",P93=""),"",(N93-P93)/N93)</f>
        <v>0.558181818181818</v>
      </c>
      <c r="R93" s="46" t="n">
        <v>3</v>
      </c>
      <c r="S93" s="47" t="n">
        <f aca="false">IF(R93="-",0,IFERROR(VLOOKUP(R93,'Price Groups'!$A$13:$C$17,3,FALSE()),0))</f>
        <v>0.16</v>
      </c>
      <c r="T93" s="41" t="n">
        <f aca="false">IF(OR(N93="",R93="-"),"",CEILING(ROUND(N93*(1+S93),2),IF(N93*(1+S93)&lt;100,0.5,IF(N93*(1+S93)&lt;1000,1,5))))</f>
        <v>64</v>
      </c>
      <c r="U93" s="45" t="n">
        <f aca="false">IF(OR(T93="",P93=""),"",(T93-P93)/T93)</f>
        <v>0.6203125</v>
      </c>
      <c r="V93" s="45" t="n">
        <f aca="false">IF(T93="",0,T93/N93-1)</f>
        <v>0.163636363636364</v>
      </c>
      <c r="W93" s="38" t="s">
        <v>107</v>
      </c>
    </row>
    <row r="94" customFormat="false" ht="15" hidden="false" customHeight="false" outlineLevel="0" collapsed="false">
      <c r="A94" s="19" t="n">
        <v>53</v>
      </c>
      <c r="B94" s="19" t="s">
        <v>169</v>
      </c>
      <c r="C94" s="19" t="s">
        <v>57</v>
      </c>
      <c r="D94" s="19" t="s">
        <v>170</v>
      </c>
      <c r="E94" s="19" t="s">
        <v>58</v>
      </c>
      <c r="F94" s="20" t="n">
        <v>349</v>
      </c>
      <c r="G94" s="20" t="n">
        <v>156</v>
      </c>
      <c r="H94" s="21" t="n">
        <v>22567.71</v>
      </c>
      <c r="I94" s="21" t="n">
        <v>-79.98</v>
      </c>
      <c r="J94" s="21" t="n">
        <v>-6629.52</v>
      </c>
      <c r="K94" s="22" t="n">
        <f aca="false">H94+I94+J94</f>
        <v>15858.21</v>
      </c>
      <c r="L94" s="23" t="n">
        <f aca="false">IF($K$1282=0,0,K94/$K$1282)</f>
        <v>0.0013136693415883</v>
      </c>
      <c r="M94" s="24" t="n">
        <f aca="false">IF(F94&lt;=0,0,K94/F94)</f>
        <v>45.4389971346705</v>
      </c>
      <c r="N94" s="21" t="n">
        <v>54.99</v>
      </c>
      <c r="O94" s="49" t="n">
        <v>0.74</v>
      </c>
      <c r="P94" s="24" t="n">
        <f aca="false">O94*'Price Groups'!$B$5</f>
        <v>16.65</v>
      </c>
      <c r="Q94" s="26" t="n">
        <f aca="false">IF(OR(N94="",P94=""),"",(N94-P94)/N94)</f>
        <v>0.69721767594108</v>
      </c>
      <c r="R94" s="27" t="n">
        <v>3</v>
      </c>
      <c r="S94" s="28" t="n">
        <f aca="false">IF(R94="-",0,IFERROR(VLOOKUP(R94,'Price Groups'!$A$13:$C$17,3,FALSE()),0))</f>
        <v>0.16</v>
      </c>
      <c r="T94" s="22" t="n">
        <f aca="false">IF(OR(N94="",R94="-"),"",CEILING(ROUND(N94*(1+S94),2),IF(N94*(1+S94)&lt;100,0.5,IF(N94*(1+S94)&lt;1000,1,5))))</f>
        <v>64</v>
      </c>
      <c r="U94" s="26" t="n">
        <f aca="false">IF(OR(T94="",P94=""),"",(T94-P94)/T94)</f>
        <v>0.73984375</v>
      </c>
      <c r="V94" s="26" t="n">
        <f aca="false">IF(T94="",0,T94/N94-1)</f>
        <v>0.163847972358611</v>
      </c>
      <c r="W94" s="19" t="s">
        <v>107</v>
      </c>
    </row>
    <row r="95" customFormat="false" ht="15" hidden="false" customHeight="false" outlineLevel="0" collapsed="false">
      <c r="A95" s="38" t="n">
        <v>54</v>
      </c>
      <c r="B95" s="38" t="s">
        <v>171</v>
      </c>
      <c r="C95" s="38" t="s">
        <v>57</v>
      </c>
      <c r="D95" s="38"/>
      <c r="E95" s="38" t="s">
        <v>58</v>
      </c>
      <c r="F95" s="39" t="n">
        <v>334</v>
      </c>
      <c r="G95" s="39" t="n">
        <v>199</v>
      </c>
      <c r="H95" s="40" t="n">
        <v>10541.39</v>
      </c>
      <c r="I95" s="40" t="n">
        <v>-104.54</v>
      </c>
      <c r="J95" s="40" t="n">
        <v>-1341.05</v>
      </c>
      <c r="K95" s="41" t="n">
        <f aca="false">H95+I95+J95</f>
        <v>9095.8</v>
      </c>
      <c r="L95" s="42" t="n">
        <f aca="false">IF($K$1282=0,0,K95/$K$1282)</f>
        <v>0.000753481861901114</v>
      </c>
      <c r="M95" s="43" t="n">
        <f aca="false">IF(F95&lt;=0,0,K95/F95)</f>
        <v>27.2329341317365</v>
      </c>
      <c r="N95" s="40" t="n">
        <v>31.61</v>
      </c>
      <c r="O95" s="44" t="n">
        <v>0.43</v>
      </c>
      <c r="P95" s="43" t="n">
        <f aca="false">O95*'Price Groups'!$B$5</f>
        <v>9.675</v>
      </c>
      <c r="Q95" s="45" t="n">
        <f aca="false">IF(OR(N95="",P95=""),"",(N95-P95)/N95)</f>
        <v>0.69392597279342</v>
      </c>
      <c r="R95" s="46" t="n">
        <v>5</v>
      </c>
      <c r="S95" s="47" t="n">
        <f aca="false">IF(R95="-",0,IFERROR(VLOOKUP(R95,'Price Groups'!$A$13:$C$17,3,FALSE()),0))</f>
        <v>0.02</v>
      </c>
      <c r="T95" s="41" t="n">
        <f aca="false">IF(OR(N95="",R95="-"),"",CEILING(ROUND(N95*(1+S95),2),IF(N95*(1+S95)&lt;100,0.5,IF(N95*(1+S95)&lt;1000,1,5))))</f>
        <v>32.5</v>
      </c>
      <c r="U95" s="45" t="n">
        <f aca="false">IF(OR(T95="",P95=""),"",(T95-P95)/T95)</f>
        <v>0.702307692307692</v>
      </c>
      <c r="V95" s="45" t="n">
        <f aca="false">IF(T95="",0,T95/N95-1)</f>
        <v>0.0281556469471687</v>
      </c>
      <c r="W95" s="38" t="s">
        <v>89</v>
      </c>
    </row>
    <row r="96" customFormat="false" ht="15" hidden="false" customHeight="false" outlineLevel="0" collapsed="false">
      <c r="A96" s="19" t="n">
        <v>55</v>
      </c>
      <c r="B96" s="19" t="s">
        <v>172</v>
      </c>
      <c r="C96" s="19" t="s">
        <v>57</v>
      </c>
      <c r="D96" s="19"/>
      <c r="E96" s="19" t="s">
        <v>58</v>
      </c>
      <c r="F96" s="20" t="n">
        <v>328</v>
      </c>
      <c r="G96" s="20" t="n">
        <v>145</v>
      </c>
      <c r="H96" s="21" t="n">
        <v>12674</v>
      </c>
      <c r="I96" s="21" t="n">
        <v>-153.73</v>
      </c>
      <c r="J96" s="21" t="n">
        <v>-1325.26</v>
      </c>
      <c r="K96" s="22" t="n">
        <f aca="false">H96+I96+J96</f>
        <v>11195.01</v>
      </c>
      <c r="L96" s="23" t="n">
        <f aca="false">IF($K$1282=0,0,K96/$K$1282)</f>
        <v>0.000927377138767518</v>
      </c>
      <c r="M96" s="24" t="n">
        <f aca="false">IF(F96&lt;=0,0,K96/F96)</f>
        <v>34.1311280487805</v>
      </c>
      <c r="N96" s="21" t="n">
        <v>24.99</v>
      </c>
      <c r="O96" s="49" t="n">
        <v>0.42</v>
      </c>
      <c r="P96" s="24" t="n">
        <f aca="false">O96*'Price Groups'!$B$5</f>
        <v>9.45</v>
      </c>
      <c r="Q96" s="26" t="n">
        <f aca="false">IF(OR(N96="",P96=""),"",(N96-P96)/N96)</f>
        <v>0.621848739495798</v>
      </c>
      <c r="R96" s="27" t="n">
        <v>3</v>
      </c>
      <c r="S96" s="28" t="n">
        <f aca="false">IF(R96="-",0,IFERROR(VLOOKUP(R96,'Price Groups'!$A$13:$C$17,3,FALSE()),0))</f>
        <v>0.16</v>
      </c>
      <c r="T96" s="22" t="n">
        <f aca="false">IF(OR(N96="",R96="-"),"",CEILING(ROUND(N96*(1+S96),2),IF(N96*(1+S96)&lt;100,0.5,IF(N96*(1+S96)&lt;1000,1,5))))</f>
        <v>29</v>
      </c>
      <c r="U96" s="26" t="n">
        <f aca="false">IF(OR(T96="",P96=""),"",(T96-P96)/T96)</f>
        <v>0.674137931034483</v>
      </c>
      <c r="V96" s="26" t="n">
        <f aca="false">IF(T96="",0,T96/N96-1)</f>
        <v>0.16046418567427</v>
      </c>
      <c r="W96" s="19" t="s">
        <v>107</v>
      </c>
    </row>
    <row r="97" customFormat="false" ht="15" hidden="false" customHeight="false" outlineLevel="0" collapsed="false">
      <c r="A97" s="38" t="n">
        <v>56</v>
      </c>
      <c r="B97" s="38" t="s">
        <v>173</v>
      </c>
      <c r="C97" s="38" t="s">
        <v>57</v>
      </c>
      <c r="D97" s="38" t="s">
        <v>174</v>
      </c>
      <c r="E97" s="38" t="s">
        <v>58</v>
      </c>
      <c r="F97" s="39" t="n">
        <v>324</v>
      </c>
      <c r="G97" s="39" t="n">
        <v>79</v>
      </c>
      <c r="H97" s="40" t="n">
        <v>7647</v>
      </c>
      <c r="I97" s="40" t="n">
        <v>-13.68</v>
      </c>
      <c r="J97" s="40" t="n">
        <v>-452.98</v>
      </c>
      <c r="K97" s="41" t="n">
        <f aca="false">H97+I97+J97</f>
        <v>7180.34</v>
      </c>
      <c r="L97" s="42" t="n">
        <f aca="false">IF($K$1282=0,0,K97/$K$1282)</f>
        <v>0.000594808147967529</v>
      </c>
      <c r="M97" s="43" t="n">
        <f aca="false">IF(F97&lt;=0,0,K97/F97)</f>
        <v>22.1615432098765</v>
      </c>
      <c r="N97" s="40" t="n">
        <v>24</v>
      </c>
      <c r="O97" s="44" t="n">
        <v>0.42</v>
      </c>
      <c r="P97" s="43" t="n">
        <f aca="false">O97*'Price Groups'!$B$5</f>
        <v>9.45</v>
      </c>
      <c r="Q97" s="45" t="n">
        <f aca="false">IF(OR(N97="",P97=""),"",(N97-P97)/N97)</f>
        <v>0.60625</v>
      </c>
      <c r="R97" s="46" t="n">
        <v>1</v>
      </c>
      <c r="S97" s="47" t="n">
        <f aca="false">IF(R97="-",0,IFERROR(VLOOKUP(R97,'Price Groups'!$A$13:$C$17,3,FALSE()),0))</f>
        <v>0.22</v>
      </c>
      <c r="T97" s="41" t="n">
        <f aca="false">IF(OR(N97="",R97="-"),"",CEILING(ROUND(N97*(1+S97),2),IF(N97*(1+S97)&lt;100,0.5,IF(N97*(1+S97)&lt;1000,1,5))))</f>
        <v>29.5</v>
      </c>
      <c r="U97" s="45" t="n">
        <f aca="false">IF(OR(T97="",P97=""),"",(T97-P97)/T97)</f>
        <v>0.679661016949153</v>
      </c>
      <c r="V97" s="45" t="n">
        <f aca="false">IF(T97="",0,T97/N97-1)</f>
        <v>0.229166666666667</v>
      </c>
      <c r="W97" s="38" t="s">
        <v>94</v>
      </c>
    </row>
    <row r="98" customFormat="false" ht="15" hidden="false" customHeight="false" outlineLevel="0" collapsed="false">
      <c r="A98" s="19" t="n">
        <v>57</v>
      </c>
      <c r="B98" s="19" t="s">
        <v>175</v>
      </c>
      <c r="C98" s="19" t="s">
        <v>57</v>
      </c>
      <c r="D98" s="19"/>
      <c r="E98" s="19" t="s">
        <v>58</v>
      </c>
      <c r="F98" s="20" t="n">
        <v>321</v>
      </c>
      <c r="G98" s="20" t="n">
        <v>170</v>
      </c>
      <c r="H98" s="21" t="n">
        <v>10446.16</v>
      </c>
      <c r="I98" s="21" t="n">
        <v>-171.83</v>
      </c>
      <c r="J98" s="21" t="n">
        <v>-1193.37</v>
      </c>
      <c r="K98" s="22" t="n">
        <f aca="false">H98+I98+J98</f>
        <v>9080.96</v>
      </c>
      <c r="L98" s="23" t="n">
        <f aca="false">IF($K$1282=0,0,K98/$K$1282)</f>
        <v>0.000752252539485206</v>
      </c>
      <c r="M98" s="24" t="n">
        <f aca="false">IF(F98&lt;=0,0,K98/F98)</f>
        <v>28.2895950155763</v>
      </c>
      <c r="N98" s="21" t="n">
        <v>35</v>
      </c>
      <c r="O98" s="49" t="n">
        <v>0.55</v>
      </c>
      <c r="P98" s="24" t="n">
        <f aca="false">O98*'Price Groups'!$B$5</f>
        <v>12.375</v>
      </c>
      <c r="Q98" s="26" t="n">
        <f aca="false">IF(OR(N98="",P98=""),"",(N98-P98)/N98)</f>
        <v>0.646428571428572</v>
      </c>
      <c r="R98" s="27" t="n">
        <v>5</v>
      </c>
      <c r="S98" s="28" t="n">
        <f aca="false">IF(R98="-",0,IFERROR(VLOOKUP(R98,'Price Groups'!$A$13:$C$17,3,FALSE()),0))</f>
        <v>0.02</v>
      </c>
      <c r="T98" s="22" t="n">
        <f aca="false">IF(OR(N98="",R98="-"),"",CEILING(ROUND(N98*(1+S98),2),IF(N98*(1+S98)&lt;100,0.5,IF(N98*(1+S98)&lt;1000,1,5))))</f>
        <v>36</v>
      </c>
      <c r="U98" s="26" t="n">
        <f aca="false">IF(OR(T98="",P98=""),"",(T98-P98)/T98)</f>
        <v>0.65625</v>
      </c>
      <c r="V98" s="26" t="n">
        <f aca="false">IF(T98="",0,T98/N98-1)</f>
        <v>0.0285714285714285</v>
      </c>
      <c r="W98" s="19" t="s">
        <v>89</v>
      </c>
    </row>
    <row r="99" customFormat="false" ht="15" hidden="false" customHeight="false" outlineLevel="0" collapsed="false">
      <c r="A99" s="38" t="n">
        <v>58</v>
      </c>
      <c r="B99" s="38" t="s">
        <v>176</v>
      </c>
      <c r="C99" s="38" t="s">
        <v>57</v>
      </c>
      <c r="D99" s="38" t="s">
        <v>177</v>
      </c>
      <c r="E99" s="38" t="s">
        <v>58</v>
      </c>
      <c r="F99" s="39" t="n">
        <v>315</v>
      </c>
      <c r="G99" s="39" t="n">
        <v>54</v>
      </c>
      <c r="H99" s="40" t="n">
        <v>7455.5</v>
      </c>
      <c r="I99" s="40" t="n">
        <v>-40.65</v>
      </c>
      <c r="J99" s="40" t="n">
        <v>-1004.09</v>
      </c>
      <c r="K99" s="41" t="n">
        <f aca="false">H99+I99+J99</f>
        <v>6410.76</v>
      </c>
      <c r="L99" s="42" t="n">
        <f aca="false">IF($K$1282=0,0,K99/$K$1282)</f>
        <v>0.000531057343059564</v>
      </c>
      <c r="M99" s="43" t="n">
        <f aca="false">IF(F99&lt;=0,0,K99/F99)</f>
        <v>20.3516190476191</v>
      </c>
      <c r="N99" s="40" t="n">
        <v>21</v>
      </c>
      <c r="O99" s="44" t="n">
        <v>0.42</v>
      </c>
      <c r="P99" s="43" t="n">
        <f aca="false">O99*'Price Groups'!$B$5</f>
        <v>9.45</v>
      </c>
      <c r="Q99" s="45" t="n">
        <f aca="false">IF(OR(N99="",P99=""),"",(N99-P99)/N99)</f>
        <v>0.55</v>
      </c>
      <c r="R99" s="46" t="n">
        <v>1</v>
      </c>
      <c r="S99" s="47" t="n">
        <f aca="false">IF(R99="-",0,IFERROR(VLOOKUP(R99,'Price Groups'!$A$13:$C$17,3,FALSE()),0))</f>
        <v>0.22</v>
      </c>
      <c r="T99" s="41" t="n">
        <f aca="false">IF(OR(N99="",R99="-"),"",CEILING(ROUND(N99*(1+S99),2),IF(N99*(1+S99)&lt;100,0.5,IF(N99*(1+S99)&lt;1000,1,5))))</f>
        <v>26</v>
      </c>
      <c r="U99" s="45" t="n">
        <f aca="false">IF(OR(T99="",P99=""),"",(T99-P99)/T99)</f>
        <v>0.636538461538462</v>
      </c>
      <c r="V99" s="45" t="n">
        <f aca="false">IF(T99="",0,T99/N99-1)</f>
        <v>0.238095238095238</v>
      </c>
      <c r="W99" s="38" t="s">
        <v>178</v>
      </c>
    </row>
    <row r="100" customFormat="false" ht="15" hidden="false" customHeight="false" outlineLevel="0" collapsed="false">
      <c r="A100" s="19" t="n">
        <v>59</v>
      </c>
      <c r="B100" s="19" t="s">
        <v>179</v>
      </c>
      <c r="C100" s="19" t="s">
        <v>57</v>
      </c>
      <c r="D100" s="19"/>
      <c r="E100" s="19" t="s">
        <v>58</v>
      </c>
      <c r="F100" s="20" t="n">
        <v>312</v>
      </c>
      <c r="G100" s="20" t="n">
        <v>63</v>
      </c>
      <c r="H100" s="21" t="n">
        <v>3514.28</v>
      </c>
      <c r="I100" s="21" t="n">
        <v>-14.06</v>
      </c>
      <c r="J100" s="21" t="n">
        <v>-146</v>
      </c>
      <c r="K100" s="22" t="n">
        <f aca="false">H100+I100+J100</f>
        <v>3354.22</v>
      </c>
      <c r="L100" s="23" t="n">
        <f aca="false">IF($K$1282=0,0,K100/$K$1282)</f>
        <v>0.000277858344601459</v>
      </c>
      <c r="M100" s="24" t="n">
        <f aca="false">IF(F100&lt;=0,0,K100/F100)</f>
        <v>10.7507051282051</v>
      </c>
      <c r="N100" s="21" t="n">
        <v>13</v>
      </c>
      <c r="O100" s="49" t="n">
        <v>0.23</v>
      </c>
      <c r="P100" s="24" t="n">
        <f aca="false">O100*'Price Groups'!$B$5</f>
        <v>5.175</v>
      </c>
      <c r="Q100" s="26" t="n">
        <f aca="false">IF(OR(N100="",P100=""),"",(N100-P100)/N100)</f>
        <v>0.601923076923077</v>
      </c>
      <c r="R100" s="27" t="n">
        <v>1</v>
      </c>
      <c r="S100" s="28" t="n">
        <f aca="false">IF(R100="-",0,IFERROR(VLOOKUP(R100,'Price Groups'!$A$13:$C$17,3,FALSE()),0))</f>
        <v>0.22</v>
      </c>
      <c r="T100" s="22" t="n">
        <f aca="false">IF(OR(N100="",R100="-"),"",CEILING(ROUND(N100*(1+S100),2),IF(N100*(1+S100)&lt;100,0.5,IF(N100*(1+S100)&lt;1000,1,5))))</f>
        <v>16</v>
      </c>
      <c r="U100" s="26" t="n">
        <f aca="false">IF(OR(T100="",P100=""),"",(T100-P100)/T100)</f>
        <v>0.6765625</v>
      </c>
      <c r="V100" s="26" t="n">
        <f aca="false">IF(T100="",0,T100/N100-1)</f>
        <v>0.230769230769231</v>
      </c>
      <c r="W100" s="19" t="s">
        <v>94</v>
      </c>
    </row>
    <row r="101" customFormat="false" ht="15" hidden="false" customHeight="false" outlineLevel="0" collapsed="false">
      <c r="A101" s="38" t="n">
        <v>60</v>
      </c>
      <c r="B101" s="38" t="s">
        <v>180</v>
      </c>
      <c r="C101" s="38" t="s">
        <v>57</v>
      </c>
      <c r="D101" s="38" t="s">
        <v>181</v>
      </c>
      <c r="E101" s="38" t="s">
        <v>58</v>
      </c>
      <c r="F101" s="39" t="n">
        <v>306</v>
      </c>
      <c r="G101" s="39" t="n">
        <v>101</v>
      </c>
      <c r="H101" s="40" t="n">
        <v>21576.1</v>
      </c>
      <c r="I101" s="40" t="n">
        <v>-763.65</v>
      </c>
      <c r="J101" s="40" t="n">
        <v>-1213.3</v>
      </c>
      <c r="K101" s="41" t="n">
        <f aca="false">H101+I101+J101</f>
        <v>19599.15</v>
      </c>
      <c r="L101" s="42" t="n">
        <f aca="false">IF($K$1282=0,0,K101/$K$1282)</f>
        <v>0.00162356296682856</v>
      </c>
      <c r="M101" s="43" t="n">
        <f aca="false">IF(F101&lt;=0,0,K101/F101)</f>
        <v>64.0495098039216</v>
      </c>
      <c r="N101" s="40" t="n">
        <v>64.9</v>
      </c>
      <c r="O101" s="44" t="n">
        <v>1.15</v>
      </c>
      <c r="P101" s="43" t="n">
        <f aca="false">O101*'Price Groups'!$B$5</f>
        <v>25.875</v>
      </c>
      <c r="Q101" s="45" t="n">
        <f aca="false">IF(OR(N101="",P101=""),"",(N101-P101)/N101)</f>
        <v>0.601309707241911</v>
      </c>
      <c r="R101" s="46" t="n">
        <v>4</v>
      </c>
      <c r="S101" s="47" t="n">
        <f aca="false">IF(R101="-",0,IFERROR(VLOOKUP(R101,'Price Groups'!$A$13:$C$17,3,FALSE()),0))</f>
        <v>0.15</v>
      </c>
      <c r="T101" s="41" t="n">
        <f aca="false">IF(OR(N101="",R101="-"),"",CEILING(ROUND(N101*(1+S101),2),IF(N101*(1+S101)&lt;100,0.5,IF(N101*(1+S101)&lt;1000,1,5))))</f>
        <v>75</v>
      </c>
      <c r="U101" s="45" t="n">
        <f aca="false">IF(OR(T101="",P101=""),"",(T101-P101)/T101)</f>
        <v>0.655</v>
      </c>
      <c r="V101" s="45" t="n">
        <f aca="false">IF(T101="",0,T101/N101-1)</f>
        <v>0.155624036979969</v>
      </c>
      <c r="W101" s="38" t="s">
        <v>101</v>
      </c>
    </row>
    <row r="102" customFormat="false" ht="15" hidden="false" customHeight="false" outlineLevel="0" collapsed="false">
      <c r="A102" s="19" t="n">
        <v>61</v>
      </c>
      <c r="B102" s="19" t="s">
        <v>182</v>
      </c>
      <c r="C102" s="19" t="s">
        <v>57</v>
      </c>
      <c r="D102" s="19" t="s">
        <v>183</v>
      </c>
      <c r="E102" s="19" t="s">
        <v>58</v>
      </c>
      <c r="F102" s="20" t="n">
        <v>303</v>
      </c>
      <c r="G102" s="20" t="n">
        <v>128</v>
      </c>
      <c r="H102" s="21" t="n">
        <v>15956.86</v>
      </c>
      <c r="I102" s="21" t="n">
        <v>-42.14</v>
      </c>
      <c r="J102" s="21" t="n">
        <v>-669</v>
      </c>
      <c r="K102" s="22" t="n">
        <f aca="false">H102+I102+J102</f>
        <v>15245.72</v>
      </c>
      <c r="L102" s="23" t="n">
        <f aca="false">IF($K$1282=0,0,K102/$K$1282)</f>
        <v>0.00126293162686328</v>
      </c>
      <c r="M102" s="24" t="n">
        <f aca="false">IF(F102&lt;=0,0,K102/F102)</f>
        <v>50.3159075907591</v>
      </c>
      <c r="N102" s="21" t="n">
        <v>54.99</v>
      </c>
      <c r="O102" s="49" t="n">
        <v>0.39</v>
      </c>
      <c r="P102" s="24" t="n">
        <f aca="false">O102*'Price Groups'!$B$5</f>
        <v>8.775</v>
      </c>
      <c r="Q102" s="26" t="n">
        <f aca="false">IF(OR(N102="",P102=""),"",(N102-P102)/N102)</f>
        <v>0.840425531914894</v>
      </c>
      <c r="R102" s="27" t="n">
        <v>3</v>
      </c>
      <c r="S102" s="28" t="n">
        <f aca="false">IF(R102="-",0,IFERROR(VLOOKUP(R102,'Price Groups'!$A$13:$C$17,3,FALSE()),0))</f>
        <v>0.16</v>
      </c>
      <c r="T102" s="22" t="n">
        <f aca="false">IF(OR(N102="",R102="-"),"",CEILING(ROUND(N102*(1+S102),2),IF(N102*(1+S102)&lt;100,0.5,IF(N102*(1+S102)&lt;1000,1,5))))</f>
        <v>64</v>
      </c>
      <c r="U102" s="26" t="n">
        <f aca="false">IF(OR(T102="",P102=""),"",(T102-P102)/T102)</f>
        <v>0.862890625</v>
      </c>
      <c r="V102" s="26" t="n">
        <f aca="false">IF(T102="",0,T102/N102-1)</f>
        <v>0.163847972358611</v>
      </c>
      <c r="W102" s="19" t="s">
        <v>107</v>
      </c>
    </row>
    <row r="103" customFormat="false" ht="15" hidden="false" customHeight="false" outlineLevel="0" collapsed="false">
      <c r="A103" s="38" t="n">
        <v>62</v>
      </c>
      <c r="B103" s="38" t="s">
        <v>184</v>
      </c>
      <c r="C103" s="38" t="s">
        <v>57</v>
      </c>
      <c r="D103" s="38" t="s">
        <v>185</v>
      </c>
      <c r="E103" s="38" t="s">
        <v>58</v>
      </c>
      <c r="F103" s="39" t="n">
        <v>303</v>
      </c>
      <c r="G103" s="39" t="n">
        <v>51</v>
      </c>
      <c r="H103" s="40" t="n">
        <v>9205.82</v>
      </c>
      <c r="I103" s="40" t="n">
        <v>-111.89</v>
      </c>
      <c r="J103" s="40" t="n">
        <v>-911.06</v>
      </c>
      <c r="K103" s="41" t="n">
        <f aca="false">H103+I103+J103</f>
        <v>8182.87</v>
      </c>
      <c r="L103" s="42" t="n">
        <f aca="false">IF($K$1282=0,0,K103/$K$1282)</f>
        <v>0.000677856166944608</v>
      </c>
      <c r="M103" s="43" t="n">
        <f aca="false">IF(F103&lt;=0,0,K103/F103)</f>
        <v>27.0061716171617</v>
      </c>
      <c r="N103" s="40" t="n">
        <v>24.99</v>
      </c>
      <c r="O103" s="44" t="n">
        <v>0.42</v>
      </c>
      <c r="P103" s="43" t="n">
        <f aca="false">O103*'Price Groups'!$B$5</f>
        <v>9.45</v>
      </c>
      <c r="Q103" s="45" t="n">
        <f aca="false">IF(OR(N103="",P103=""),"",(N103-P103)/N103)</f>
        <v>0.621848739495798</v>
      </c>
      <c r="R103" s="46" t="n">
        <v>3</v>
      </c>
      <c r="S103" s="47" t="n">
        <f aca="false">IF(R103="-",0,IFERROR(VLOOKUP(R103,'Price Groups'!$A$13:$C$17,3,FALSE()),0))</f>
        <v>0.16</v>
      </c>
      <c r="T103" s="41" t="n">
        <f aca="false">IF(OR(N103="",R103="-"),"",CEILING(ROUND(N103*(1+S103),2),IF(N103*(1+S103)&lt;100,0.5,IF(N103*(1+S103)&lt;1000,1,5))))</f>
        <v>29</v>
      </c>
      <c r="U103" s="45" t="n">
        <f aca="false">IF(OR(T103="",P103=""),"",(T103-P103)/T103)</f>
        <v>0.674137931034483</v>
      </c>
      <c r="V103" s="45" t="n">
        <f aca="false">IF(T103="",0,T103/N103-1)</f>
        <v>0.16046418567427</v>
      </c>
      <c r="W103" s="38" t="s">
        <v>107</v>
      </c>
    </row>
    <row r="104" customFormat="false" ht="15" hidden="false" customHeight="false" outlineLevel="0" collapsed="false">
      <c r="A104" s="19" t="n">
        <v>63</v>
      </c>
      <c r="B104" s="19" t="s">
        <v>186</v>
      </c>
      <c r="C104" s="19" t="s">
        <v>57</v>
      </c>
      <c r="D104" s="19" t="s">
        <v>187</v>
      </c>
      <c r="E104" s="19" t="s">
        <v>58</v>
      </c>
      <c r="F104" s="20" t="n">
        <v>298</v>
      </c>
      <c r="G104" s="20" t="n">
        <v>118</v>
      </c>
      <c r="H104" s="21" t="n">
        <v>6897.13</v>
      </c>
      <c r="I104" s="21" t="n">
        <v>-60.11</v>
      </c>
      <c r="J104" s="21" t="n">
        <v>-1673.38</v>
      </c>
      <c r="K104" s="22" t="n">
        <f aca="false">H104+I104+J104</f>
        <v>5163.64</v>
      </c>
      <c r="L104" s="23" t="n">
        <f aca="false">IF($K$1282=0,0,K104/$K$1282)</f>
        <v>0.000427747870598196</v>
      </c>
      <c r="M104" s="24" t="n">
        <f aca="false">IF(F104&lt;=0,0,K104/F104)</f>
        <v>17.3276510067114</v>
      </c>
      <c r="N104" s="21" t="n">
        <v>24.99</v>
      </c>
      <c r="O104" s="49" t="n">
        <v>0.43</v>
      </c>
      <c r="P104" s="24" t="n">
        <f aca="false">O104*'Price Groups'!$B$5</f>
        <v>9.675</v>
      </c>
      <c r="Q104" s="26" t="n">
        <f aca="false">IF(OR(N104="",P104=""),"",(N104-P104)/N104)</f>
        <v>0.612845138055222</v>
      </c>
      <c r="R104" s="27" t="n">
        <v>3</v>
      </c>
      <c r="S104" s="28" t="n">
        <f aca="false">IF(R104="-",0,IFERROR(VLOOKUP(R104,'Price Groups'!$A$13:$C$17,3,FALSE()),0))</f>
        <v>0.16</v>
      </c>
      <c r="T104" s="22" t="n">
        <f aca="false">IF(OR(N104="",R104="-"),"",CEILING(ROUND(N104*(1+S104),2),IF(N104*(1+S104)&lt;100,0.5,IF(N104*(1+S104)&lt;1000,1,5))))</f>
        <v>29</v>
      </c>
      <c r="U104" s="26" t="n">
        <f aca="false">IF(OR(T104="",P104=""),"",(T104-P104)/T104)</f>
        <v>0.666379310344828</v>
      </c>
      <c r="V104" s="26" t="n">
        <f aca="false">IF(T104="",0,T104/N104-1)</f>
        <v>0.16046418567427</v>
      </c>
      <c r="W104" s="19" t="s">
        <v>107</v>
      </c>
    </row>
    <row r="105" customFormat="false" ht="15" hidden="false" customHeight="false" outlineLevel="0" collapsed="false">
      <c r="A105" s="38" t="n">
        <v>64</v>
      </c>
      <c r="B105" s="38" t="s">
        <v>188</v>
      </c>
      <c r="C105" s="38" t="s">
        <v>57</v>
      </c>
      <c r="D105" s="38" t="s">
        <v>189</v>
      </c>
      <c r="E105" s="38" t="s">
        <v>58</v>
      </c>
      <c r="F105" s="39" t="n">
        <v>294</v>
      </c>
      <c r="G105" s="39" t="n">
        <v>196</v>
      </c>
      <c r="H105" s="40" t="n">
        <v>26330.92</v>
      </c>
      <c r="I105" s="40" t="n">
        <v>-279</v>
      </c>
      <c r="J105" s="40" t="n">
        <v>-2832.06</v>
      </c>
      <c r="K105" s="41" t="n">
        <f aca="false">H105+I105+J105</f>
        <v>23219.86</v>
      </c>
      <c r="L105" s="42" t="n">
        <f aca="false">IF($K$1282=0,0,K105/$K$1282)</f>
        <v>0.00192349692670059</v>
      </c>
      <c r="M105" s="43" t="n">
        <f aca="false">IF(F105&lt;=0,0,K105/F105)</f>
        <v>78.9791156462585</v>
      </c>
      <c r="N105" s="40" t="n">
        <v>87.01</v>
      </c>
      <c r="O105" s="44" t="n">
        <v>1.34</v>
      </c>
      <c r="P105" s="43" t="n">
        <f aca="false">O105*'Price Groups'!$B$5</f>
        <v>30.15</v>
      </c>
      <c r="Q105" s="45" t="n">
        <f aca="false">IF(OR(N105="",P105=""),"",(N105-P105)/N105)</f>
        <v>0.653488104815538</v>
      </c>
      <c r="R105" s="46" t="n">
        <v>3</v>
      </c>
      <c r="S105" s="47" t="n">
        <f aca="false">IF(R105="-",0,IFERROR(VLOOKUP(R105,'Price Groups'!$A$13:$C$17,3,FALSE()),0))</f>
        <v>0.16</v>
      </c>
      <c r="T105" s="41" t="n">
        <f aca="false">IF(OR(N105="",R105="-"),"",CEILING(ROUND(N105*(1+S105),2),IF(N105*(1+S105)&lt;100,0.5,IF(N105*(1+S105)&lt;1000,1,5))))</f>
        <v>101</v>
      </c>
      <c r="U105" s="45" t="n">
        <f aca="false">IF(OR(T105="",P105=""),"",(T105-P105)/T105)</f>
        <v>0.701485148514851</v>
      </c>
      <c r="V105" s="45" t="n">
        <f aca="false">IF(T105="",0,T105/N105-1)</f>
        <v>0.160786116538329</v>
      </c>
      <c r="W105" s="38" t="s">
        <v>107</v>
      </c>
    </row>
    <row r="106" customFormat="false" ht="15" hidden="false" customHeight="false" outlineLevel="0" collapsed="false">
      <c r="A106" s="19" t="n">
        <v>65</v>
      </c>
      <c r="B106" s="19" t="s">
        <v>190</v>
      </c>
      <c r="C106" s="19" t="s">
        <v>57</v>
      </c>
      <c r="D106" s="19"/>
      <c r="E106" s="19" t="s">
        <v>58</v>
      </c>
      <c r="F106" s="20" t="n">
        <v>291</v>
      </c>
      <c r="G106" s="20" t="n">
        <v>113</v>
      </c>
      <c r="H106" s="21" t="n">
        <v>9914.75</v>
      </c>
      <c r="I106" s="21" t="n">
        <v>-115.46</v>
      </c>
      <c r="J106" s="21" t="n">
        <v>-1217.45</v>
      </c>
      <c r="K106" s="22" t="n">
        <f aca="false">H106+I106+J106</f>
        <v>8581.84</v>
      </c>
      <c r="L106" s="23" t="n">
        <f aca="false">IF($K$1282=0,0,K106/$K$1282)</f>
        <v>0.000710906218445596</v>
      </c>
      <c r="M106" s="24" t="n">
        <f aca="false">IF(F106&lt;=0,0,K106/F106)</f>
        <v>29.4908591065292</v>
      </c>
      <c r="N106" s="21" t="n">
        <v>31.79</v>
      </c>
      <c r="O106" s="49" t="n">
        <v>0.44</v>
      </c>
      <c r="P106" s="24" t="n">
        <f aca="false">O106*'Price Groups'!$B$5</f>
        <v>9.9</v>
      </c>
      <c r="Q106" s="26" t="n">
        <f aca="false">IF(OR(N106="",P106=""),"",(N106-P106)/N106)</f>
        <v>0.688581314878893</v>
      </c>
      <c r="R106" s="27" t="n">
        <v>1</v>
      </c>
      <c r="S106" s="28" t="n">
        <f aca="false">IF(R106="-",0,IFERROR(VLOOKUP(R106,'Price Groups'!$A$13:$C$17,3,FALSE()),0))</f>
        <v>0.22</v>
      </c>
      <c r="T106" s="22" t="n">
        <f aca="false">IF(OR(N106="",R106="-"),"",CEILING(ROUND(N106*(1+S106),2),IF(N106*(1+S106)&lt;100,0.5,IF(N106*(1+S106)&lt;1000,1,5))))</f>
        <v>39</v>
      </c>
      <c r="U106" s="26" t="n">
        <f aca="false">IF(OR(T106="",P106=""),"",(T106-P106)/T106)</f>
        <v>0.746153846153846</v>
      </c>
      <c r="V106" s="26" t="n">
        <f aca="false">IF(T106="",0,T106/N106-1)</f>
        <v>0.22680088078012</v>
      </c>
      <c r="W106" s="19" t="s">
        <v>94</v>
      </c>
    </row>
    <row r="107" customFormat="false" ht="15" hidden="false" customHeight="false" outlineLevel="0" collapsed="false">
      <c r="A107" s="38" t="n">
        <v>66</v>
      </c>
      <c r="B107" s="38" t="s">
        <v>191</v>
      </c>
      <c r="C107" s="38" t="s">
        <v>57</v>
      </c>
      <c r="D107" s="38"/>
      <c r="E107" s="38" t="s">
        <v>58</v>
      </c>
      <c r="F107" s="39" t="n">
        <v>284</v>
      </c>
      <c r="G107" s="39" t="n">
        <v>51</v>
      </c>
      <c r="H107" s="40" t="n">
        <v>58586.07</v>
      </c>
      <c r="I107" s="40" t="n">
        <v>-690.8</v>
      </c>
      <c r="J107" s="40" t="n">
        <v>-1549.95</v>
      </c>
      <c r="K107" s="41" t="n">
        <f aca="false">H107+I107+J107</f>
        <v>56345.32</v>
      </c>
      <c r="L107" s="42" t="n">
        <f aca="false">IF($K$1282=0,0,K107/$K$1282)</f>
        <v>0.00466755828217574</v>
      </c>
      <c r="M107" s="43" t="n">
        <f aca="false">IF(F107&lt;=0,0,K107/F107)</f>
        <v>198.399014084507</v>
      </c>
      <c r="N107" s="40" t="n">
        <v>200</v>
      </c>
      <c r="O107" s="44" t="n">
        <v>4.06</v>
      </c>
      <c r="P107" s="43" t="n">
        <f aca="false">O107*'Price Groups'!$B$5</f>
        <v>91.35</v>
      </c>
      <c r="Q107" s="45" t="n">
        <f aca="false">IF(OR(N107="",P107=""),"",(N107-P107)/N107)</f>
        <v>0.54325</v>
      </c>
      <c r="R107" s="46" t="n">
        <v>4</v>
      </c>
      <c r="S107" s="47" t="n">
        <f aca="false">IF(R107="-",0,IFERROR(VLOOKUP(R107,'Price Groups'!$A$13:$C$17,3,FALSE()),0))</f>
        <v>0.15</v>
      </c>
      <c r="T107" s="41" t="n">
        <f aca="false">IF(OR(N107="",R107="-"),"",CEILING(ROUND(N107*(1+S107),2),IF(N107*(1+S107)&lt;100,0.5,IF(N107*(1+S107)&lt;1000,1,5))))</f>
        <v>230</v>
      </c>
      <c r="U107" s="45" t="n">
        <f aca="false">IF(OR(T107="",P107=""),"",(T107-P107)/T107)</f>
        <v>0.602826086956522</v>
      </c>
      <c r="V107" s="45" t="n">
        <f aca="false">IF(T107="",0,T107/N107-1)</f>
        <v>0.15</v>
      </c>
      <c r="W107" s="38" t="s">
        <v>101</v>
      </c>
    </row>
    <row r="108" customFormat="false" ht="15" hidden="false" customHeight="false" outlineLevel="0" collapsed="false">
      <c r="A108" s="19" t="n">
        <v>67</v>
      </c>
      <c r="B108" s="19" t="s">
        <v>192</v>
      </c>
      <c r="C108" s="19" t="s">
        <v>57</v>
      </c>
      <c r="D108" s="19"/>
      <c r="E108" s="19" t="s">
        <v>58</v>
      </c>
      <c r="F108" s="20" t="n">
        <v>279</v>
      </c>
      <c r="G108" s="20" t="n">
        <v>69</v>
      </c>
      <c r="H108" s="21" t="n">
        <v>27972.04</v>
      </c>
      <c r="I108" s="21" t="n">
        <v>-1534.18</v>
      </c>
      <c r="J108" s="21" t="n">
        <v>-1680</v>
      </c>
      <c r="K108" s="22" t="n">
        <f aca="false">H108+I108+J108</f>
        <v>24757.86</v>
      </c>
      <c r="L108" s="23" t="n">
        <f aca="false">IF($K$1282=0,0,K108/$K$1282)</f>
        <v>0.00205090244392875</v>
      </c>
      <c r="M108" s="24" t="n">
        <f aca="false">IF(F108&lt;=0,0,K108/F108)</f>
        <v>88.7378494623656</v>
      </c>
      <c r="N108" s="21" t="n">
        <v>80</v>
      </c>
      <c r="O108" s="49" t="n">
        <v>1.74</v>
      </c>
      <c r="P108" s="24" t="n">
        <f aca="false">O108*'Price Groups'!$B$5</f>
        <v>39.15</v>
      </c>
      <c r="Q108" s="26" t="n">
        <f aca="false">IF(OR(N108="",P108=""),"",(N108-P108)/N108)</f>
        <v>0.510625</v>
      </c>
      <c r="R108" s="27" t="n">
        <v>3</v>
      </c>
      <c r="S108" s="28" t="n">
        <f aca="false">IF(R108="-",0,IFERROR(VLOOKUP(R108,'Price Groups'!$A$13:$C$17,3,FALSE()),0))</f>
        <v>0.16</v>
      </c>
      <c r="T108" s="22" t="n">
        <f aca="false">IF(OR(N108="",R108="-"),"",CEILING(ROUND(N108*(1+S108),2),IF(N108*(1+S108)&lt;100,0.5,IF(N108*(1+S108)&lt;1000,1,5))))</f>
        <v>93</v>
      </c>
      <c r="U108" s="26" t="n">
        <f aca="false">IF(OR(T108="",P108=""),"",(T108-P108)/T108)</f>
        <v>0.579032258064516</v>
      </c>
      <c r="V108" s="26" t="n">
        <f aca="false">IF(T108="",0,T108/N108-1)</f>
        <v>0.1625</v>
      </c>
      <c r="W108" s="19" t="s">
        <v>107</v>
      </c>
    </row>
    <row r="109" customFormat="false" ht="15" hidden="false" customHeight="false" outlineLevel="0" collapsed="false">
      <c r="A109" s="38" t="n">
        <v>68</v>
      </c>
      <c r="B109" s="38" t="s">
        <v>193</v>
      </c>
      <c r="C109" s="38" t="s">
        <v>57</v>
      </c>
      <c r="D109" s="38"/>
      <c r="E109" s="38" t="s">
        <v>58</v>
      </c>
      <c r="F109" s="39" t="n">
        <v>277</v>
      </c>
      <c r="G109" s="39" t="n">
        <v>134</v>
      </c>
      <c r="H109" s="40" t="n">
        <v>95217.58</v>
      </c>
      <c r="I109" s="40" t="n">
        <v>-236.84</v>
      </c>
      <c r="J109" s="40" t="n">
        <v>-3010.95</v>
      </c>
      <c r="K109" s="41" t="n">
        <f aca="false">H109+I109+J109</f>
        <v>91969.79</v>
      </c>
      <c r="L109" s="42" t="n">
        <f aca="false">IF($K$1282=0,0,K109/$K$1282)</f>
        <v>0.0076186337219216</v>
      </c>
      <c r="M109" s="43" t="n">
        <f aca="false">IF(F109&lt;=0,0,K109/F109)</f>
        <v>332.020902527076</v>
      </c>
      <c r="N109" s="40" t="n">
        <v>299.99</v>
      </c>
      <c r="O109" s="44" t="n">
        <v>5.52</v>
      </c>
      <c r="P109" s="43" t="n">
        <f aca="false">O109*'Price Groups'!$B$5</f>
        <v>124.2</v>
      </c>
      <c r="Q109" s="45" t="n">
        <f aca="false">IF(OR(N109="",P109=""),"",(N109-P109)/N109)</f>
        <v>0.585986199539985</v>
      </c>
      <c r="R109" s="46" t="n">
        <v>4</v>
      </c>
      <c r="S109" s="47" t="n">
        <f aca="false">IF(R109="-",0,IFERROR(VLOOKUP(R109,'Price Groups'!$A$13:$C$17,3,FALSE()),0))</f>
        <v>0.15</v>
      </c>
      <c r="T109" s="41" t="n">
        <f aca="false">IF(OR(N109="",R109="-"),"",CEILING(ROUND(N109*(1+S109),2),IF(N109*(1+S109)&lt;100,0.5,IF(N109*(1+S109)&lt;1000,1,5))))</f>
        <v>345</v>
      </c>
      <c r="U109" s="45" t="n">
        <f aca="false">IF(OR(T109="",P109=""),"",(T109-P109)/T109)</f>
        <v>0.64</v>
      </c>
      <c r="V109" s="45" t="n">
        <f aca="false">IF(T109="",0,T109/N109-1)</f>
        <v>0.150038334611154</v>
      </c>
      <c r="W109" s="38" t="s">
        <v>101</v>
      </c>
    </row>
    <row r="110" customFormat="false" ht="15" hidden="false" customHeight="false" outlineLevel="0" collapsed="false">
      <c r="A110" s="19" t="n">
        <v>69</v>
      </c>
      <c r="B110" s="19" t="s">
        <v>194</v>
      </c>
      <c r="C110" s="19" t="s">
        <v>57</v>
      </c>
      <c r="D110" s="19"/>
      <c r="E110" s="19" t="s">
        <v>58</v>
      </c>
      <c r="F110" s="20" t="n">
        <v>277</v>
      </c>
      <c r="G110" s="20" t="n">
        <v>108</v>
      </c>
      <c r="H110" s="21" t="n">
        <v>12258.38</v>
      </c>
      <c r="I110" s="21" t="n">
        <v>-172.94</v>
      </c>
      <c r="J110" s="21" t="n">
        <v>-307.41</v>
      </c>
      <c r="K110" s="22" t="n">
        <f aca="false">H110+I110+J110</f>
        <v>11778.03</v>
      </c>
      <c r="L110" s="23" t="n">
        <f aca="false">IF($K$1282=0,0,K110/$K$1282)</f>
        <v>0.000975673604732643</v>
      </c>
      <c r="M110" s="24" t="n">
        <f aca="false">IF(F110&lt;=0,0,K110/F110)</f>
        <v>42.519963898917</v>
      </c>
      <c r="N110" s="21" t="n">
        <v>49.99</v>
      </c>
      <c r="O110" s="49" t="n">
        <v>1.38</v>
      </c>
      <c r="P110" s="24" t="n">
        <f aca="false">O110*'Price Groups'!$B$5</f>
        <v>31.05</v>
      </c>
      <c r="Q110" s="26" t="n">
        <f aca="false">IF(OR(N110="",P110=""),"",(N110-P110)/N110)</f>
        <v>0.378875775155031</v>
      </c>
      <c r="R110" s="27" t="n">
        <v>2</v>
      </c>
      <c r="S110" s="28" t="n">
        <f aca="false">IF(R110="-",0,IFERROR(VLOOKUP(R110,'Price Groups'!$A$13:$C$17,3,FALSE()),0))</f>
        <v>0.18</v>
      </c>
      <c r="T110" s="22" t="n">
        <f aca="false">IF(OR(N110="",R110="-"),"",CEILING(ROUND(N110*(1+S110),2),IF(N110*(1+S110)&lt;100,0.5,IF(N110*(1+S110)&lt;1000,1,5))))</f>
        <v>59</v>
      </c>
      <c r="U110" s="26" t="n">
        <f aca="false">IF(OR(T110="",P110=""),"",(T110-P110)/T110)</f>
        <v>0.473728813559322</v>
      </c>
      <c r="V110" s="26" t="n">
        <f aca="false">IF(T110="",0,T110/N110-1)</f>
        <v>0.180236047209442</v>
      </c>
      <c r="W110" s="19" t="s">
        <v>195</v>
      </c>
    </row>
    <row r="111" customFormat="false" ht="15" hidden="false" customHeight="false" outlineLevel="0" collapsed="false">
      <c r="A111" s="38" t="n">
        <v>70</v>
      </c>
      <c r="B111" s="38" t="s">
        <v>196</v>
      </c>
      <c r="C111" s="38" t="s">
        <v>57</v>
      </c>
      <c r="D111" s="38" t="s">
        <v>197</v>
      </c>
      <c r="E111" s="38" t="s">
        <v>58</v>
      </c>
      <c r="F111" s="39" t="n">
        <v>276</v>
      </c>
      <c r="G111" s="39" t="n">
        <v>80</v>
      </c>
      <c r="H111" s="40" t="n">
        <v>19412.71</v>
      </c>
      <c r="I111" s="40" t="n">
        <v>-1576.81</v>
      </c>
      <c r="J111" s="40" t="n">
        <v>-797.86</v>
      </c>
      <c r="K111" s="41" t="n">
        <f aca="false">H111+I111+J111</f>
        <v>17038.04</v>
      </c>
      <c r="L111" s="42" t="n">
        <f aca="false">IF($K$1282=0,0,K111/$K$1282)</f>
        <v>0.00141140461557484</v>
      </c>
      <c r="M111" s="43" t="n">
        <f aca="false">IF(F111&lt;=0,0,K111/F111)</f>
        <v>61.7320289855072</v>
      </c>
      <c r="N111" s="40" t="n">
        <v>80</v>
      </c>
      <c r="O111" s="44" t="n">
        <v>1.73</v>
      </c>
      <c r="P111" s="43" t="n">
        <f aca="false">O111*'Price Groups'!$B$5</f>
        <v>38.925</v>
      </c>
      <c r="Q111" s="45" t="n">
        <f aca="false">IF(OR(N111="",P111=""),"",(N111-P111)/N111)</f>
        <v>0.5134375</v>
      </c>
      <c r="R111" s="46" t="n">
        <v>3</v>
      </c>
      <c r="S111" s="47" t="n">
        <f aca="false">IF(R111="-",0,IFERROR(VLOOKUP(R111,'Price Groups'!$A$13:$C$17,3,FALSE()),0))</f>
        <v>0.16</v>
      </c>
      <c r="T111" s="41" t="n">
        <f aca="false">IF(OR(N111="",R111="-"),"",CEILING(ROUND(N111*(1+S111),2),IF(N111*(1+S111)&lt;100,0.5,IF(N111*(1+S111)&lt;1000,1,5))))</f>
        <v>93</v>
      </c>
      <c r="U111" s="45" t="n">
        <f aca="false">IF(OR(T111="",P111=""),"",(T111-P111)/T111)</f>
        <v>0.581451612903226</v>
      </c>
      <c r="V111" s="45" t="n">
        <f aca="false">IF(T111="",0,T111/N111-1)</f>
        <v>0.1625</v>
      </c>
      <c r="W111" s="38" t="s">
        <v>107</v>
      </c>
    </row>
    <row r="112" customFormat="false" ht="15" hidden="false" customHeight="false" outlineLevel="0" collapsed="false">
      <c r="A112" s="19" t="n">
        <v>71</v>
      </c>
      <c r="B112" s="19" t="s">
        <v>198</v>
      </c>
      <c r="C112" s="19" t="s">
        <v>57</v>
      </c>
      <c r="D112" s="19" t="s">
        <v>199</v>
      </c>
      <c r="E112" s="19" t="s">
        <v>58</v>
      </c>
      <c r="F112" s="20" t="n">
        <v>273</v>
      </c>
      <c r="G112" s="20" t="n">
        <v>83</v>
      </c>
      <c r="H112" s="21" t="n">
        <v>5213.38</v>
      </c>
      <c r="I112" s="21" t="n">
        <v>-45.67</v>
      </c>
      <c r="J112" s="21" t="n">
        <v>-199.17</v>
      </c>
      <c r="K112" s="22" t="n">
        <f aca="false">H112+I112+J112</f>
        <v>4968.54</v>
      </c>
      <c r="L112" s="23" t="n">
        <f aca="false">IF($K$1282=0,0,K112/$K$1282)</f>
        <v>0.000411586091397146</v>
      </c>
      <c r="M112" s="24" t="n">
        <f aca="false">IF(F112&lt;=0,0,K112/F112)</f>
        <v>18.1997802197802</v>
      </c>
      <c r="N112" s="21" t="n">
        <v>20</v>
      </c>
      <c r="O112" s="49" t="n">
        <v>0.23</v>
      </c>
      <c r="P112" s="24" t="n">
        <f aca="false">O112*'Price Groups'!$B$5</f>
        <v>5.175</v>
      </c>
      <c r="Q112" s="26" t="n">
        <f aca="false">IF(OR(N112="",P112=""),"",(N112-P112)/N112)</f>
        <v>0.74125</v>
      </c>
      <c r="R112" s="27" t="n">
        <v>5</v>
      </c>
      <c r="S112" s="28" t="n">
        <f aca="false">IF(R112="-",0,IFERROR(VLOOKUP(R112,'Price Groups'!$A$13:$C$17,3,FALSE()),0))</f>
        <v>0.02</v>
      </c>
      <c r="T112" s="22" t="n">
        <f aca="false">IF(OR(N112="",R112="-"),"",CEILING(ROUND(N112*(1+S112),2),IF(N112*(1+S112)&lt;100,0.5,IF(N112*(1+S112)&lt;1000,1,5))))</f>
        <v>20.5</v>
      </c>
      <c r="U112" s="26" t="n">
        <f aca="false">IF(OR(T112="",P112=""),"",(T112-P112)/T112)</f>
        <v>0.747560975609756</v>
      </c>
      <c r="V112" s="26" t="n">
        <f aca="false">IF(T112="",0,T112/N112-1)</f>
        <v>0.0249999999999999</v>
      </c>
      <c r="W112" s="19" t="s">
        <v>89</v>
      </c>
    </row>
    <row r="113" customFormat="false" ht="15" hidden="false" customHeight="false" outlineLevel="0" collapsed="false">
      <c r="A113" s="38" t="n">
        <v>72</v>
      </c>
      <c r="B113" s="38" t="s">
        <v>200</v>
      </c>
      <c r="C113" s="38" t="s">
        <v>57</v>
      </c>
      <c r="D113" s="38" t="s">
        <v>201</v>
      </c>
      <c r="E113" s="38" t="s">
        <v>58</v>
      </c>
      <c r="F113" s="39" t="n">
        <v>272</v>
      </c>
      <c r="G113" s="39" t="n">
        <v>123</v>
      </c>
      <c r="H113" s="40" t="n">
        <v>2937.14</v>
      </c>
      <c r="I113" s="40" t="n">
        <v>-18.07</v>
      </c>
      <c r="J113" s="40" t="n">
        <v>-203.8</v>
      </c>
      <c r="K113" s="41" t="n">
        <f aca="false">H113+I113+J113</f>
        <v>2715.27</v>
      </c>
      <c r="L113" s="42" t="n">
        <f aca="false">IF($K$1282=0,0,K113/$K$1282)</f>
        <v>0.000224928724814116</v>
      </c>
      <c r="M113" s="43" t="n">
        <f aca="false">IF(F113&lt;=0,0,K113/F113)</f>
        <v>9.98261029411765</v>
      </c>
      <c r="N113" s="40" t="n">
        <v>14.99</v>
      </c>
      <c r="O113" s="44" t="n">
        <v>0.18</v>
      </c>
      <c r="P113" s="43" t="n">
        <f aca="false">O113*'Price Groups'!$B$5</f>
        <v>4.05</v>
      </c>
      <c r="Q113" s="45" t="n">
        <f aca="false">IF(OR(N113="",P113=""),"",(N113-P113)/N113)</f>
        <v>0.729819879919947</v>
      </c>
      <c r="R113" s="46" t="n">
        <v>1</v>
      </c>
      <c r="S113" s="47" t="n">
        <f aca="false">IF(R113="-",0,IFERROR(VLOOKUP(R113,'Price Groups'!$A$13:$C$17,3,FALSE()),0))</f>
        <v>0.22</v>
      </c>
      <c r="T113" s="41" t="n">
        <f aca="false">IF(OR(N113="",R113="-"),"",CEILING(ROUND(N113*(1+S113),2),IF(N113*(1+S113)&lt;100,0.5,IF(N113*(1+S113)&lt;1000,1,5))))</f>
        <v>18.5</v>
      </c>
      <c r="U113" s="45" t="n">
        <f aca="false">IF(OR(T113="",P113=""),"",(T113-P113)/T113)</f>
        <v>0.781081081081081</v>
      </c>
      <c r="V113" s="45" t="n">
        <f aca="false">IF(T113="",0,T113/N113-1)</f>
        <v>0.23415610406938</v>
      </c>
      <c r="W113" s="38" t="s">
        <v>94</v>
      </c>
    </row>
    <row r="114" customFormat="false" ht="15" hidden="false" customHeight="false" outlineLevel="0" collapsed="false">
      <c r="A114" s="19" t="n">
        <v>73</v>
      </c>
      <c r="B114" s="19" t="s">
        <v>202</v>
      </c>
      <c r="C114" s="19" t="s">
        <v>57</v>
      </c>
      <c r="D114" s="19"/>
      <c r="E114" s="19" t="s">
        <v>58</v>
      </c>
      <c r="F114" s="20" t="n">
        <v>272</v>
      </c>
      <c r="G114" s="20" t="n">
        <v>90</v>
      </c>
      <c r="H114" s="21" t="n">
        <v>2679.98</v>
      </c>
      <c r="I114" s="21" t="n">
        <v>-11.61</v>
      </c>
      <c r="J114" s="21" t="n">
        <v>-395.06</v>
      </c>
      <c r="K114" s="22" t="n">
        <f aca="false">H114+I114+J114</f>
        <v>2273.31</v>
      </c>
      <c r="L114" s="23" t="n">
        <f aca="false">IF($K$1282=0,0,K114/$K$1282)</f>
        <v>0.000188317448875132</v>
      </c>
      <c r="M114" s="24" t="n">
        <f aca="false">IF(F114&lt;=0,0,K114/F114)</f>
        <v>8.35775735294118</v>
      </c>
      <c r="N114" s="21" t="n">
        <v>8</v>
      </c>
      <c r="O114" s="49" t="n">
        <v>0.16</v>
      </c>
      <c r="P114" s="24" t="n">
        <f aca="false">O114*'Price Groups'!$B$5</f>
        <v>3.6</v>
      </c>
      <c r="Q114" s="26" t="n">
        <f aca="false">IF(OR(N114="",P114=""),"",(N114-P114)/N114)</f>
        <v>0.55</v>
      </c>
      <c r="R114" s="27" t="n">
        <v>1</v>
      </c>
      <c r="S114" s="28" t="n">
        <f aca="false">IF(R114="-",0,IFERROR(VLOOKUP(R114,'Price Groups'!$A$13:$C$17,3,FALSE()),0))</f>
        <v>0.22</v>
      </c>
      <c r="T114" s="22" t="n">
        <f aca="false">IF(OR(N114="",R114="-"),"",CEILING(ROUND(N114*(1+S114),2),IF(N114*(1+S114)&lt;100,0.5,IF(N114*(1+S114)&lt;1000,1,5))))</f>
        <v>10</v>
      </c>
      <c r="U114" s="26" t="n">
        <f aca="false">IF(OR(T114="",P114=""),"",(T114-P114)/T114)</f>
        <v>0.64</v>
      </c>
      <c r="V114" s="26" t="n">
        <f aca="false">IF(T114="",0,T114/N114-1)</f>
        <v>0.25</v>
      </c>
      <c r="W114" s="19" t="s">
        <v>94</v>
      </c>
    </row>
    <row r="115" customFormat="false" ht="15" hidden="false" customHeight="false" outlineLevel="0" collapsed="false">
      <c r="A115" s="38" t="n">
        <v>74</v>
      </c>
      <c r="B115" s="38" t="s">
        <v>203</v>
      </c>
      <c r="C115" s="38" t="s">
        <v>57</v>
      </c>
      <c r="D115" s="38" t="s">
        <v>204</v>
      </c>
      <c r="E115" s="38" t="s">
        <v>58</v>
      </c>
      <c r="F115" s="39" t="n">
        <v>260</v>
      </c>
      <c r="G115" s="39" t="n">
        <v>132</v>
      </c>
      <c r="H115" s="40" t="n">
        <v>7544.8</v>
      </c>
      <c r="I115" s="40" t="n">
        <v>-67.01</v>
      </c>
      <c r="J115" s="40" t="n">
        <v>-680.72</v>
      </c>
      <c r="K115" s="41" t="n">
        <f aca="false">H115+I115+J115</f>
        <v>6797.07</v>
      </c>
      <c r="L115" s="42" t="n">
        <f aca="false">IF($K$1282=0,0,K115/$K$1282)</f>
        <v>0.000563058659938895</v>
      </c>
      <c r="M115" s="43" t="n">
        <f aca="false">IF(F115&lt;=0,0,K115/F115)</f>
        <v>26.1425769230769</v>
      </c>
      <c r="N115" s="40" t="n">
        <v>29.99</v>
      </c>
      <c r="O115" s="44" t="n">
        <v>0.51</v>
      </c>
      <c r="P115" s="43" t="n">
        <f aca="false">O115*'Price Groups'!$B$5</f>
        <v>11.475</v>
      </c>
      <c r="Q115" s="45" t="n">
        <f aca="false">IF(OR(N115="",P115=""),"",(N115-P115)/N115)</f>
        <v>0.617372457485829</v>
      </c>
      <c r="R115" s="46" t="n">
        <v>3</v>
      </c>
      <c r="S115" s="47" t="n">
        <f aca="false">IF(R115="-",0,IFERROR(VLOOKUP(R115,'Price Groups'!$A$13:$C$17,3,FALSE()),0))</f>
        <v>0.16</v>
      </c>
      <c r="T115" s="41" t="n">
        <f aca="false">IF(OR(N115="",R115="-"),"",CEILING(ROUND(N115*(1+S115),2),IF(N115*(1+S115)&lt;100,0.5,IF(N115*(1+S115)&lt;1000,1,5))))</f>
        <v>35</v>
      </c>
      <c r="U115" s="45" t="n">
        <f aca="false">IF(OR(T115="",P115=""),"",(T115-P115)/T115)</f>
        <v>0.672142857142857</v>
      </c>
      <c r="V115" s="45" t="n">
        <f aca="false">IF(T115="",0,T115/N115-1)</f>
        <v>0.16705568522841</v>
      </c>
      <c r="W115" s="38" t="s">
        <v>107</v>
      </c>
    </row>
    <row r="116" customFormat="false" ht="15" hidden="false" customHeight="false" outlineLevel="0" collapsed="false">
      <c r="A116" s="19" t="n">
        <v>75</v>
      </c>
      <c r="B116" s="19" t="s">
        <v>205</v>
      </c>
      <c r="C116" s="19" t="s">
        <v>57</v>
      </c>
      <c r="D116" s="19" t="s">
        <v>206</v>
      </c>
      <c r="E116" s="19" t="s">
        <v>58</v>
      </c>
      <c r="F116" s="20" t="n">
        <v>254</v>
      </c>
      <c r="G116" s="20" t="n">
        <v>42</v>
      </c>
      <c r="H116" s="21" t="n">
        <v>19451.84</v>
      </c>
      <c r="I116" s="21" t="n">
        <v>-8.26</v>
      </c>
      <c r="J116" s="21" t="n">
        <v>-1319.8</v>
      </c>
      <c r="K116" s="22" t="n">
        <f aca="false">H116+I116+J116</f>
        <v>18123.78</v>
      </c>
      <c r="L116" s="23" t="n">
        <f aca="false">IF($K$1282=0,0,K116/$K$1282)</f>
        <v>0.00150134562095541</v>
      </c>
      <c r="M116" s="24" t="n">
        <f aca="false">IF(F116&lt;=0,0,K116/F116)</f>
        <v>71.3534645669292</v>
      </c>
      <c r="N116" s="21" t="n">
        <v>49.99</v>
      </c>
      <c r="O116" s="49" t="n">
        <v>1.61</v>
      </c>
      <c r="P116" s="24" t="n">
        <f aca="false">O116*'Price Groups'!$B$5</f>
        <v>36.225</v>
      </c>
      <c r="Q116" s="26" t="n">
        <f aca="false">IF(OR(N116="",P116=""),"",(N116-P116)/N116)</f>
        <v>0.275355071014203</v>
      </c>
      <c r="R116" s="27" t="n">
        <v>1</v>
      </c>
      <c r="S116" s="28" t="n">
        <f aca="false">IF(R116="-",0,IFERROR(VLOOKUP(R116,'Price Groups'!$A$13:$C$17,3,FALSE()),0))</f>
        <v>0.22</v>
      </c>
      <c r="T116" s="22" t="n">
        <f aca="false">IF(OR(N116="",R116="-"),"",CEILING(ROUND(N116*(1+S116),2),IF(N116*(1+S116)&lt;100,0.5,IF(N116*(1+S116)&lt;1000,1,5))))</f>
        <v>61</v>
      </c>
      <c r="U116" s="26" t="n">
        <f aca="false">IF(OR(T116="",P116=""),"",(T116-P116)/T116)</f>
        <v>0.406147540983607</v>
      </c>
      <c r="V116" s="26" t="n">
        <f aca="false">IF(T116="",0,T116/N116-1)</f>
        <v>0.220244048809762</v>
      </c>
      <c r="W116" s="19" t="s">
        <v>207</v>
      </c>
    </row>
    <row r="117" customFormat="false" ht="15" hidden="false" customHeight="false" outlineLevel="0" collapsed="false">
      <c r="A117" s="38" t="n">
        <v>76</v>
      </c>
      <c r="B117" s="38" t="s">
        <v>208</v>
      </c>
      <c r="C117" s="38" t="s">
        <v>57</v>
      </c>
      <c r="D117" s="38"/>
      <c r="E117" s="38" t="s">
        <v>58</v>
      </c>
      <c r="F117" s="39" t="n">
        <v>246</v>
      </c>
      <c r="G117" s="39" t="n">
        <v>124</v>
      </c>
      <c r="H117" s="40" t="n">
        <v>10840.08</v>
      </c>
      <c r="I117" s="40" t="n">
        <v>-124.24</v>
      </c>
      <c r="J117" s="40" t="n">
        <v>-290.92</v>
      </c>
      <c r="K117" s="41" t="n">
        <f aca="false">H117+I117+J117</f>
        <v>10424.92</v>
      </c>
      <c r="L117" s="42" t="n">
        <f aca="false">IF($K$1282=0,0,K117/$K$1282)</f>
        <v>0.000863584086256312</v>
      </c>
      <c r="M117" s="43" t="n">
        <f aca="false">IF(F117&lt;=0,0,K117/F117)</f>
        <v>42.3777235772358</v>
      </c>
      <c r="N117" s="40" t="n">
        <v>44.99</v>
      </c>
      <c r="O117" s="44" t="n">
        <v>1</v>
      </c>
      <c r="P117" s="43" t="n">
        <f aca="false">O117*'Price Groups'!$B$5</f>
        <v>22.5</v>
      </c>
      <c r="Q117" s="45" t="n">
        <f aca="false">IF(OR(N117="",P117=""),"",(N117-P117)/N117)</f>
        <v>0.499888864192043</v>
      </c>
      <c r="R117" s="46" t="n">
        <v>1</v>
      </c>
      <c r="S117" s="47" t="n">
        <f aca="false">IF(R117="-",0,IFERROR(VLOOKUP(R117,'Price Groups'!$A$13:$C$17,3,FALSE()),0))</f>
        <v>0.22</v>
      </c>
      <c r="T117" s="41" t="n">
        <f aca="false">IF(OR(N117="",R117="-"),"",CEILING(ROUND(N117*(1+S117),2),IF(N117*(1+S117)&lt;100,0.5,IF(N117*(1+S117)&lt;1000,1,5))))</f>
        <v>55</v>
      </c>
      <c r="U117" s="45" t="n">
        <f aca="false">IF(OR(T117="",P117=""),"",(T117-P117)/T117)</f>
        <v>0.590909090909091</v>
      </c>
      <c r="V117" s="45" t="n">
        <f aca="false">IF(T117="",0,T117/N117-1)</f>
        <v>0.222493887530562</v>
      </c>
      <c r="W117" s="38" t="s">
        <v>94</v>
      </c>
    </row>
    <row r="118" customFormat="false" ht="15" hidden="false" customHeight="false" outlineLevel="0" collapsed="false">
      <c r="A118" s="19" t="n">
        <v>77</v>
      </c>
      <c r="B118" s="19" t="s">
        <v>209</v>
      </c>
      <c r="C118" s="19" t="s">
        <v>57</v>
      </c>
      <c r="D118" s="19" t="s">
        <v>210</v>
      </c>
      <c r="E118" s="19" t="s">
        <v>58</v>
      </c>
      <c r="F118" s="20" t="n">
        <v>241</v>
      </c>
      <c r="G118" s="20" t="n">
        <v>85</v>
      </c>
      <c r="H118" s="21" t="n">
        <v>19836.7</v>
      </c>
      <c r="I118" s="21" t="n">
        <v>-5133.73</v>
      </c>
      <c r="J118" s="21" t="n">
        <v>-482.91</v>
      </c>
      <c r="K118" s="22" t="n">
        <f aca="false">H118+I118+J118</f>
        <v>14220.06</v>
      </c>
      <c r="L118" s="23" t="n">
        <f aca="false">IF($K$1282=0,0,K118/$K$1282)</f>
        <v>0.00117796755482152</v>
      </c>
      <c r="M118" s="24" t="n">
        <f aca="false">IF(F118&lt;=0,0,K118/F118)</f>
        <v>59.004398340249</v>
      </c>
      <c r="N118" s="21" t="n">
        <v>85</v>
      </c>
      <c r="O118" s="49" t="n">
        <v>1.32</v>
      </c>
      <c r="P118" s="24" t="n">
        <f aca="false">O118*'Price Groups'!$B$5</f>
        <v>29.7</v>
      </c>
      <c r="Q118" s="26" t="n">
        <f aca="false">IF(OR(N118="",P118=""),"",(N118-P118)/N118)</f>
        <v>0.650588235294118</v>
      </c>
      <c r="R118" s="27" t="n">
        <v>4</v>
      </c>
      <c r="S118" s="28" t="n">
        <f aca="false">IF(R118="-",0,IFERROR(VLOOKUP(R118,'Price Groups'!$A$13:$C$17,3,FALSE()),0))</f>
        <v>0.15</v>
      </c>
      <c r="T118" s="22" t="n">
        <f aca="false">IF(OR(N118="",R118="-"),"",CEILING(ROUND(N118*(1+S118),2),IF(N118*(1+S118)&lt;100,0.5,IF(N118*(1+S118)&lt;1000,1,5))))</f>
        <v>98</v>
      </c>
      <c r="U118" s="26" t="n">
        <f aca="false">IF(OR(T118="",P118=""),"",(T118-P118)/T118)</f>
        <v>0.696938775510204</v>
      </c>
      <c r="V118" s="26" t="n">
        <f aca="false">IF(T118="",0,T118/N118-1)</f>
        <v>0.152941176470588</v>
      </c>
      <c r="W118" s="19" t="s">
        <v>101</v>
      </c>
    </row>
    <row r="119" customFormat="false" ht="15" hidden="false" customHeight="false" outlineLevel="0" collapsed="false">
      <c r="A119" s="38" t="n">
        <v>78</v>
      </c>
      <c r="B119" s="38" t="s">
        <v>211</v>
      </c>
      <c r="C119" s="38" t="s">
        <v>57</v>
      </c>
      <c r="D119" s="38"/>
      <c r="E119" s="38" t="s">
        <v>58</v>
      </c>
      <c r="F119" s="39" t="n">
        <v>240</v>
      </c>
      <c r="G119" s="39" t="n">
        <v>107</v>
      </c>
      <c r="H119" s="40" t="n">
        <v>2507.8</v>
      </c>
      <c r="I119" s="40" t="n">
        <v>-22.23</v>
      </c>
      <c r="J119" s="40" t="n">
        <v>-177.64</v>
      </c>
      <c r="K119" s="41" t="n">
        <f aca="false">H119+I119+J119</f>
        <v>2307.93</v>
      </c>
      <c r="L119" s="42" t="n">
        <f aca="false">IF($K$1282=0,0,K119/$K$1282)</f>
        <v>0.000191185315589331</v>
      </c>
      <c r="M119" s="43" t="n">
        <f aca="false">IF(F119&lt;=0,0,K119/F119)</f>
        <v>9.616375</v>
      </c>
      <c r="N119" s="40" t="n">
        <v>10</v>
      </c>
      <c r="O119" s="44" t="n">
        <v>0.25</v>
      </c>
      <c r="P119" s="43" t="n">
        <f aca="false">O119*'Price Groups'!$B$5</f>
        <v>5.625</v>
      </c>
      <c r="Q119" s="45" t="n">
        <f aca="false">IF(OR(N119="",P119=""),"",(N119-P119)/N119)</f>
        <v>0.4375</v>
      </c>
      <c r="R119" s="46" t="n">
        <v>1</v>
      </c>
      <c r="S119" s="47" t="n">
        <f aca="false">IF(R119="-",0,IFERROR(VLOOKUP(R119,'Price Groups'!$A$13:$C$17,3,FALSE()),0))</f>
        <v>0.22</v>
      </c>
      <c r="T119" s="41" t="n">
        <f aca="false">IF(OR(N119="",R119="-"),"",CEILING(ROUND(N119*(1+S119),2),IF(N119*(1+S119)&lt;100,0.5,IF(N119*(1+S119)&lt;1000,1,5))))</f>
        <v>12.5</v>
      </c>
      <c r="U119" s="45" t="n">
        <f aca="false">IF(OR(T119="",P119=""),"",(T119-P119)/T119)</f>
        <v>0.55</v>
      </c>
      <c r="V119" s="45" t="n">
        <f aca="false">IF(T119="",0,T119/N119-1)</f>
        <v>0.25</v>
      </c>
      <c r="W119" s="38" t="s">
        <v>94</v>
      </c>
    </row>
    <row r="120" customFormat="false" ht="15" hidden="false" customHeight="false" outlineLevel="0" collapsed="false">
      <c r="A120" s="19" t="n">
        <v>79</v>
      </c>
      <c r="B120" s="19" t="s">
        <v>212</v>
      </c>
      <c r="C120" s="19" t="s">
        <v>57</v>
      </c>
      <c r="D120" s="19"/>
      <c r="E120" s="19" t="s">
        <v>58</v>
      </c>
      <c r="F120" s="20" t="n">
        <v>236</v>
      </c>
      <c r="G120" s="20" t="n">
        <v>138</v>
      </c>
      <c r="H120" s="21" t="n">
        <v>28413.24</v>
      </c>
      <c r="I120" s="21" t="n">
        <v>-237.67</v>
      </c>
      <c r="J120" s="21" t="n">
        <v>-2822.37</v>
      </c>
      <c r="K120" s="22" t="n">
        <f aca="false">H120+I120+J120</f>
        <v>25353.2</v>
      </c>
      <c r="L120" s="23" t="n">
        <f aca="false">IF($K$1282=0,0,K120/$K$1282)</f>
        <v>0.0021002194794467</v>
      </c>
      <c r="M120" s="24" t="n">
        <f aca="false">IF(F120&lt;=0,0,K120/F120)</f>
        <v>107.428813559322</v>
      </c>
      <c r="N120" s="21" t="n">
        <v>119.99</v>
      </c>
      <c r="O120" s="49" t="n">
        <v>2.61</v>
      </c>
      <c r="P120" s="24" t="n">
        <f aca="false">O120*'Price Groups'!$B$5</f>
        <v>58.725</v>
      </c>
      <c r="Q120" s="26" t="n">
        <f aca="false">IF(OR(N120="",P120=""),"",(N120-P120)/N120)</f>
        <v>0.510584215351279</v>
      </c>
      <c r="R120" s="27" t="n">
        <v>3</v>
      </c>
      <c r="S120" s="28" t="n">
        <f aca="false">IF(R120="-",0,IFERROR(VLOOKUP(R120,'Price Groups'!$A$13:$C$17,3,FALSE()),0))</f>
        <v>0.16</v>
      </c>
      <c r="T120" s="22" t="n">
        <f aca="false">IF(OR(N120="",R120="-"),"",CEILING(ROUND(N120*(1+S120),2),IF(N120*(1+S120)&lt;100,0.5,IF(N120*(1+S120)&lt;1000,1,5))))</f>
        <v>140</v>
      </c>
      <c r="U120" s="26" t="n">
        <f aca="false">IF(OR(T120="",P120=""),"",(T120-P120)/T120)</f>
        <v>0.580535714285714</v>
      </c>
      <c r="V120" s="26" t="n">
        <f aca="false">IF(T120="",0,T120/N120-1)</f>
        <v>0.166763896991416</v>
      </c>
      <c r="W120" s="19" t="s">
        <v>107</v>
      </c>
    </row>
    <row r="121" customFormat="false" ht="15" hidden="false" customHeight="false" outlineLevel="0" collapsed="false">
      <c r="A121" s="38" t="n">
        <v>80</v>
      </c>
      <c r="B121" s="38" t="s">
        <v>213</v>
      </c>
      <c r="C121" s="38" t="s">
        <v>57</v>
      </c>
      <c r="D121" s="38"/>
      <c r="E121" s="38" t="s">
        <v>58</v>
      </c>
      <c r="F121" s="39" t="n">
        <v>234</v>
      </c>
      <c r="G121" s="39" t="n">
        <v>137</v>
      </c>
      <c r="H121" s="40" t="n">
        <v>4733.54</v>
      </c>
      <c r="I121" s="40" t="n">
        <v>-33.57</v>
      </c>
      <c r="J121" s="40" t="n">
        <v>-332.16</v>
      </c>
      <c r="K121" s="41" t="n">
        <f aca="false">H121+I121+J121</f>
        <v>4367.81</v>
      </c>
      <c r="L121" s="42" t="n">
        <f aca="false">IF($K$1282=0,0,K121/$K$1282)</f>
        <v>0.000361822556699829</v>
      </c>
      <c r="M121" s="43" t="n">
        <f aca="false">IF(F121&lt;=0,0,K121/F121)</f>
        <v>18.6658547008547</v>
      </c>
      <c r="N121" s="40" t="n">
        <v>23</v>
      </c>
      <c r="O121" s="44" t="n">
        <v>0.44</v>
      </c>
      <c r="P121" s="43" t="n">
        <f aca="false">O121*'Price Groups'!$B$5</f>
        <v>9.9</v>
      </c>
      <c r="Q121" s="45" t="n">
        <f aca="false">IF(OR(N121="",P121=""),"",(N121-P121)/N121)</f>
        <v>0.569565217391304</v>
      </c>
      <c r="R121" s="46" t="n">
        <v>1</v>
      </c>
      <c r="S121" s="47" t="n">
        <f aca="false">IF(R121="-",0,IFERROR(VLOOKUP(R121,'Price Groups'!$A$13:$C$17,3,FALSE()),0))</f>
        <v>0.22</v>
      </c>
      <c r="T121" s="41" t="n">
        <f aca="false">IF(OR(N121="",R121="-"),"",CEILING(ROUND(N121*(1+S121),2),IF(N121*(1+S121)&lt;100,0.5,IF(N121*(1+S121)&lt;1000,1,5))))</f>
        <v>28.5</v>
      </c>
      <c r="U121" s="45" t="n">
        <f aca="false">IF(OR(T121="",P121=""),"",(T121-P121)/T121)</f>
        <v>0.652631578947369</v>
      </c>
      <c r="V121" s="45" t="n">
        <f aca="false">IF(T121="",0,T121/N121-1)</f>
        <v>0.239130434782609</v>
      </c>
      <c r="W121" s="38" t="s">
        <v>94</v>
      </c>
    </row>
    <row r="122" customFormat="false" ht="15" hidden="false" customHeight="false" outlineLevel="0" collapsed="false">
      <c r="A122" s="19" t="n">
        <v>81</v>
      </c>
      <c r="B122" s="19" t="s">
        <v>214</v>
      </c>
      <c r="C122" s="19" t="s">
        <v>57</v>
      </c>
      <c r="D122" s="19" t="s">
        <v>215</v>
      </c>
      <c r="E122" s="19" t="s">
        <v>58</v>
      </c>
      <c r="F122" s="20" t="n">
        <v>232</v>
      </c>
      <c r="G122" s="20" t="n">
        <v>37</v>
      </c>
      <c r="H122" s="21" t="n">
        <v>9375.6</v>
      </c>
      <c r="I122" s="21" t="n">
        <v>0</v>
      </c>
      <c r="J122" s="21" t="n">
        <v>-940.92</v>
      </c>
      <c r="K122" s="22" t="n">
        <f aca="false">H122+I122+J122</f>
        <v>8434.68</v>
      </c>
      <c r="L122" s="23" t="n">
        <f aca="false">IF($K$1282=0,0,K122/$K$1282)</f>
        <v>0.000698715713949305</v>
      </c>
      <c r="M122" s="24" t="n">
        <f aca="false">IF(F122&lt;=0,0,K122/F122)</f>
        <v>36.3563793103448</v>
      </c>
      <c r="N122" s="21" t="n">
        <v>32</v>
      </c>
      <c r="O122" s="49" t="n">
        <v>0.94</v>
      </c>
      <c r="P122" s="24" t="n">
        <f aca="false">O122*'Price Groups'!$B$5</f>
        <v>21.15</v>
      </c>
      <c r="Q122" s="26" t="n">
        <f aca="false">IF(OR(N122="",P122=""),"",(N122-P122)/N122)</f>
        <v>0.3390625</v>
      </c>
      <c r="R122" s="27" t="n">
        <v>1</v>
      </c>
      <c r="S122" s="28" t="n">
        <f aca="false">IF(R122="-",0,IFERROR(VLOOKUP(R122,'Price Groups'!$A$13:$C$17,3,FALSE()),0))</f>
        <v>0.22</v>
      </c>
      <c r="T122" s="22" t="n">
        <f aca="false">IF(OR(N122="",R122="-"),"",CEILING(ROUND(N122*(1+S122),2),IF(N122*(1+S122)&lt;100,0.5,IF(N122*(1+S122)&lt;1000,1,5))))</f>
        <v>39.5</v>
      </c>
      <c r="U122" s="26" t="n">
        <f aca="false">IF(OR(T122="",P122=""),"",(T122-P122)/T122)</f>
        <v>0.464556962025317</v>
      </c>
      <c r="V122" s="26" t="n">
        <f aca="false">IF(T122="",0,T122/N122-1)</f>
        <v>0.234375</v>
      </c>
      <c r="W122" s="19" t="s">
        <v>94</v>
      </c>
    </row>
    <row r="123" customFormat="false" ht="15" hidden="false" customHeight="false" outlineLevel="0" collapsed="false">
      <c r="A123" s="38" t="n">
        <v>82</v>
      </c>
      <c r="B123" s="38" t="s">
        <v>216</v>
      </c>
      <c r="C123" s="38" t="s">
        <v>57</v>
      </c>
      <c r="D123" s="38"/>
      <c r="E123" s="38" t="s">
        <v>58</v>
      </c>
      <c r="F123" s="39" t="n">
        <v>230</v>
      </c>
      <c r="G123" s="39" t="n">
        <v>89</v>
      </c>
      <c r="H123" s="40" t="n">
        <v>3195.93</v>
      </c>
      <c r="I123" s="40" t="n">
        <v>-59.07</v>
      </c>
      <c r="J123" s="40" t="n">
        <v>-208.08</v>
      </c>
      <c r="K123" s="41" t="n">
        <f aca="false">H123+I123+J123</f>
        <v>2928.78</v>
      </c>
      <c r="L123" s="42" t="n">
        <f aca="false">IF($K$1282=0,0,K123/$K$1282)</f>
        <v>0.000242615559653768</v>
      </c>
      <c r="M123" s="43" t="n">
        <f aca="false">IF(F123&lt;=0,0,K123/F123)</f>
        <v>12.7338260869565</v>
      </c>
      <c r="N123" s="40" t="n">
        <v>14.16</v>
      </c>
      <c r="O123" s="44" t="n">
        <v>0.27</v>
      </c>
      <c r="P123" s="43" t="n">
        <f aca="false">O123*'Price Groups'!$B$5</f>
        <v>6.075</v>
      </c>
      <c r="Q123" s="45" t="n">
        <f aca="false">IF(OR(N123="",P123=""),"",(N123-P123)/N123)</f>
        <v>0.570974576271187</v>
      </c>
      <c r="R123" s="46" t="n">
        <v>1</v>
      </c>
      <c r="S123" s="47" t="n">
        <f aca="false">IF(R123="-",0,IFERROR(VLOOKUP(R123,'Price Groups'!$A$13:$C$17,3,FALSE()),0))</f>
        <v>0.22</v>
      </c>
      <c r="T123" s="41" t="n">
        <f aca="false">IF(OR(N123="",R123="-"),"",CEILING(ROUND(N123*(1+S123),2),IF(N123*(1+S123)&lt;100,0.5,IF(N123*(1+S123)&lt;1000,1,5))))</f>
        <v>17.5</v>
      </c>
      <c r="U123" s="45" t="n">
        <f aca="false">IF(OR(T123="",P123=""),"",(T123-P123)/T123)</f>
        <v>0.652857142857143</v>
      </c>
      <c r="V123" s="45" t="n">
        <f aca="false">IF(T123="",0,T123/N123-1)</f>
        <v>0.235875706214689</v>
      </c>
      <c r="W123" s="38" t="s">
        <v>94</v>
      </c>
    </row>
    <row r="124" customFormat="false" ht="15" hidden="false" customHeight="false" outlineLevel="0" collapsed="false">
      <c r="A124" s="19" t="n">
        <v>83</v>
      </c>
      <c r="B124" s="19" t="s">
        <v>217</v>
      </c>
      <c r="C124" s="19" t="s">
        <v>57</v>
      </c>
      <c r="D124" s="19"/>
      <c r="E124" s="19" t="s">
        <v>58</v>
      </c>
      <c r="F124" s="20" t="n">
        <v>228</v>
      </c>
      <c r="G124" s="20" t="n">
        <v>105</v>
      </c>
      <c r="H124" s="21" t="n">
        <v>9938.48</v>
      </c>
      <c r="I124" s="21" t="n">
        <v>-109.83</v>
      </c>
      <c r="J124" s="21" t="n">
        <v>-1150.09</v>
      </c>
      <c r="K124" s="22" t="n">
        <f aca="false">H124+I124+J124</f>
        <v>8678.56</v>
      </c>
      <c r="L124" s="23" t="n">
        <f aca="false">IF($K$1282=0,0,K124/$K$1282)</f>
        <v>0.000718918352142806</v>
      </c>
      <c r="M124" s="24" t="n">
        <f aca="false">IF(F124&lt;=0,0,K124/F124)</f>
        <v>38.0638596491228</v>
      </c>
      <c r="N124" s="21" t="n">
        <v>74.99</v>
      </c>
      <c r="O124" s="49" t="n">
        <v>0.44</v>
      </c>
      <c r="P124" s="24" t="n">
        <f aca="false">O124*'Price Groups'!$B$5</f>
        <v>9.9</v>
      </c>
      <c r="Q124" s="26" t="n">
        <f aca="false">IF(OR(N124="",P124=""),"",(N124-P124)/N124)</f>
        <v>0.86798239765302</v>
      </c>
      <c r="R124" s="27" t="n">
        <v>1</v>
      </c>
      <c r="S124" s="28" t="n">
        <f aca="false">IF(R124="-",0,IFERROR(VLOOKUP(R124,'Price Groups'!$A$13:$C$17,3,FALSE()),0))</f>
        <v>0.22</v>
      </c>
      <c r="T124" s="22" t="n">
        <f aca="false">IF(OR(N124="",R124="-"),"",CEILING(ROUND(N124*(1+S124),2),IF(N124*(1+S124)&lt;100,0.5,IF(N124*(1+S124)&lt;1000,1,5))))</f>
        <v>91.5</v>
      </c>
      <c r="U124" s="26" t="n">
        <f aca="false">IF(OR(T124="",P124=""),"",(T124-P124)/T124)</f>
        <v>0.891803278688525</v>
      </c>
      <c r="V124" s="26" t="n">
        <f aca="false">IF(T124="",0,T124/N124-1)</f>
        <v>0.220162688358448</v>
      </c>
      <c r="W124" s="19" t="s">
        <v>94</v>
      </c>
    </row>
    <row r="125" customFormat="false" ht="15" hidden="false" customHeight="false" outlineLevel="0" collapsed="false">
      <c r="A125" s="38" t="n">
        <v>84</v>
      </c>
      <c r="B125" s="38" t="s">
        <v>218</v>
      </c>
      <c r="C125" s="38" t="s">
        <v>57</v>
      </c>
      <c r="D125" s="38" t="s">
        <v>219</v>
      </c>
      <c r="E125" s="38" t="s">
        <v>58</v>
      </c>
      <c r="F125" s="39" t="n">
        <v>228</v>
      </c>
      <c r="G125" s="39" t="n">
        <v>162</v>
      </c>
      <c r="H125" s="40" t="n">
        <v>20153.64</v>
      </c>
      <c r="I125" s="40" t="n">
        <v>-222.41</v>
      </c>
      <c r="J125" s="40" t="n">
        <v>-3663.55</v>
      </c>
      <c r="K125" s="41" t="n">
        <f aca="false">H125+I125+J125</f>
        <v>16267.68</v>
      </c>
      <c r="L125" s="42" t="n">
        <f aca="false">IF($K$1282=0,0,K125/$K$1282)</f>
        <v>0.00134758919668545</v>
      </c>
      <c r="M125" s="43" t="n">
        <f aca="false">IF(F125&lt;=0,0,K125/F125)</f>
        <v>71.3494736842105</v>
      </c>
      <c r="N125" s="40" t="n">
        <v>82.39</v>
      </c>
      <c r="O125" s="44" t="n">
        <v>1.26</v>
      </c>
      <c r="P125" s="43" t="n">
        <f aca="false">O125*'Price Groups'!$B$5</f>
        <v>28.35</v>
      </c>
      <c r="Q125" s="45" t="n">
        <f aca="false">IF(OR(N125="",P125=""),"",(N125-P125)/N125)</f>
        <v>0.655904842820731</v>
      </c>
      <c r="R125" s="46" t="n">
        <v>3</v>
      </c>
      <c r="S125" s="47" t="n">
        <f aca="false">IF(R125="-",0,IFERROR(VLOOKUP(R125,'Price Groups'!$A$13:$C$17,3,FALSE()),0))</f>
        <v>0.16</v>
      </c>
      <c r="T125" s="41" t="n">
        <f aca="false">IF(OR(N125="",R125="-"),"",CEILING(ROUND(N125*(1+S125),2),IF(N125*(1+S125)&lt;100,0.5,IF(N125*(1+S125)&lt;1000,1,5))))</f>
        <v>96</v>
      </c>
      <c r="U125" s="45" t="n">
        <f aca="false">IF(OR(T125="",P125=""),"",(T125-P125)/T125)</f>
        <v>0.7046875</v>
      </c>
      <c r="V125" s="45" t="n">
        <f aca="false">IF(T125="",0,T125/N125-1)</f>
        <v>0.165189950236679</v>
      </c>
      <c r="W125" s="38" t="s">
        <v>107</v>
      </c>
    </row>
    <row r="126" customFormat="false" ht="15" hidden="false" customHeight="false" outlineLevel="0" collapsed="false">
      <c r="A126" s="19" t="n">
        <v>85</v>
      </c>
      <c r="B126" s="19" t="s">
        <v>220</v>
      </c>
      <c r="C126" s="19" t="s">
        <v>57</v>
      </c>
      <c r="D126" s="19"/>
      <c r="E126" s="19" t="s">
        <v>58</v>
      </c>
      <c r="F126" s="20" t="n">
        <v>225</v>
      </c>
      <c r="G126" s="20" t="n">
        <v>104</v>
      </c>
      <c r="H126" s="21" t="n">
        <v>14778.13</v>
      </c>
      <c r="I126" s="21" t="n">
        <v>-1103.75</v>
      </c>
      <c r="J126" s="21" t="n">
        <v>-64.99</v>
      </c>
      <c r="K126" s="22" t="n">
        <f aca="false">H126+I126+J126</f>
        <v>13609.39</v>
      </c>
      <c r="L126" s="23" t="n">
        <f aca="false">IF($K$1282=0,0,K126/$K$1282)</f>
        <v>0.00112738060605317</v>
      </c>
      <c r="M126" s="24" t="n">
        <f aca="false">IF(F126&lt;=0,0,K126/F126)</f>
        <v>60.4861777777778</v>
      </c>
      <c r="N126" s="21" t="n">
        <v>64.99</v>
      </c>
      <c r="O126" s="49" t="n">
        <v>1.5</v>
      </c>
      <c r="P126" s="24" t="n">
        <f aca="false">O126*'Price Groups'!$B$5</f>
        <v>33.75</v>
      </c>
      <c r="Q126" s="26" t="n">
        <f aca="false">IF(OR(N126="",P126=""),"",(N126-P126)/N126)</f>
        <v>0.480689336821049</v>
      </c>
      <c r="R126" s="27" t="n">
        <v>3</v>
      </c>
      <c r="S126" s="28" t="n">
        <f aca="false">IF(R126="-",0,IFERROR(VLOOKUP(R126,'Price Groups'!$A$13:$C$17,3,FALSE()),0))</f>
        <v>0.16</v>
      </c>
      <c r="T126" s="22" t="n">
        <f aca="false">IF(OR(N126="",R126="-"),"",CEILING(ROUND(N126*(1+S126),2),IF(N126*(1+S126)&lt;100,0.5,IF(N126*(1+S126)&lt;1000,1,5))))</f>
        <v>75.5</v>
      </c>
      <c r="U126" s="26" t="n">
        <f aca="false">IF(OR(T126="",P126=""),"",(T126-P126)/T126)</f>
        <v>0.552980132450331</v>
      </c>
      <c r="V126" s="26" t="n">
        <f aca="false">IF(T126="",0,T126/N126-1)</f>
        <v>0.161717187259578</v>
      </c>
      <c r="W126" s="19" t="s">
        <v>107</v>
      </c>
    </row>
    <row r="127" customFormat="false" ht="15" hidden="false" customHeight="false" outlineLevel="0" collapsed="false">
      <c r="A127" s="38" t="n">
        <v>86</v>
      </c>
      <c r="B127" s="38" t="s">
        <v>221</v>
      </c>
      <c r="C127" s="38" t="s">
        <v>57</v>
      </c>
      <c r="D127" s="38"/>
      <c r="E127" s="38" t="s">
        <v>58</v>
      </c>
      <c r="F127" s="39" t="n">
        <v>224</v>
      </c>
      <c r="G127" s="39" t="n">
        <v>143</v>
      </c>
      <c r="H127" s="40" t="n">
        <v>70545.6</v>
      </c>
      <c r="I127" s="40" t="n">
        <v>-1090.36</v>
      </c>
      <c r="J127" s="40" t="n">
        <v>-5659.74</v>
      </c>
      <c r="K127" s="41" t="n">
        <f aca="false">H127+I127+J127</f>
        <v>63795.5</v>
      </c>
      <c r="L127" s="42" t="n">
        <f aca="false">IF($K$1282=0,0,K127/$K$1282)</f>
        <v>0.00528471955418023</v>
      </c>
      <c r="M127" s="43" t="n">
        <f aca="false">IF(F127&lt;=0,0,K127/F127)</f>
        <v>284.801339285714</v>
      </c>
      <c r="N127" s="40" t="n">
        <v>318.6</v>
      </c>
      <c r="O127" s="44" t="n">
        <v>6.69</v>
      </c>
      <c r="P127" s="43" t="n">
        <f aca="false">O127*'Price Groups'!$B$5</f>
        <v>150.525</v>
      </c>
      <c r="Q127" s="45" t="n">
        <f aca="false">IF(OR(N127="",P127=""),"",(N127-P127)/N127)</f>
        <v>0.527542372881356</v>
      </c>
      <c r="R127" s="46" t="n">
        <v>4</v>
      </c>
      <c r="S127" s="47" t="n">
        <f aca="false">IF(R127="-",0,IFERROR(VLOOKUP(R127,'Price Groups'!$A$13:$C$17,3,FALSE()),0))</f>
        <v>0.15</v>
      </c>
      <c r="T127" s="41" t="n">
        <f aca="false">IF(OR(N127="",R127="-"),"",CEILING(ROUND(N127*(1+S127),2),IF(N127*(1+S127)&lt;100,0.5,IF(N127*(1+S127)&lt;1000,1,5))))</f>
        <v>367</v>
      </c>
      <c r="U127" s="45" t="n">
        <f aca="false">IF(OR(T127="",P127=""),"",(T127-P127)/T127)</f>
        <v>0.589850136239782</v>
      </c>
      <c r="V127" s="45" t="n">
        <f aca="false">IF(T127="",0,T127/N127-1)</f>
        <v>0.151914626490898</v>
      </c>
      <c r="W127" s="38" t="s">
        <v>101</v>
      </c>
    </row>
    <row r="128" customFormat="false" ht="15" hidden="false" customHeight="false" outlineLevel="0" collapsed="false">
      <c r="A128" s="19" t="n">
        <v>87</v>
      </c>
      <c r="B128" s="19" t="s">
        <v>222</v>
      </c>
      <c r="C128" s="19" t="s">
        <v>57</v>
      </c>
      <c r="D128" s="19" t="s">
        <v>223</v>
      </c>
      <c r="E128" s="19" t="s">
        <v>58</v>
      </c>
      <c r="F128" s="20" t="n">
        <v>222</v>
      </c>
      <c r="G128" s="20" t="n">
        <v>111</v>
      </c>
      <c r="H128" s="21" t="n">
        <v>14499.03</v>
      </c>
      <c r="I128" s="21" t="n">
        <v>-300.18</v>
      </c>
      <c r="J128" s="21" t="n">
        <v>-1717.17</v>
      </c>
      <c r="K128" s="22" t="n">
        <f aca="false">H128+I128+J128</f>
        <v>12481.68</v>
      </c>
      <c r="L128" s="23" t="n">
        <f aca="false">IF($K$1282=0,0,K128/$K$1282)</f>
        <v>0.00103396287144109</v>
      </c>
      <c r="M128" s="24" t="n">
        <f aca="false">IF(F128&lt;=0,0,K128/F128)</f>
        <v>56.2237837837838</v>
      </c>
      <c r="N128" s="21" t="n">
        <v>63.72</v>
      </c>
      <c r="O128" s="49" t="n">
        <v>1.21</v>
      </c>
      <c r="P128" s="24" t="n">
        <f aca="false">O128*'Price Groups'!$B$5</f>
        <v>27.225</v>
      </c>
      <c r="Q128" s="26" t="n">
        <f aca="false">IF(OR(N128="",P128=""),"",(N128-P128)/N128)</f>
        <v>0.57274011299435</v>
      </c>
      <c r="R128" s="27" t="n">
        <v>3</v>
      </c>
      <c r="S128" s="28" t="n">
        <f aca="false">IF(R128="-",0,IFERROR(VLOOKUP(R128,'Price Groups'!$A$13:$C$17,3,FALSE()),0))</f>
        <v>0.16</v>
      </c>
      <c r="T128" s="22" t="n">
        <f aca="false">IF(OR(N128="",R128="-"),"",CEILING(ROUND(N128*(1+S128),2),IF(N128*(1+S128)&lt;100,0.5,IF(N128*(1+S128)&lt;1000,1,5))))</f>
        <v>74</v>
      </c>
      <c r="U128" s="26" t="n">
        <f aca="false">IF(OR(T128="",P128=""),"",(T128-P128)/T128)</f>
        <v>0.632094594594595</v>
      </c>
      <c r="V128" s="26" t="n">
        <f aca="false">IF(T128="",0,T128/N128-1)</f>
        <v>0.161330822347772</v>
      </c>
      <c r="W128" s="19" t="s">
        <v>107</v>
      </c>
    </row>
    <row r="129" customFormat="false" ht="15" hidden="false" customHeight="false" outlineLevel="0" collapsed="false">
      <c r="A129" s="38" t="n">
        <v>88</v>
      </c>
      <c r="B129" s="38" t="s">
        <v>224</v>
      </c>
      <c r="C129" s="38" t="s">
        <v>57</v>
      </c>
      <c r="D129" s="38" t="s">
        <v>225</v>
      </c>
      <c r="E129" s="38" t="s">
        <v>58</v>
      </c>
      <c r="F129" s="39" t="n">
        <v>220</v>
      </c>
      <c r="G129" s="39" t="n">
        <v>79</v>
      </c>
      <c r="H129" s="40" t="n">
        <v>13401.79</v>
      </c>
      <c r="I129" s="40" t="n">
        <v>-1144.58</v>
      </c>
      <c r="J129" s="40" t="n">
        <v>-407.99</v>
      </c>
      <c r="K129" s="41" t="n">
        <f aca="false">H129+I129+J129</f>
        <v>11849.22</v>
      </c>
      <c r="L129" s="42" t="n">
        <f aca="false">IF($K$1282=0,0,K129/$K$1282)</f>
        <v>0.000981570873114616</v>
      </c>
      <c r="M129" s="43" t="n">
        <f aca="false">IF(F129&lt;=0,0,K129/F129)</f>
        <v>53.8600909090909</v>
      </c>
      <c r="N129" s="40" t="n">
        <v>63</v>
      </c>
      <c r="O129" s="44" t="n">
        <v>1.15</v>
      </c>
      <c r="P129" s="43" t="n">
        <f aca="false">O129*'Price Groups'!$B$5</f>
        <v>25.875</v>
      </c>
      <c r="Q129" s="45" t="n">
        <f aca="false">IF(OR(N129="",P129=""),"",(N129-P129)/N129)</f>
        <v>0.589285714285714</v>
      </c>
      <c r="R129" s="46" t="n">
        <v>4</v>
      </c>
      <c r="S129" s="47" t="n">
        <f aca="false">IF(R129="-",0,IFERROR(VLOOKUP(R129,'Price Groups'!$A$13:$C$17,3,FALSE()),0))</f>
        <v>0.15</v>
      </c>
      <c r="T129" s="41" t="n">
        <f aca="false">IF(OR(N129="",R129="-"),"",CEILING(ROUND(N129*(1+S129),2),IF(N129*(1+S129)&lt;100,0.5,IF(N129*(1+S129)&lt;1000,1,5))))</f>
        <v>72.5</v>
      </c>
      <c r="U129" s="45" t="n">
        <f aca="false">IF(OR(T129="",P129=""),"",(T129-P129)/T129)</f>
        <v>0.643103448275862</v>
      </c>
      <c r="V129" s="45" t="n">
        <f aca="false">IF(T129="",0,T129/N129-1)</f>
        <v>0.150793650793651</v>
      </c>
      <c r="W129" s="38" t="s">
        <v>101</v>
      </c>
    </row>
    <row r="130" customFormat="false" ht="15" hidden="false" customHeight="false" outlineLevel="0" collapsed="false">
      <c r="A130" s="19" t="n">
        <v>89</v>
      </c>
      <c r="B130" s="19" t="s">
        <v>226</v>
      </c>
      <c r="C130" s="19" t="s">
        <v>57</v>
      </c>
      <c r="D130" s="19" t="s">
        <v>227</v>
      </c>
      <c r="E130" s="19" t="s">
        <v>58</v>
      </c>
      <c r="F130" s="20" t="n">
        <v>219</v>
      </c>
      <c r="G130" s="20" t="n">
        <v>159</v>
      </c>
      <c r="H130" s="21" t="n">
        <v>18563.87</v>
      </c>
      <c r="I130" s="21" t="n">
        <v>-183.78</v>
      </c>
      <c r="J130" s="21" t="n">
        <v>-2551.48</v>
      </c>
      <c r="K130" s="22" t="n">
        <f aca="false">H130+I130+J130</f>
        <v>15828.61</v>
      </c>
      <c r="L130" s="23" t="n">
        <f aca="false">IF($K$1282=0,0,K130/$K$1282)</f>
        <v>0.0013112173238315</v>
      </c>
      <c r="M130" s="24" t="n">
        <f aca="false">IF(F130&lt;=0,0,K130/F130)</f>
        <v>72.2767579908676</v>
      </c>
      <c r="N130" s="21" t="n">
        <v>79.73</v>
      </c>
      <c r="O130" s="49" t="n">
        <v>1.35</v>
      </c>
      <c r="P130" s="24" t="n">
        <f aca="false">O130*'Price Groups'!$B$5</f>
        <v>30.375</v>
      </c>
      <c r="Q130" s="26" t="n">
        <f aca="false">IF(OR(N130="",P130=""),"",(N130-P130)/N130)</f>
        <v>0.619026715163678</v>
      </c>
      <c r="R130" s="27" t="n">
        <v>3</v>
      </c>
      <c r="S130" s="28" t="n">
        <f aca="false">IF(R130="-",0,IFERROR(VLOOKUP(R130,'Price Groups'!$A$13:$C$17,3,FALSE()),0))</f>
        <v>0.16</v>
      </c>
      <c r="T130" s="22" t="n">
        <f aca="false">IF(OR(N130="",R130="-"),"",CEILING(ROUND(N130*(1+S130),2),IF(N130*(1+S130)&lt;100,0.5,IF(N130*(1+S130)&lt;1000,1,5))))</f>
        <v>92.5</v>
      </c>
      <c r="U130" s="26" t="n">
        <f aca="false">IF(OR(T130="",P130=""),"",(T130-P130)/T130)</f>
        <v>0.671621621621622</v>
      </c>
      <c r="V130" s="26" t="n">
        <f aca="false">IF(T130="",0,T130/N130-1)</f>
        <v>0.160165558760818</v>
      </c>
      <c r="W130" s="19" t="s">
        <v>107</v>
      </c>
    </row>
    <row r="131" customFormat="false" ht="15" hidden="false" customHeight="false" outlineLevel="0" collapsed="false">
      <c r="A131" s="38" t="n">
        <v>90</v>
      </c>
      <c r="B131" s="38" t="s">
        <v>228</v>
      </c>
      <c r="C131" s="38" t="s">
        <v>57</v>
      </c>
      <c r="D131" s="38"/>
      <c r="E131" s="38" t="s">
        <v>58</v>
      </c>
      <c r="F131" s="39" t="n">
        <v>215</v>
      </c>
      <c r="G131" s="39" t="n">
        <v>110</v>
      </c>
      <c r="H131" s="40" t="n">
        <v>6731.06</v>
      </c>
      <c r="I131" s="40" t="n">
        <v>-88.4</v>
      </c>
      <c r="J131" s="40" t="n">
        <v>-622.9</v>
      </c>
      <c r="K131" s="41" t="n">
        <f aca="false">H131+I131+J131</f>
        <v>6019.76</v>
      </c>
      <c r="L131" s="42" t="n">
        <f aca="false">IF($K$1282=0,0,K131/$K$1282)</f>
        <v>0.000498667513907282</v>
      </c>
      <c r="M131" s="43" t="n">
        <f aca="false">IF(F131&lt;=0,0,K131/F131)</f>
        <v>27.9988837209302</v>
      </c>
      <c r="N131" s="40" t="n">
        <v>32.77</v>
      </c>
      <c r="O131" s="44" t="n">
        <v>0.42</v>
      </c>
      <c r="P131" s="43" t="n">
        <f aca="false">O131*'Price Groups'!$B$5</f>
        <v>9.45</v>
      </c>
      <c r="Q131" s="45" t="n">
        <f aca="false">IF(OR(N131="",P131=""),"",(N131-P131)/N131)</f>
        <v>0.711626487641135</v>
      </c>
      <c r="R131" s="46" t="n">
        <v>1</v>
      </c>
      <c r="S131" s="47" t="n">
        <f aca="false">IF(R131="-",0,IFERROR(VLOOKUP(R131,'Price Groups'!$A$13:$C$17,3,FALSE()),0))</f>
        <v>0.22</v>
      </c>
      <c r="T131" s="41" t="n">
        <f aca="false">IF(OR(N131="",R131="-"),"",CEILING(ROUND(N131*(1+S131),2),IF(N131*(1+S131)&lt;100,0.5,IF(N131*(1+S131)&lt;1000,1,5))))</f>
        <v>40</v>
      </c>
      <c r="U131" s="45" t="n">
        <f aca="false">IF(OR(T131="",P131=""),"",(T131-P131)/T131)</f>
        <v>0.76375</v>
      </c>
      <c r="V131" s="45" t="n">
        <f aca="false">IF(T131="",0,T131/N131-1)</f>
        <v>0.220628623741227</v>
      </c>
      <c r="W131" s="38" t="s">
        <v>94</v>
      </c>
    </row>
    <row r="132" customFormat="false" ht="15" hidden="false" customHeight="false" outlineLevel="0" collapsed="false">
      <c r="A132" s="19" t="n">
        <v>91</v>
      </c>
      <c r="B132" s="19" t="s">
        <v>229</v>
      </c>
      <c r="C132" s="19" t="s">
        <v>57</v>
      </c>
      <c r="D132" s="19"/>
      <c r="E132" s="19" t="s">
        <v>58</v>
      </c>
      <c r="F132" s="20" t="n">
        <v>214</v>
      </c>
      <c r="G132" s="20" t="n">
        <v>75</v>
      </c>
      <c r="H132" s="21" t="n">
        <v>11724.44</v>
      </c>
      <c r="I132" s="21" t="n">
        <v>-71.91</v>
      </c>
      <c r="J132" s="21" t="n">
        <v>-153.99</v>
      </c>
      <c r="K132" s="22" t="n">
        <f aca="false">H132+I132+J132</f>
        <v>11498.54</v>
      </c>
      <c r="L132" s="23" t="n">
        <f aca="false">IF($K$1282=0,0,K132/$K$1282)</f>
        <v>0.000952521089771591</v>
      </c>
      <c r="M132" s="24" t="n">
        <f aca="false">IF(F132&lt;=0,0,K132/F132)</f>
        <v>53.7314953271028</v>
      </c>
      <c r="N132" s="21" t="n">
        <v>49.99</v>
      </c>
      <c r="O132" s="49" t="n">
        <v>0.86</v>
      </c>
      <c r="P132" s="24" t="n">
        <f aca="false">O132*'Price Groups'!$B$5</f>
        <v>19.35</v>
      </c>
      <c r="Q132" s="26" t="n">
        <f aca="false">IF(OR(N132="",P132=""),"",(N132-P132)/N132)</f>
        <v>0.612922584516903</v>
      </c>
      <c r="R132" s="27" t="n">
        <v>3</v>
      </c>
      <c r="S132" s="28" t="n">
        <f aca="false">IF(R132="-",0,IFERROR(VLOOKUP(R132,'Price Groups'!$A$13:$C$17,3,FALSE()),0))</f>
        <v>0.16</v>
      </c>
      <c r="T132" s="22" t="n">
        <f aca="false">IF(OR(N132="",R132="-"),"",CEILING(ROUND(N132*(1+S132),2),IF(N132*(1+S132)&lt;100,0.5,IF(N132*(1+S132)&lt;1000,1,5))))</f>
        <v>58</v>
      </c>
      <c r="U132" s="26" t="n">
        <f aca="false">IF(OR(T132="",P132=""),"",(T132-P132)/T132)</f>
        <v>0.666379310344828</v>
      </c>
      <c r="V132" s="26" t="n">
        <f aca="false">IF(T132="",0,T132/N132-1)</f>
        <v>0.160232046409282</v>
      </c>
      <c r="W132" s="19" t="s">
        <v>107</v>
      </c>
    </row>
    <row r="133" customFormat="false" ht="15" hidden="false" customHeight="false" outlineLevel="0" collapsed="false">
      <c r="A133" s="38" t="n">
        <v>92</v>
      </c>
      <c r="B133" s="38" t="s">
        <v>230</v>
      </c>
      <c r="C133" s="38" t="s">
        <v>57</v>
      </c>
      <c r="D133" s="38"/>
      <c r="E133" s="38" t="s">
        <v>58</v>
      </c>
      <c r="F133" s="39" t="n">
        <v>210</v>
      </c>
      <c r="G133" s="39" t="n">
        <v>113</v>
      </c>
      <c r="H133" s="40" t="n">
        <v>16500</v>
      </c>
      <c r="I133" s="40" t="n">
        <v>-522.36</v>
      </c>
      <c r="J133" s="40" t="n">
        <v>-728</v>
      </c>
      <c r="K133" s="41" t="n">
        <f aca="false">H133+I133+J133</f>
        <v>15249.64</v>
      </c>
      <c r="L133" s="42" t="n">
        <f aca="false">IF($K$1282=0,0,K133/$K$1282)</f>
        <v>0.00126325635353918</v>
      </c>
      <c r="M133" s="43" t="n">
        <f aca="false">IF(F133&lt;=0,0,K133/F133)</f>
        <v>72.6173333333333</v>
      </c>
      <c r="N133" s="40" t="n">
        <v>80</v>
      </c>
      <c r="O133" s="44" t="n">
        <v>1.59</v>
      </c>
      <c r="P133" s="43" t="n">
        <f aca="false">O133*'Price Groups'!$B$5</f>
        <v>35.775</v>
      </c>
      <c r="Q133" s="45" t="n">
        <f aca="false">IF(OR(N133="",P133=""),"",(N133-P133)/N133)</f>
        <v>0.5528125</v>
      </c>
      <c r="R133" s="46" t="n">
        <v>3</v>
      </c>
      <c r="S133" s="47" t="n">
        <f aca="false">IF(R133="-",0,IFERROR(VLOOKUP(R133,'Price Groups'!$A$13:$C$17,3,FALSE()),0))</f>
        <v>0.16</v>
      </c>
      <c r="T133" s="41" t="n">
        <f aca="false">IF(OR(N133="",R133="-"),"",CEILING(ROUND(N133*(1+S133),2),IF(N133*(1+S133)&lt;100,0.5,IF(N133*(1+S133)&lt;1000,1,5))))</f>
        <v>93</v>
      </c>
      <c r="U133" s="45" t="n">
        <f aca="false">IF(OR(T133="",P133=""),"",(T133-P133)/T133)</f>
        <v>0.615322580645161</v>
      </c>
      <c r="V133" s="45" t="n">
        <f aca="false">IF(T133="",0,T133/N133-1)</f>
        <v>0.1625</v>
      </c>
      <c r="W133" s="38" t="s">
        <v>107</v>
      </c>
    </row>
    <row r="134" customFormat="false" ht="15" hidden="false" customHeight="false" outlineLevel="0" collapsed="false">
      <c r="A134" s="19" t="n">
        <v>93</v>
      </c>
      <c r="B134" s="19" t="s">
        <v>231</v>
      </c>
      <c r="C134" s="19" t="s">
        <v>57</v>
      </c>
      <c r="D134" s="19" t="s">
        <v>232</v>
      </c>
      <c r="E134" s="19" t="s">
        <v>58</v>
      </c>
      <c r="F134" s="20" t="n">
        <v>210</v>
      </c>
      <c r="G134" s="20" t="n">
        <v>145</v>
      </c>
      <c r="H134" s="21" t="n">
        <v>18790.68</v>
      </c>
      <c r="I134" s="21" t="n">
        <v>-88.68</v>
      </c>
      <c r="J134" s="21" t="n">
        <v>-1783.78</v>
      </c>
      <c r="K134" s="22" t="n">
        <f aca="false">H134+I134+J134</f>
        <v>16918.22</v>
      </c>
      <c r="L134" s="23" t="n">
        <f aca="false">IF($K$1282=0,0,K134/$K$1282)</f>
        <v>0.00140147891396608</v>
      </c>
      <c r="M134" s="24" t="n">
        <f aca="false">IF(F134&lt;=0,0,K134/F134)</f>
        <v>80.5629523809524</v>
      </c>
      <c r="N134" s="21" t="n">
        <v>84.99</v>
      </c>
      <c r="O134" s="49" t="n">
        <v>1.5</v>
      </c>
      <c r="P134" s="24" t="n">
        <f aca="false">O134*'Price Groups'!$B$5</f>
        <v>33.75</v>
      </c>
      <c r="Q134" s="26" t="n">
        <f aca="false">IF(OR(N134="",P134=""),"",(N134-P134)/N134)</f>
        <v>0.60289445817155</v>
      </c>
      <c r="R134" s="27" t="n">
        <v>3</v>
      </c>
      <c r="S134" s="28" t="n">
        <f aca="false">IF(R134="-",0,IFERROR(VLOOKUP(R134,'Price Groups'!$A$13:$C$17,3,FALSE()),0))</f>
        <v>0.16</v>
      </c>
      <c r="T134" s="22" t="n">
        <f aca="false">IF(OR(N134="",R134="-"),"",CEILING(ROUND(N134*(1+S134),2),IF(N134*(1+S134)&lt;100,0.5,IF(N134*(1+S134)&lt;1000,1,5))))</f>
        <v>99</v>
      </c>
      <c r="U134" s="26" t="n">
        <f aca="false">IF(OR(T134="",P134=""),"",(T134-P134)/T134)</f>
        <v>0.659090909090909</v>
      </c>
      <c r="V134" s="26" t="n">
        <f aca="false">IF(T134="",0,T134/N134-1)</f>
        <v>0.164842922696788</v>
      </c>
      <c r="W134" s="19" t="s">
        <v>107</v>
      </c>
    </row>
    <row r="135" customFormat="false" ht="15" hidden="false" customHeight="false" outlineLevel="0" collapsed="false">
      <c r="A135" s="38" t="n">
        <v>94</v>
      </c>
      <c r="B135" s="38" t="s">
        <v>233</v>
      </c>
      <c r="C135" s="38" t="s">
        <v>57</v>
      </c>
      <c r="D135" s="38"/>
      <c r="E135" s="38" t="s">
        <v>58</v>
      </c>
      <c r="F135" s="39" t="n">
        <v>209</v>
      </c>
      <c r="G135" s="39" t="n">
        <v>98</v>
      </c>
      <c r="H135" s="40" t="n">
        <v>3854.76</v>
      </c>
      <c r="I135" s="40" t="n">
        <v>-23.87</v>
      </c>
      <c r="J135" s="40" t="n">
        <v>-426.95</v>
      </c>
      <c r="K135" s="41" t="n">
        <f aca="false">H135+I135+J135</f>
        <v>3403.94</v>
      </c>
      <c r="L135" s="42" t="n">
        <f aca="false">IF($K$1282=0,0,K135/$K$1282)</f>
        <v>0.000281977071725376</v>
      </c>
      <c r="M135" s="43" t="n">
        <f aca="false">IF(F135&lt;=0,0,K135/F135)</f>
        <v>16.2867942583732</v>
      </c>
      <c r="N135" s="40" t="n">
        <v>17.48</v>
      </c>
      <c r="O135" s="44" t="n">
        <v>0.38</v>
      </c>
      <c r="P135" s="43" t="n">
        <f aca="false">O135*'Price Groups'!$B$5</f>
        <v>8.55</v>
      </c>
      <c r="Q135" s="45" t="n">
        <f aca="false">IF(OR(N135="",P135=""),"",(N135-P135)/N135)</f>
        <v>0.510869565217391</v>
      </c>
      <c r="R135" s="46" t="n">
        <v>1</v>
      </c>
      <c r="S135" s="47" t="n">
        <f aca="false">IF(R135="-",0,IFERROR(VLOOKUP(R135,'Price Groups'!$A$13:$C$17,3,FALSE()),0))</f>
        <v>0.22</v>
      </c>
      <c r="T135" s="41" t="n">
        <f aca="false">IF(OR(N135="",R135="-"),"",CEILING(ROUND(N135*(1+S135),2),IF(N135*(1+S135)&lt;100,0.5,IF(N135*(1+S135)&lt;1000,1,5))))</f>
        <v>21.5</v>
      </c>
      <c r="U135" s="45" t="n">
        <f aca="false">IF(OR(T135="",P135=""),"",(T135-P135)/T135)</f>
        <v>0.602325581395349</v>
      </c>
      <c r="V135" s="45" t="n">
        <f aca="false">IF(T135="",0,T135/N135-1)</f>
        <v>0.229977116704805</v>
      </c>
      <c r="W135" s="38" t="s">
        <v>94</v>
      </c>
    </row>
    <row r="136" customFormat="false" ht="15" hidden="false" customHeight="false" outlineLevel="0" collapsed="false">
      <c r="A136" s="19" t="n">
        <v>95</v>
      </c>
      <c r="B136" s="19" t="s">
        <v>234</v>
      </c>
      <c r="C136" s="19" t="s">
        <v>57</v>
      </c>
      <c r="D136" s="19"/>
      <c r="E136" s="19" t="s">
        <v>58</v>
      </c>
      <c r="F136" s="20" t="n">
        <v>206</v>
      </c>
      <c r="G136" s="20" t="n">
        <v>125</v>
      </c>
      <c r="H136" s="21" t="n">
        <v>6605.09</v>
      </c>
      <c r="I136" s="21" t="n">
        <v>-50.76</v>
      </c>
      <c r="J136" s="21" t="n">
        <v>-573.8</v>
      </c>
      <c r="K136" s="22" t="n">
        <f aca="false">H136+I136+J136</f>
        <v>5980.53</v>
      </c>
      <c r="L136" s="23" t="n">
        <f aca="false">IF($K$1282=0,0,K136/$K$1282)</f>
        <v>0.000495417761995148</v>
      </c>
      <c r="M136" s="24" t="n">
        <f aca="false">IF(F136&lt;=0,0,K136/F136)</f>
        <v>29.0316990291262</v>
      </c>
      <c r="N136" s="21" t="n">
        <v>34.99</v>
      </c>
      <c r="O136" s="49" t="n">
        <v>0.46</v>
      </c>
      <c r="P136" s="24" t="n">
        <f aca="false">O136*'Price Groups'!$B$5</f>
        <v>10.35</v>
      </c>
      <c r="Q136" s="26" t="n">
        <f aca="false">IF(OR(N136="",P136=""),"",(N136-P136)/N136)</f>
        <v>0.704201200342955</v>
      </c>
      <c r="R136" s="27" t="n">
        <v>1</v>
      </c>
      <c r="S136" s="28" t="n">
        <f aca="false">IF(R136="-",0,IFERROR(VLOOKUP(R136,'Price Groups'!$A$13:$C$17,3,FALSE()),0))</f>
        <v>0.22</v>
      </c>
      <c r="T136" s="22" t="n">
        <f aca="false">IF(OR(N136="",R136="-"),"",CEILING(ROUND(N136*(1+S136),2),IF(N136*(1+S136)&lt;100,0.5,IF(N136*(1+S136)&lt;1000,1,5))))</f>
        <v>43</v>
      </c>
      <c r="U136" s="26" t="n">
        <f aca="false">IF(OR(T136="",P136=""),"",(T136-P136)/T136)</f>
        <v>0.759302325581395</v>
      </c>
      <c r="V136" s="26" t="n">
        <f aca="false">IF(T136="",0,T136/N136-1)</f>
        <v>0.2289225492998</v>
      </c>
      <c r="W136" s="19" t="s">
        <v>94</v>
      </c>
    </row>
    <row r="137" customFormat="false" ht="15" hidden="false" customHeight="false" outlineLevel="0" collapsed="false">
      <c r="A137" s="38" t="n">
        <v>96</v>
      </c>
      <c r="B137" s="38" t="s">
        <v>235</v>
      </c>
      <c r="C137" s="38" t="s">
        <v>57</v>
      </c>
      <c r="D137" s="38" t="s">
        <v>236</v>
      </c>
      <c r="E137" s="38" t="s">
        <v>58</v>
      </c>
      <c r="F137" s="39" t="n">
        <v>206</v>
      </c>
      <c r="G137" s="39" t="n">
        <v>114</v>
      </c>
      <c r="H137" s="40" t="n">
        <v>8307.52</v>
      </c>
      <c r="I137" s="40" t="n">
        <v>-363.34</v>
      </c>
      <c r="J137" s="40" t="n">
        <v>-1752.74</v>
      </c>
      <c r="K137" s="41" t="n">
        <f aca="false">H137+I137+J137</f>
        <v>6191.44</v>
      </c>
      <c r="L137" s="42" t="n">
        <f aca="false">IF($K$1282=0,0,K137/$K$1282)</f>
        <v>0.000512889216896703</v>
      </c>
      <c r="M137" s="43" t="n">
        <f aca="false">IF(F137&lt;=0,0,K137/F137)</f>
        <v>30.0555339805825</v>
      </c>
      <c r="N137" s="40" t="n">
        <v>29.99</v>
      </c>
      <c r="O137" s="44" t="n">
        <v>0.79</v>
      </c>
      <c r="P137" s="43" t="n">
        <f aca="false">O137*'Price Groups'!$B$5</f>
        <v>17.775</v>
      </c>
      <c r="Q137" s="45" t="n">
        <f aca="false">IF(OR(N137="",P137=""),"",(N137-P137)/N137)</f>
        <v>0.407302434144715</v>
      </c>
      <c r="R137" s="46" t="n">
        <v>2</v>
      </c>
      <c r="S137" s="47" t="n">
        <f aca="false">IF(R137="-",0,IFERROR(VLOOKUP(R137,'Price Groups'!$A$13:$C$17,3,FALSE()),0))</f>
        <v>0.18</v>
      </c>
      <c r="T137" s="41" t="n">
        <f aca="false">IF(OR(N137="",R137="-"),"",CEILING(ROUND(N137*(1+S137),2),IF(N137*(1+S137)&lt;100,0.5,IF(N137*(1+S137)&lt;1000,1,5))))</f>
        <v>35.5</v>
      </c>
      <c r="U137" s="45" t="n">
        <f aca="false">IF(OR(T137="",P137=""),"",(T137-P137)/T137)</f>
        <v>0.499295774647887</v>
      </c>
      <c r="V137" s="45" t="n">
        <f aca="false">IF(T137="",0,T137/N137-1)</f>
        <v>0.183727909303101</v>
      </c>
      <c r="W137" s="38" t="s">
        <v>237</v>
      </c>
    </row>
    <row r="138" customFormat="false" ht="15" hidden="false" customHeight="false" outlineLevel="0" collapsed="false">
      <c r="A138" s="19" t="n">
        <v>97</v>
      </c>
      <c r="B138" s="19" t="s">
        <v>238</v>
      </c>
      <c r="C138" s="19" t="s">
        <v>57</v>
      </c>
      <c r="D138" s="19" t="s">
        <v>239</v>
      </c>
      <c r="E138" s="19" t="s">
        <v>58</v>
      </c>
      <c r="F138" s="20" t="n">
        <v>202</v>
      </c>
      <c r="G138" s="20" t="n">
        <v>125</v>
      </c>
      <c r="H138" s="21" t="n">
        <v>9750</v>
      </c>
      <c r="I138" s="21" t="n">
        <v>-51.76</v>
      </c>
      <c r="J138" s="21" t="n">
        <v>-1872</v>
      </c>
      <c r="K138" s="22" t="n">
        <f aca="false">H138+I138+J138</f>
        <v>7826.24</v>
      </c>
      <c r="L138" s="23" t="n">
        <f aca="false">IF($K$1282=0,0,K138/$K$1282)</f>
        <v>0.000648313494897093</v>
      </c>
      <c r="M138" s="24" t="n">
        <f aca="false">IF(F138&lt;=0,0,K138/F138)</f>
        <v>38.7437623762376</v>
      </c>
      <c r="N138" s="21" t="n">
        <v>39</v>
      </c>
      <c r="O138" s="49" t="n">
        <v>0.92</v>
      </c>
      <c r="P138" s="24" t="n">
        <f aca="false">O138*'Price Groups'!$B$5</f>
        <v>20.7</v>
      </c>
      <c r="Q138" s="26" t="n">
        <f aca="false">IF(OR(N138="",P138=""),"",(N138-P138)/N138)</f>
        <v>0.469230769230769</v>
      </c>
      <c r="R138" s="27" t="n">
        <v>3</v>
      </c>
      <c r="S138" s="28" t="n">
        <f aca="false">IF(R138="-",0,IFERROR(VLOOKUP(R138,'Price Groups'!$A$13:$C$17,3,FALSE()),0))</f>
        <v>0.16</v>
      </c>
      <c r="T138" s="22" t="n">
        <f aca="false">IF(OR(N138="",R138="-"),"",CEILING(ROUND(N138*(1+S138),2),IF(N138*(1+S138)&lt;100,0.5,IF(N138*(1+S138)&lt;1000,1,5))))</f>
        <v>45.5</v>
      </c>
      <c r="U138" s="26" t="n">
        <f aca="false">IF(OR(T138="",P138=""),"",(T138-P138)/T138)</f>
        <v>0.545054945054945</v>
      </c>
      <c r="V138" s="26" t="n">
        <f aca="false">IF(T138="",0,T138/N138-1)</f>
        <v>0.166666666666667</v>
      </c>
      <c r="W138" s="19" t="s">
        <v>107</v>
      </c>
    </row>
    <row r="139" customFormat="false" ht="15" hidden="false" customHeight="false" outlineLevel="0" collapsed="false">
      <c r="A139" s="38" t="n">
        <v>98</v>
      </c>
      <c r="B139" s="38" t="s">
        <v>240</v>
      </c>
      <c r="C139" s="38" t="s">
        <v>57</v>
      </c>
      <c r="D139" s="38" t="s">
        <v>241</v>
      </c>
      <c r="E139" s="38" t="s">
        <v>58</v>
      </c>
      <c r="F139" s="39" t="n">
        <v>200</v>
      </c>
      <c r="G139" s="39" t="n">
        <v>94</v>
      </c>
      <c r="H139" s="40" t="n">
        <v>13846</v>
      </c>
      <c r="I139" s="40" t="n">
        <v>-164.54</v>
      </c>
      <c r="J139" s="40" t="n">
        <v>-1621.65</v>
      </c>
      <c r="K139" s="41" t="n">
        <f aca="false">H139+I139+J139</f>
        <v>12059.81</v>
      </c>
      <c r="L139" s="42" t="n">
        <f aca="false">IF($K$1282=0,0,K139/$K$1282)</f>
        <v>0.000999015819716097</v>
      </c>
      <c r="M139" s="43" t="n">
        <f aca="false">IF(F139&lt;=0,0,K139/F139)</f>
        <v>60.29905</v>
      </c>
      <c r="N139" s="40" t="n">
        <v>67</v>
      </c>
      <c r="O139" s="44" t="n">
        <v>1</v>
      </c>
      <c r="P139" s="43" t="n">
        <f aca="false">O139*'Price Groups'!$B$5</f>
        <v>22.5</v>
      </c>
      <c r="Q139" s="45" t="n">
        <f aca="false">IF(OR(N139="",P139=""),"",(N139-P139)/N139)</f>
        <v>0.664179104477612</v>
      </c>
      <c r="R139" s="46" t="n">
        <v>3</v>
      </c>
      <c r="S139" s="47" t="n">
        <f aca="false">IF(R139="-",0,IFERROR(VLOOKUP(R139,'Price Groups'!$A$13:$C$17,3,FALSE()),0))</f>
        <v>0.16</v>
      </c>
      <c r="T139" s="41" t="n">
        <f aca="false">IF(OR(N139="",R139="-"),"",CEILING(ROUND(N139*(1+S139),2),IF(N139*(1+S139)&lt;100,0.5,IF(N139*(1+S139)&lt;1000,1,5))))</f>
        <v>78</v>
      </c>
      <c r="U139" s="45" t="n">
        <f aca="false">IF(OR(T139="",P139=""),"",(T139-P139)/T139)</f>
        <v>0.711538461538462</v>
      </c>
      <c r="V139" s="45" t="n">
        <f aca="false">IF(T139="",0,T139/N139-1)</f>
        <v>0.164179104477612</v>
      </c>
      <c r="W139" s="38" t="s">
        <v>107</v>
      </c>
    </row>
    <row r="140" customFormat="false" ht="15" hidden="false" customHeight="false" outlineLevel="0" collapsed="false">
      <c r="A140" s="19" t="n">
        <v>99</v>
      </c>
      <c r="B140" s="19" t="s">
        <v>242</v>
      </c>
      <c r="C140" s="19" t="s">
        <v>57</v>
      </c>
      <c r="D140" s="19"/>
      <c r="E140" s="19" t="s">
        <v>58</v>
      </c>
      <c r="F140" s="20" t="n">
        <v>199</v>
      </c>
      <c r="G140" s="20" t="n">
        <v>82</v>
      </c>
      <c r="H140" s="21" t="n">
        <v>3719.52</v>
      </c>
      <c r="I140" s="21" t="n">
        <v>-8.85</v>
      </c>
      <c r="J140" s="21" t="n">
        <v>-697.31</v>
      </c>
      <c r="K140" s="22" t="n">
        <f aca="false">H140+I140+J140</f>
        <v>3013.36</v>
      </c>
      <c r="L140" s="23" t="n">
        <f aca="false">IF($K$1282=0,0,K140/$K$1282)</f>
        <v>0.00024962203471694</v>
      </c>
      <c r="M140" s="24" t="n">
        <f aca="false">IF(F140&lt;=0,0,K140/F140)</f>
        <v>15.1425125628141</v>
      </c>
      <c r="N140" s="21" t="n">
        <v>14.99</v>
      </c>
      <c r="O140" s="49" t="n">
        <v>0.33</v>
      </c>
      <c r="P140" s="24" t="n">
        <f aca="false">O140*'Price Groups'!$B$5</f>
        <v>7.425</v>
      </c>
      <c r="Q140" s="26" t="n">
        <f aca="false">IF(OR(N140="",P140=""),"",(N140-P140)/N140)</f>
        <v>0.504669779853236</v>
      </c>
      <c r="R140" s="27" t="n">
        <v>1</v>
      </c>
      <c r="S140" s="28" t="n">
        <f aca="false">IF(R140="-",0,IFERROR(VLOOKUP(R140,'Price Groups'!$A$13:$C$17,3,FALSE()),0))</f>
        <v>0.22</v>
      </c>
      <c r="T140" s="22" t="n">
        <f aca="false">IF(OR(N140="",R140="-"),"",CEILING(ROUND(N140*(1+S140),2),IF(N140*(1+S140)&lt;100,0.5,IF(N140*(1+S140)&lt;1000,1,5))))</f>
        <v>18.5</v>
      </c>
      <c r="U140" s="26" t="n">
        <f aca="false">IF(OR(T140="",P140=""),"",(T140-P140)/T140)</f>
        <v>0.598648648648649</v>
      </c>
      <c r="V140" s="26" t="n">
        <f aca="false">IF(T140="",0,T140/N140-1)</f>
        <v>0.23415610406938</v>
      </c>
      <c r="W140" s="19" t="s">
        <v>94</v>
      </c>
    </row>
    <row r="141" customFormat="false" ht="15" hidden="false" customHeight="false" outlineLevel="0" collapsed="false">
      <c r="A141" s="38" t="n">
        <v>100</v>
      </c>
      <c r="B141" s="38" t="s">
        <v>243</v>
      </c>
      <c r="C141" s="38" t="s">
        <v>57</v>
      </c>
      <c r="D141" s="38"/>
      <c r="E141" s="38" t="s">
        <v>58</v>
      </c>
      <c r="F141" s="39" t="n">
        <v>195</v>
      </c>
      <c r="G141" s="39" t="n">
        <v>77</v>
      </c>
      <c r="H141" s="40" t="n">
        <v>3146.28</v>
      </c>
      <c r="I141" s="40" t="n">
        <v>-24.69</v>
      </c>
      <c r="J141" s="40" t="n">
        <v>-360.25</v>
      </c>
      <c r="K141" s="41" t="n">
        <f aca="false">H141+I141+J141</f>
        <v>2761.34</v>
      </c>
      <c r="L141" s="42" t="n">
        <f aca="false">IF($K$1282=0,0,K141/$K$1282)</f>
        <v>0.00022874509164032</v>
      </c>
      <c r="M141" s="43" t="n">
        <f aca="false">IF(F141&lt;=0,0,K141/F141)</f>
        <v>14.1607179487179</v>
      </c>
      <c r="N141" s="40" t="n">
        <v>12.13</v>
      </c>
      <c r="O141" s="44" t="n">
        <v>0.41</v>
      </c>
      <c r="P141" s="43" t="n">
        <f aca="false">O141*'Price Groups'!$B$5</f>
        <v>9.225</v>
      </c>
      <c r="Q141" s="45" t="n">
        <f aca="false">IF(OR(N141="",P141=""),"",(N141-P141)/N141)</f>
        <v>0.239488870568838</v>
      </c>
      <c r="R141" s="46" t="n">
        <v>1</v>
      </c>
      <c r="S141" s="47" t="n">
        <f aca="false">IF(R141="-",0,IFERROR(VLOOKUP(R141,'Price Groups'!$A$13:$C$17,3,FALSE()),0))</f>
        <v>0.22</v>
      </c>
      <c r="T141" s="41" t="n">
        <f aca="false">IF(OR(N141="",R141="-"),"",CEILING(ROUND(N141*(1+S141),2),IF(N141*(1+S141)&lt;100,0.5,IF(N141*(1+S141)&lt;1000,1,5))))</f>
        <v>15</v>
      </c>
      <c r="U141" s="45" t="n">
        <f aca="false">IF(OR(T141="",P141=""),"",(T141-P141)/T141)</f>
        <v>0.385</v>
      </c>
      <c r="V141" s="45" t="n">
        <f aca="false">IF(T141="",0,T141/N141-1)</f>
        <v>0.236603462489695</v>
      </c>
      <c r="W141" s="38" t="s">
        <v>244</v>
      </c>
    </row>
    <row r="142" customFormat="false" ht="15" hidden="false" customHeight="false" outlineLevel="0" collapsed="false">
      <c r="A142" s="19" t="n">
        <v>101</v>
      </c>
      <c r="B142" s="19" t="s">
        <v>245</v>
      </c>
      <c r="C142" s="19" t="s">
        <v>57</v>
      </c>
      <c r="D142" s="19"/>
      <c r="E142" s="19" t="s">
        <v>58</v>
      </c>
      <c r="F142" s="20" t="n">
        <v>193</v>
      </c>
      <c r="G142" s="20" t="n">
        <v>69</v>
      </c>
      <c r="H142" s="21" t="n">
        <v>19560.86</v>
      </c>
      <c r="I142" s="21" t="n">
        <v>-39.88</v>
      </c>
      <c r="J142" s="21" t="n">
        <v>-693.99</v>
      </c>
      <c r="K142" s="22" t="n">
        <f aca="false">H142+I142+J142</f>
        <v>18826.99</v>
      </c>
      <c r="L142" s="23" t="n">
        <f aca="false">IF($K$1282=0,0,K142/$K$1282)</f>
        <v>0.00155959843875125</v>
      </c>
      <c r="M142" s="24" t="n">
        <f aca="false">IF(F142&lt;=0,0,K142/F142)</f>
        <v>97.5491709844559</v>
      </c>
      <c r="N142" s="21" t="n">
        <v>99.99</v>
      </c>
      <c r="O142" s="49" t="n">
        <v>2.01</v>
      </c>
      <c r="P142" s="24" t="n">
        <f aca="false">O142*'Price Groups'!$B$5</f>
        <v>45.225</v>
      </c>
      <c r="Q142" s="26" t="n">
        <f aca="false">IF(OR(N142="",P142=""),"",(N142-P142)/N142)</f>
        <v>0.547704770477048</v>
      </c>
      <c r="R142" s="27" t="n">
        <v>3</v>
      </c>
      <c r="S142" s="28" t="n">
        <f aca="false">IF(R142="-",0,IFERROR(VLOOKUP(R142,'Price Groups'!$A$13:$C$17,3,FALSE()),0))</f>
        <v>0.16</v>
      </c>
      <c r="T142" s="22" t="n">
        <f aca="false">IF(OR(N142="",R142="-"),"",CEILING(ROUND(N142*(1+S142),2),IF(N142*(1+S142)&lt;100,0.5,IF(N142*(1+S142)&lt;1000,1,5))))</f>
        <v>116</v>
      </c>
      <c r="U142" s="26" t="n">
        <f aca="false">IF(OR(T142="",P142=""),"",(T142-P142)/T142)</f>
        <v>0.610129310344828</v>
      </c>
      <c r="V142" s="26" t="n">
        <f aca="false">IF(T142="",0,T142/N142-1)</f>
        <v>0.16011601160116</v>
      </c>
      <c r="W142" s="19" t="s">
        <v>107</v>
      </c>
    </row>
    <row r="143" customFormat="false" ht="15" hidden="false" customHeight="false" outlineLevel="0" collapsed="false">
      <c r="A143" s="38" t="n">
        <v>102</v>
      </c>
      <c r="B143" s="38" t="s">
        <v>246</v>
      </c>
      <c r="C143" s="38" t="s">
        <v>57</v>
      </c>
      <c r="D143" s="38"/>
      <c r="E143" s="38" t="s">
        <v>58</v>
      </c>
      <c r="F143" s="39" t="n">
        <v>191</v>
      </c>
      <c r="G143" s="39" t="n">
        <v>115</v>
      </c>
      <c r="H143" s="40" t="n">
        <v>39903.97</v>
      </c>
      <c r="I143" s="40" t="n">
        <v>-169.64</v>
      </c>
      <c r="J143" s="40" t="n">
        <v>-2376.79</v>
      </c>
      <c r="K143" s="41" t="n">
        <f aca="false">H143+I143+J143</f>
        <v>37357.54</v>
      </c>
      <c r="L143" s="42" t="n">
        <f aca="false">IF($K$1282=0,0,K143/$K$1282)</f>
        <v>0.00309464025102194</v>
      </c>
      <c r="M143" s="43" t="n">
        <f aca="false">IF(F143&lt;=0,0,K143/F143)</f>
        <v>195.589214659686</v>
      </c>
      <c r="N143" s="40" t="n">
        <v>199.99</v>
      </c>
      <c r="O143" s="44" t="n">
        <v>2.94</v>
      </c>
      <c r="P143" s="43" t="n">
        <f aca="false">O143*'Price Groups'!$B$5</f>
        <v>66.15</v>
      </c>
      <c r="Q143" s="45" t="n">
        <f aca="false">IF(OR(N143="",P143=""),"",(N143-P143)/N143)</f>
        <v>0.669233461673084</v>
      </c>
      <c r="R143" s="46" t="n">
        <v>3</v>
      </c>
      <c r="S143" s="47" t="n">
        <f aca="false">IF(R143="-",0,IFERROR(VLOOKUP(R143,'Price Groups'!$A$13:$C$17,3,FALSE()),0))</f>
        <v>0.16</v>
      </c>
      <c r="T143" s="41" t="n">
        <f aca="false">IF(OR(N143="",R143="-"),"",CEILING(ROUND(N143*(1+S143),2),IF(N143*(1+S143)&lt;100,0.5,IF(N143*(1+S143)&lt;1000,1,5))))</f>
        <v>232</v>
      </c>
      <c r="U143" s="45" t="n">
        <f aca="false">IF(OR(T143="",P143=""),"",(T143-P143)/T143)</f>
        <v>0.714870689655172</v>
      </c>
      <c r="V143" s="45" t="n">
        <f aca="false">IF(T143="",0,T143/N143-1)</f>
        <v>0.160058002900145</v>
      </c>
      <c r="W143" s="38" t="s">
        <v>107</v>
      </c>
    </row>
    <row r="144" customFormat="false" ht="15" hidden="false" customHeight="false" outlineLevel="0" collapsed="false">
      <c r="A144" s="19" t="n">
        <v>103</v>
      </c>
      <c r="B144" s="19" t="s">
        <v>247</v>
      </c>
      <c r="C144" s="19" t="s">
        <v>57</v>
      </c>
      <c r="D144" s="19"/>
      <c r="E144" s="19" t="s">
        <v>58</v>
      </c>
      <c r="F144" s="20" t="n">
        <v>187</v>
      </c>
      <c r="G144" s="20" t="n">
        <v>119</v>
      </c>
      <c r="H144" s="21" t="n">
        <v>4482.15</v>
      </c>
      <c r="I144" s="21" t="n">
        <v>-45.37</v>
      </c>
      <c r="J144" s="21" t="n">
        <v>-322</v>
      </c>
      <c r="K144" s="22" t="n">
        <f aca="false">H144+I144+J144</f>
        <v>4114.78</v>
      </c>
      <c r="L144" s="23" t="n">
        <f aca="false">IF($K$1282=0,0,K144/$K$1282)</f>
        <v>0.000340861946801102</v>
      </c>
      <c r="M144" s="24" t="n">
        <f aca="false">IF(F144&lt;=0,0,K144/F144)</f>
        <v>22.0041711229947</v>
      </c>
      <c r="N144" s="21" t="n">
        <v>23</v>
      </c>
      <c r="O144" s="49" t="n">
        <v>0.46</v>
      </c>
      <c r="P144" s="24" t="n">
        <f aca="false">O144*'Price Groups'!$B$5</f>
        <v>10.35</v>
      </c>
      <c r="Q144" s="26" t="n">
        <f aca="false">IF(OR(N144="",P144=""),"",(N144-P144)/N144)</f>
        <v>0.55</v>
      </c>
      <c r="R144" s="27" t="n">
        <v>1</v>
      </c>
      <c r="S144" s="28" t="n">
        <f aca="false">IF(R144="-",0,IFERROR(VLOOKUP(R144,'Price Groups'!$A$13:$C$17,3,FALSE()),0))</f>
        <v>0.22</v>
      </c>
      <c r="T144" s="22" t="n">
        <f aca="false">IF(OR(N144="",R144="-"),"",CEILING(ROUND(N144*(1+S144),2),IF(N144*(1+S144)&lt;100,0.5,IF(N144*(1+S144)&lt;1000,1,5))))</f>
        <v>28.5</v>
      </c>
      <c r="U144" s="26" t="n">
        <f aca="false">IF(OR(T144="",P144=""),"",(T144-P144)/T144)</f>
        <v>0.636842105263158</v>
      </c>
      <c r="V144" s="26" t="n">
        <f aca="false">IF(T144="",0,T144/N144-1)</f>
        <v>0.239130434782609</v>
      </c>
      <c r="W144" s="19" t="s">
        <v>94</v>
      </c>
    </row>
    <row r="145" customFormat="false" ht="15" hidden="false" customHeight="false" outlineLevel="0" collapsed="false">
      <c r="A145" s="38" t="n">
        <v>104</v>
      </c>
      <c r="B145" s="38" t="s">
        <v>248</v>
      </c>
      <c r="C145" s="38" t="s">
        <v>57</v>
      </c>
      <c r="D145" s="38" t="s">
        <v>249</v>
      </c>
      <c r="E145" s="38" t="s">
        <v>58</v>
      </c>
      <c r="F145" s="39" t="n">
        <v>184</v>
      </c>
      <c r="G145" s="39" t="n">
        <v>142</v>
      </c>
      <c r="H145" s="40" t="n">
        <v>14140</v>
      </c>
      <c r="I145" s="40" t="n">
        <v>-144.99</v>
      </c>
      <c r="J145" s="40" t="n">
        <v>-2250.28</v>
      </c>
      <c r="K145" s="41" t="n">
        <f aca="false">H145+I145+J145</f>
        <v>11744.73</v>
      </c>
      <c r="L145" s="42" t="n">
        <f aca="false">IF($K$1282=0,0,K145/$K$1282)</f>
        <v>0.000972915084756247</v>
      </c>
      <c r="M145" s="43" t="n">
        <f aca="false">IF(F145&lt;=0,0,K145/F145)</f>
        <v>63.8300543478261</v>
      </c>
      <c r="N145" s="40" t="n">
        <v>69</v>
      </c>
      <c r="O145" s="44" t="n">
        <v>1.05</v>
      </c>
      <c r="P145" s="43" t="n">
        <f aca="false">O145*'Price Groups'!$B$5</f>
        <v>23.625</v>
      </c>
      <c r="Q145" s="45" t="n">
        <f aca="false">IF(OR(N145="",P145=""),"",(N145-P145)/N145)</f>
        <v>0.657608695652174</v>
      </c>
      <c r="R145" s="46" t="n">
        <v>3</v>
      </c>
      <c r="S145" s="47" t="n">
        <f aca="false">IF(R145="-",0,IFERROR(VLOOKUP(R145,'Price Groups'!$A$13:$C$17,3,FALSE()),0))</f>
        <v>0.16</v>
      </c>
      <c r="T145" s="41" t="n">
        <f aca="false">IF(OR(N145="",R145="-"),"",CEILING(ROUND(N145*(1+S145),2),IF(N145*(1+S145)&lt;100,0.5,IF(N145*(1+S145)&lt;1000,1,5))))</f>
        <v>80.5</v>
      </c>
      <c r="U145" s="45" t="n">
        <f aca="false">IF(OR(T145="",P145=""),"",(T145-P145)/T145)</f>
        <v>0.706521739130435</v>
      </c>
      <c r="V145" s="45" t="n">
        <f aca="false">IF(T145="",0,T145/N145-1)</f>
        <v>0.166666666666667</v>
      </c>
      <c r="W145" s="38" t="s">
        <v>107</v>
      </c>
    </row>
    <row r="146" customFormat="false" ht="15" hidden="false" customHeight="false" outlineLevel="0" collapsed="false">
      <c r="A146" s="19" t="n">
        <v>105</v>
      </c>
      <c r="B146" s="19" t="s">
        <v>250</v>
      </c>
      <c r="C146" s="19" t="s">
        <v>57</v>
      </c>
      <c r="D146" s="19"/>
      <c r="E146" s="19" t="s">
        <v>58</v>
      </c>
      <c r="F146" s="20" t="n">
        <v>181</v>
      </c>
      <c r="G146" s="20" t="n">
        <v>85</v>
      </c>
      <c r="H146" s="21" t="n">
        <v>11932.08</v>
      </c>
      <c r="I146" s="21" t="n">
        <v>-119.53</v>
      </c>
      <c r="J146" s="21" t="n">
        <v>-1162.23</v>
      </c>
      <c r="K146" s="22" t="n">
        <f aca="false">H146+I146+J146</f>
        <v>10650.32</v>
      </c>
      <c r="L146" s="23" t="n">
        <f aca="false">IF($K$1282=0,0,K146/$K$1282)</f>
        <v>0.000882255870120569</v>
      </c>
      <c r="M146" s="24" t="n">
        <f aca="false">IF(F146&lt;=0,0,K146/F146)</f>
        <v>58.841546961326</v>
      </c>
      <c r="N146" s="21" t="n">
        <v>64.41</v>
      </c>
      <c r="O146" s="49" t="n">
        <v>1.15</v>
      </c>
      <c r="P146" s="24" t="n">
        <f aca="false">O146*'Price Groups'!$B$5</f>
        <v>25.875</v>
      </c>
      <c r="Q146" s="26" t="n">
        <f aca="false">IF(OR(N146="",P146=""),"",(N146-P146)/N146)</f>
        <v>0.598276665114113</v>
      </c>
      <c r="R146" s="27" t="n">
        <v>1</v>
      </c>
      <c r="S146" s="28" t="n">
        <f aca="false">IF(R146="-",0,IFERROR(VLOOKUP(R146,'Price Groups'!$A$13:$C$17,3,FALSE()),0))</f>
        <v>0.22</v>
      </c>
      <c r="T146" s="22" t="n">
        <f aca="false">IF(OR(N146="",R146="-"),"",CEILING(ROUND(N146*(1+S146),2),IF(N146*(1+S146)&lt;100,0.5,IF(N146*(1+S146)&lt;1000,1,5))))</f>
        <v>79</v>
      </c>
      <c r="U146" s="26" t="n">
        <f aca="false">IF(OR(T146="",P146=""),"",(T146-P146)/T146)</f>
        <v>0.67246835443038</v>
      </c>
      <c r="V146" s="26" t="n">
        <f aca="false">IF(T146="",0,T146/N146-1)</f>
        <v>0.226517621487347</v>
      </c>
      <c r="W146" s="19" t="s">
        <v>94</v>
      </c>
    </row>
    <row r="147" customFormat="false" ht="15" hidden="false" customHeight="false" outlineLevel="0" collapsed="false">
      <c r="A147" s="38" t="n">
        <v>106</v>
      </c>
      <c r="B147" s="38" t="s">
        <v>251</v>
      </c>
      <c r="C147" s="38" t="s">
        <v>57</v>
      </c>
      <c r="D147" s="38"/>
      <c r="E147" s="38" t="s">
        <v>58</v>
      </c>
      <c r="F147" s="39" t="n">
        <v>179</v>
      </c>
      <c r="G147" s="39" t="n">
        <v>112</v>
      </c>
      <c r="H147" s="40" t="n">
        <v>7691.54</v>
      </c>
      <c r="I147" s="40" t="n">
        <v>-104.22</v>
      </c>
      <c r="J147" s="40" t="n">
        <v>-901.03</v>
      </c>
      <c r="K147" s="41" t="n">
        <f aca="false">H147+I147+J147</f>
        <v>6686.29</v>
      </c>
      <c r="L147" s="42" t="n">
        <f aca="false">IF($K$1282=0,0,K147/$K$1282)</f>
        <v>0.000553881817807208</v>
      </c>
      <c r="M147" s="43" t="n">
        <f aca="false">IF(F147&lt;=0,0,K147/F147)</f>
        <v>37.3535754189944</v>
      </c>
      <c r="N147" s="40" t="n">
        <v>41.34</v>
      </c>
      <c r="O147" s="44" t="n">
        <v>0.6</v>
      </c>
      <c r="P147" s="43" t="n">
        <f aca="false">O147*'Price Groups'!$B$5</f>
        <v>13.5</v>
      </c>
      <c r="Q147" s="45" t="n">
        <f aca="false">IF(OR(N147="",P147=""),"",(N147-P147)/N147)</f>
        <v>0.67343976777939</v>
      </c>
      <c r="R147" s="46" t="n">
        <v>1</v>
      </c>
      <c r="S147" s="47" t="n">
        <f aca="false">IF(R147="-",0,IFERROR(VLOOKUP(R147,'Price Groups'!$A$13:$C$17,3,FALSE()),0))</f>
        <v>0.22</v>
      </c>
      <c r="T147" s="41" t="n">
        <f aca="false">IF(OR(N147="",R147="-"),"",CEILING(ROUND(N147*(1+S147),2),IF(N147*(1+S147)&lt;100,0.5,IF(N147*(1+S147)&lt;1000,1,5))))</f>
        <v>50.5</v>
      </c>
      <c r="U147" s="45" t="n">
        <f aca="false">IF(OR(T147="",P147=""),"",(T147-P147)/T147)</f>
        <v>0.732673267326733</v>
      </c>
      <c r="V147" s="45" t="n">
        <f aca="false">IF(T147="",0,T147/N147-1)</f>
        <v>0.221577164973391</v>
      </c>
      <c r="W147" s="38" t="s">
        <v>94</v>
      </c>
    </row>
    <row r="148" customFormat="false" ht="15" hidden="false" customHeight="false" outlineLevel="0" collapsed="false">
      <c r="A148" s="19" t="n">
        <v>107</v>
      </c>
      <c r="B148" s="19" t="s">
        <v>252</v>
      </c>
      <c r="C148" s="19" t="s">
        <v>57</v>
      </c>
      <c r="D148" s="19"/>
      <c r="E148" s="19" t="s">
        <v>58</v>
      </c>
      <c r="F148" s="20" t="n">
        <v>178</v>
      </c>
      <c r="G148" s="20" t="n">
        <v>25</v>
      </c>
      <c r="H148" s="21" t="n">
        <v>3402.78</v>
      </c>
      <c r="I148" s="21" t="n">
        <v>-22.12</v>
      </c>
      <c r="J148" s="21" t="n">
        <v>0</v>
      </c>
      <c r="K148" s="22" t="n">
        <f aca="false">H148+I148+J148</f>
        <v>3380.66</v>
      </c>
      <c r="L148" s="23" t="n">
        <f aca="false">IF($K$1282=0,0,K148/$K$1282)</f>
        <v>0.000280048592895031</v>
      </c>
      <c r="M148" s="24" t="n">
        <f aca="false">IF(F148&lt;=0,0,K148/F148)</f>
        <v>18.9924719101124</v>
      </c>
      <c r="N148" s="21" t="n">
        <v>22.99</v>
      </c>
      <c r="O148" s="49" t="n">
        <v>0.53</v>
      </c>
      <c r="P148" s="24" t="n">
        <f aca="false">O148*'Price Groups'!$B$5</f>
        <v>11.925</v>
      </c>
      <c r="Q148" s="26" t="n">
        <f aca="false">IF(OR(N148="",P148=""),"",(N148-P148)/N148)</f>
        <v>0.481296215745976</v>
      </c>
      <c r="R148" s="27" t="n">
        <v>1</v>
      </c>
      <c r="S148" s="28" t="n">
        <f aca="false">IF(R148="-",0,IFERROR(VLOOKUP(R148,'Price Groups'!$A$13:$C$17,3,FALSE()),0))</f>
        <v>0.22</v>
      </c>
      <c r="T148" s="22" t="n">
        <f aca="false">IF(OR(N148="",R148="-"),"",CEILING(ROUND(N148*(1+S148),2),IF(N148*(1+S148)&lt;100,0.5,IF(N148*(1+S148)&lt;1000,1,5))))</f>
        <v>28.5</v>
      </c>
      <c r="U148" s="26" t="n">
        <f aca="false">IF(OR(T148="",P148=""),"",(T148-P148)/T148)</f>
        <v>0.581578947368421</v>
      </c>
      <c r="V148" s="26" t="n">
        <f aca="false">IF(T148="",0,T148/N148-1)</f>
        <v>0.239669421487603</v>
      </c>
      <c r="W148" s="19" t="s">
        <v>94</v>
      </c>
    </row>
    <row r="149" customFormat="false" ht="15" hidden="false" customHeight="false" outlineLevel="0" collapsed="false">
      <c r="A149" s="38" t="n">
        <v>108</v>
      </c>
      <c r="B149" s="38" t="s">
        <v>253</v>
      </c>
      <c r="C149" s="38" t="s">
        <v>57</v>
      </c>
      <c r="D149" s="38"/>
      <c r="E149" s="38" t="s">
        <v>58</v>
      </c>
      <c r="F149" s="39" t="n">
        <v>177</v>
      </c>
      <c r="G149" s="39" t="n">
        <v>131</v>
      </c>
      <c r="H149" s="40" t="n">
        <v>45259.72</v>
      </c>
      <c r="I149" s="40" t="n">
        <v>-1088.23</v>
      </c>
      <c r="J149" s="40" t="n">
        <v>-7066.79</v>
      </c>
      <c r="K149" s="41" t="n">
        <f aca="false">H149+I149+J149</f>
        <v>37104.7</v>
      </c>
      <c r="L149" s="42" t="n">
        <f aca="false">IF($K$1282=0,0,K149/$K$1282)</f>
        <v>0.00307369538042638</v>
      </c>
      <c r="M149" s="43" t="n">
        <f aca="false">IF(F149&lt;=0,0,K149/F149)</f>
        <v>209.631073446328</v>
      </c>
      <c r="N149" s="40" t="n">
        <v>124.99</v>
      </c>
      <c r="O149" s="44" t="n">
        <v>2.76</v>
      </c>
      <c r="P149" s="43" t="n">
        <f aca="false">O149*'Price Groups'!$B$5</f>
        <v>62.1</v>
      </c>
      <c r="Q149" s="45" t="n">
        <f aca="false">IF(OR(N149="",P149=""),"",(N149-P149)/N149)</f>
        <v>0.503160252820226</v>
      </c>
      <c r="R149" s="46" t="n">
        <v>3</v>
      </c>
      <c r="S149" s="47" t="n">
        <f aca="false">IF(R149="-",0,IFERROR(VLOOKUP(R149,'Price Groups'!$A$13:$C$17,3,FALSE()),0))</f>
        <v>0.16</v>
      </c>
      <c r="T149" s="41" t="n">
        <f aca="false">IF(OR(N149="",R149="-"),"",CEILING(ROUND(N149*(1+S149),2),IF(N149*(1+S149)&lt;100,0.5,IF(N149*(1+S149)&lt;1000,1,5))))</f>
        <v>145</v>
      </c>
      <c r="U149" s="45" t="n">
        <f aca="false">IF(OR(T149="",P149=""),"",(T149-P149)/T149)</f>
        <v>0.571724137931035</v>
      </c>
      <c r="V149" s="45" t="n">
        <f aca="false">IF(T149="",0,T149/N149-1)</f>
        <v>0.160092807424594</v>
      </c>
      <c r="W149" s="38" t="s">
        <v>107</v>
      </c>
    </row>
    <row r="150" customFormat="false" ht="15" hidden="false" customHeight="false" outlineLevel="0" collapsed="false">
      <c r="A150" s="19" t="n">
        <v>109</v>
      </c>
      <c r="B150" s="19" t="s">
        <v>254</v>
      </c>
      <c r="C150" s="19" t="s">
        <v>57</v>
      </c>
      <c r="D150" s="19"/>
      <c r="E150" s="19" t="s">
        <v>58</v>
      </c>
      <c r="F150" s="20" t="n">
        <v>176</v>
      </c>
      <c r="G150" s="20" t="n">
        <v>136</v>
      </c>
      <c r="H150" s="21" t="n">
        <v>6492.4</v>
      </c>
      <c r="I150" s="21" t="n">
        <v>-52.84</v>
      </c>
      <c r="J150" s="21" t="n">
        <v>-575.78</v>
      </c>
      <c r="K150" s="22" t="n">
        <f aca="false">H150+I150+J150</f>
        <v>5863.78</v>
      </c>
      <c r="L150" s="23" t="n">
        <f aca="false">IF($K$1282=0,0,K150/$K$1282)</f>
        <v>0.000485746374390215</v>
      </c>
      <c r="M150" s="24" t="n">
        <f aca="false">IF(F150&lt;=0,0,K150/F150)</f>
        <v>33.3169318181818</v>
      </c>
      <c r="N150" s="21" t="n">
        <v>34.98</v>
      </c>
      <c r="O150" s="49" t="n">
        <v>0.63</v>
      </c>
      <c r="P150" s="24" t="n">
        <f aca="false">O150*'Price Groups'!$B$5</f>
        <v>14.175</v>
      </c>
      <c r="Q150" s="26" t="n">
        <f aca="false">IF(OR(N150="",P150=""),"",(N150-P150)/N150)</f>
        <v>0.594768439108062</v>
      </c>
      <c r="R150" s="27" t="n">
        <v>1</v>
      </c>
      <c r="S150" s="28" t="n">
        <f aca="false">IF(R150="-",0,IFERROR(VLOOKUP(R150,'Price Groups'!$A$13:$C$17,3,FALSE()),0))</f>
        <v>0.22</v>
      </c>
      <c r="T150" s="22" t="n">
        <f aca="false">IF(OR(N150="",R150="-"),"",CEILING(ROUND(N150*(1+S150),2),IF(N150*(1+S150)&lt;100,0.5,IF(N150*(1+S150)&lt;1000,1,5))))</f>
        <v>43</v>
      </c>
      <c r="U150" s="26" t="n">
        <f aca="false">IF(OR(T150="",P150=""),"",(T150-P150)/T150)</f>
        <v>0.670348837209302</v>
      </c>
      <c r="V150" s="26" t="n">
        <f aca="false">IF(T150="",0,T150/N150-1)</f>
        <v>0.229273870783305</v>
      </c>
      <c r="W150" s="19" t="s">
        <v>94</v>
      </c>
    </row>
    <row r="151" customFormat="false" ht="15" hidden="false" customHeight="false" outlineLevel="0" collapsed="false">
      <c r="A151" s="38" t="n">
        <v>110</v>
      </c>
      <c r="B151" s="38" t="s">
        <v>255</v>
      </c>
      <c r="C151" s="38" t="s">
        <v>57</v>
      </c>
      <c r="D151" s="38"/>
      <c r="E151" s="38" t="s">
        <v>58</v>
      </c>
      <c r="F151" s="39" t="n">
        <v>176</v>
      </c>
      <c r="G151" s="39" t="n">
        <v>95</v>
      </c>
      <c r="H151" s="40" t="n">
        <v>7165.2</v>
      </c>
      <c r="I151" s="40" t="n">
        <v>-369.68</v>
      </c>
      <c r="J151" s="40" t="n">
        <v>-593.99</v>
      </c>
      <c r="K151" s="41" t="n">
        <f aca="false">H151+I151+J151</f>
        <v>6201.53</v>
      </c>
      <c r="L151" s="42" t="n">
        <f aca="false">IF($K$1282=0,0,K151/$K$1282)</f>
        <v>0.000513725056733395</v>
      </c>
      <c r="M151" s="43" t="n">
        <f aca="false">IF(F151&lt;=0,0,K151/F151)</f>
        <v>35.2359659090909</v>
      </c>
      <c r="N151" s="40" t="n">
        <v>34.99</v>
      </c>
      <c r="O151" s="44" t="n">
        <v>0.95</v>
      </c>
      <c r="P151" s="43" t="n">
        <f aca="false">O151*'Price Groups'!$B$5</f>
        <v>21.375</v>
      </c>
      <c r="Q151" s="45" t="n">
        <f aca="false">IF(OR(N151="",P151=""),"",(N151-P151)/N151)</f>
        <v>0.38911117462132</v>
      </c>
      <c r="R151" s="46" t="n">
        <v>1</v>
      </c>
      <c r="S151" s="47" t="n">
        <f aca="false">IF(R151="-",0,IFERROR(VLOOKUP(R151,'Price Groups'!$A$13:$C$17,3,FALSE()),0))</f>
        <v>0.22</v>
      </c>
      <c r="T151" s="41" t="n">
        <f aca="false">IF(OR(N151="",R151="-"),"",CEILING(ROUND(N151*(1+S151),2),IF(N151*(1+S151)&lt;100,0.5,IF(N151*(1+S151)&lt;1000,1,5))))</f>
        <v>43</v>
      </c>
      <c r="U151" s="45" t="n">
        <f aca="false">IF(OR(T151="",P151=""),"",(T151-P151)/T151)</f>
        <v>0.502906976744186</v>
      </c>
      <c r="V151" s="45" t="n">
        <f aca="false">IF(T151="",0,T151/N151-1)</f>
        <v>0.2289225492998</v>
      </c>
      <c r="W151" s="38" t="s">
        <v>94</v>
      </c>
    </row>
    <row r="152" customFormat="false" ht="15" hidden="false" customHeight="false" outlineLevel="0" collapsed="false">
      <c r="A152" s="19" t="n">
        <v>111</v>
      </c>
      <c r="B152" s="19" t="s">
        <v>256</v>
      </c>
      <c r="C152" s="19" t="s">
        <v>57</v>
      </c>
      <c r="D152" s="19"/>
      <c r="E152" s="19" t="s">
        <v>58</v>
      </c>
      <c r="F152" s="20" t="n">
        <v>172</v>
      </c>
      <c r="G152" s="20" t="n">
        <v>118</v>
      </c>
      <c r="H152" s="21" t="n">
        <v>21480.47</v>
      </c>
      <c r="I152" s="21" t="n">
        <v>-199.98</v>
      </c>
      <c r="J152" s="21" t="n">
        <v>-1822.09</v>
      </c>
      <c r="K152" s="22" t="n">
        <f aca="false">H152+I152+J152</f>
        <v>19458.4</v>
      </c>
      <c r="L152" s="23" t="n">
        <f aca="false">IF($K$1282=0,0,K152/$K$1282)</f>
        <v>0.00161190345671812</v>
      </c>
      <c r="M152" s="24" t="n">
        <f aca="false">IF(F152&lt;=0,0,K152/F152)</f>
        <v>113.13023255814</v>
      </c>
      <c r="N152" s="21" t="n">
        <v>119.99</v>
      </c>
      <c r="O152" s="49" t="n">
        <v>3.34</v>
      </c>
      <c r="P152" s="24" t="n">
        <f aca="false">O152*'Price Groups'!$B$5</f>
        <v>75.15</v>
      </c>
      <c r="Q152" s="26" t="n">
        <f aca="false">IF(OR(N152="",P152=""),"",(N152-P152)/N152)</f>
        <v>0.373697808150679</v>
      </c>
      <c r="R152" s="27" t="n">
        <v>2</v>
      </c>
      <c r="S152" s="28" t="n">
        <f aca="false">IF(R152="-",0,IFERROR(VLOOKUP(R152,'Price Groups'!$A$13:$C$17,3,FALSE()),0))</f>
        <v>0.18</v>
      </c>
      <c r="T152" s="22" t="n">
        <f aca="false">IF(OR(N152="",R152="-"),"",CEILING(ROUND(N152*(1+S152),2),IF(N152*(1+S152)&lt;100,0.5,IF(N152*(1+S152)&lt;1000,1,5))))</f>
        <v>142</v>
      </c>
      <c r="U152" s="26" t="n">
        <f aca="false">IF(OR(T152="",P152=""),"",(T152-P152)/T152)</f>
        <v>0.470774647887324</v>
      </c>
      <c r="V152" s="26" t="n">
        <f aca="false">IF(T152="",0,T152/N152-1)</f>
        <v>0.183431952662722</v>
      </c>
      <c r="W152" s="19" t="s">
        <v>115</v>
      </c>
    </row>
    <row r="153" customFormat="false" ht="15" hidden="false" customHeight="false" outlineLevel="0" collapsed="false">
      <c r="A153" s="38" t="n">
        <v>112</v>
      </c>
      <c r="B153" s="38" t="s">
        <v>257</v>
      </c>
      <c r="C153" s="38" t="s">
        <v>57</v>
      </c>
      <c r="D153" s="38"/>
      <c r="E153" s="38" t="s">
        <v>58</v>
      </c>
      <c r="F153" s="39" t="n">
        <v>169</v>
      </c>
      <c r="G153" s="39" t="n">
        <v>104</v>
      </c>
      <c r="H153" s="40" t="n">
        <v>4348.37</v>
      </c>
      <c r="I153" s="40" t="n">
        <v>-33.45</v>
      </c>
      <c r="J153" s="40" t="n">
        <v>-869.06</v>
      </c>
      <c r="K153" s="41" t="n">
        <f aca="false">H153+I153+J153</f>
        <v>3445.86</v>
      </c>
      <c r="L153" s="42" t="n">
        <f aca="false">IF($K$1282=0,0,K153/$K$1282)</f>
        <v>0.000285449659035002</v>
      </c>
      <c r="M153" s="43" t="n">
        <f aca="false">IF(F153&lt;=0,0,K153/F153)</f>
        <v>20.3897041420118</v>
      </c>
      <c r="N153" s="40" t="n">
        <v>23.75</v>
      </c>
      <c r="O153" s="44" t="n">
        <v>0.46</v>
      </c>
      <c r="P153" s="43" t="n">
        <f aca="false">O153*'Price Groups'!$B$5</f>
        <v>10.35</v>
      </c>
      <c r="Q153" s="45" t="n">
        <f aca="false">IF(OR(N153="",P153=""),"",(N153-P153)/N153)</f>
        <v>0.56421052631579</v>
      </c>
      <c r="R153" s="46" t="n">
        <v>1</v>
      </c>
      <c r="S153" s="47" t="n">
        <f aca="false">IF(R153="-",0,IFERROR(VLOOKUP(R153,'Price Groups'!$A$13:$C$17,3,FALSE()),0))</f>
        <v>0.22</v>
      </c>
      <c r="T153" s="41" t="n">
        <f aca="false">IF(OR(N153="",R153="-"),"",CEILING(ROUND(N153*(1+S153),2),IF(N153*(1+S153)&lt;100,0.5,IF(N153*(1+S153)&lt;1000,1,5))))</f>
        <v>29</v>
      </c>
      <c r="U153" s="45" t="n">
        <f aca="false">IF(OR(T153="",P153=""),"",(T153-P153)/T153)</f>
        <v>0.643103448275862</v>
      </c>
      <c r="V153" s="45" t="n">
        <f aca="false">IF(T153="",0,T153/N153-1)</f>
        <v>0.221052631578947</v>
      </c>
      <c r="W153" s="38" t="s">
        <v>94</v>
      </c>
    </row>
    <row r="154" customFormat="false" ht="15" hidden="false" customHeight="false" outlineLevel="0" collapsed="false">
      <c r="A154" s="19" t="n">
        <v>113</v>
      </c>
      <c r="B154" s="19" t="s">
        <v>258</v>
      </c>
      <c r="C154" s="19" t="s">
        <v>57</v>
      </c>
      <c r="D154" s="19"/>
      <c r="E154" s="19" t="s">
        <v>58</v>
      </c>
      <c r="F154" s="20" t="n">
        <v>169</v>
      </c>
      <c r="G154" s="20" t="n">
        <v>60</v>
      </c>
      <c r="H154" s="21" t="n">
        <v>6150.21</v>
      </c>
      <c r="I154" s="21" t="n">
        <v>-21.8</v>
      </c>
      <c r="J154" s="21" t="n">
        <v>-417.26</v>
      </c>
      <c r="K154" s="22" t="n">
        <f aca="false">H154+I154+J154</f>
        <v>5711.15</v>
      </c>
      <c r="L154" s="23" t="n">
        <f aca="false">IF($K$1282=0,0,K154/$K$1282)</f>
        <v>0.000473102743639542</v>
      </c>
      <c r="M154" s="24" t="n">
        <f aca="false">IF(F154&lt;=0,0,K154/F154)</f>
        <v>33.7937869822485</v>
      </c>
      <c r="N154" s="21" t="n">
        <v>39.99</v>
      </c>
      <c r="O154" s="49" t="n">
        <v>1.17</v>
      </c>
      <c r="P154" s="24" t="n">
        <f aca="false">O154*'Price Groups'!$B$5</f>
        <v>26.325</v>
      </c>
      <c r="Q154" s="26" t="n">
        <f aca="false">IF(OR(N154="",P154=""),"",(N154-P154)/N154)</f>
        <v>0.341710427606902</v>
      </c>
      <c r="R154" s="27" t="n">
        <v>1</v>
      </c>
      <c r="S154" s="28" t="n">
        <f aca="false">IF(R154="-",0,IFERROR(VLOOKUP(R154,'Price Groups'!$A$13:$C$17,3,FALSE()),0))</f>
        <v>0.22</v>
      </c>
      <c r="T154" s="22" t="n">
        <f aca="false">IF(OR(N154="",R154="-"),"",CEILING(ROUND(N154*(1+S154),2),IF(N154*(1+S154)&lt;100,0.5,IF(N154*(1+S154)&lt;1000,1,5))))</f>
        <v>49</v>
      </c>
      <c r="U154" s="26" t="n">
        <f aca="false">IF(OR(T154="",P154=""),"",(T154-P154)/T154)</f>
        <v>0.462755102040816</v>
      </c>
      <c r="V154" s="26" t="n">
        <f aca="false">IF(T154="",0,T154/N154-1)</f>
        <v>0.225306326581645</v>
      </c>
      <c r="W154" s="19" t="s">
        <v>94</v>
      </c>
    </row>
    <row r="155" customFormat="false" ht="15" hidden="false" customHeight="false" outlineLevel="0" collapsed="false">
      <c r="A155" s="38" t="n">
        <v>114</v>
      </c>
      <c r="B155" s="38" t="s">
        <v>259</v>
      </c>
      <c r="C155" s="38" t="s">
        <v>57</v>
      </c>
      <c r="D155" s="38"/>
      <c r="E155" s="38" t="s">
        <v>58</v>
      </c>
      <c r="F155" s="39" t="n">
        <v>169</v>
      </c>
      <c r="G155" s="39" t="n">
        <v>98</v>
      </c>
      <c r="H155" s="40" t="n">
        <v>41244.9</v>
      </c>
      <c r="I155" s="40" t="n">
        <v>-1124.32</v>
      </c>
      <c r="J155" s="40" t="n">
        <v>-6013.1</v>
      </c>
      <c r="K155" s="41" t="n">
        <f aca="false">H155+I155+J155</f>
        <v>34107.48</v>
      </c>
      <c r="L155" s="42" t="n">
        <f aca="false">IF($K$1282=0,0,K155/$K$1282)</f>
        <v>0.0028254103580944</v>
      </c>
      <c r="M155" s="43" t="n">
        <f aca="false">IF(F155&lt;=0,0,K155/F155)</f>
        <v>201.819408284024</v>
      </c>
      <c r="N155" s="40" t="n">
        <v>200</v>
      </c>
      <c r="O155" s="44" t="n">
        <v>3.8</v>
      </c>
      <c r="P155" s="43" t="n">
        <f aca="false">O155*'Price Groups'!$B$5</f>
        <v>85.5</v>
      </c>
      <c r="Q155" s="45" t="n">
        <f aca="false">IF(OR(N155="",P155=""),"",(N155-P155)/N155)</f>
        <v>0.5725</v>
      </c>
      <c r="R155" s="46" t="n">
        <v>3</v>
      </c>
      <c r="S155" s="47" t="n">
        <f aca="false">IF(R155="-",0,IFERROR(VLOOKUP(R155,'Price Groups'!$A$13:$C$17,3,FALSE()),0))</f>
        <v>0.16</v>
      </c>
      <c r="T155" s="41" t="n">
        <f aca="false">IF(OR(N155="",R155="-"),"",CEILING(ROUND(N155*(1+S155),2),IF(N155*(1+S155)&lt;100,0.5,IF(N155*(1+S155)&lt;1000,1,5))))</f>
        <v>232</v>
      </c>
      <c r="U155" s="45" t="n">
        <f aca="false">IF(OR(T155="",P155=""),"",(T155-P155)/T155)</f>
        <v>0.631465517241379</v>
      </c>
      <c r="V155" s="45" t="n">
        <f aca="false">IF(T155="",0,T155/N155-1)</f>
        <v>0.16</v>
      </c>
      <c r="W155" s="38" t="s">
        <v>107</v>
      </c>
    </row>
    <row r="156" customFormat="false" ht="15" hidden="false" customHeight="false" outlineLevel="0" collapsed="false">
      <c r="A156" s="19" t="n">
        <v>115</v>
      </c>
      <c r="B156" s="19" t="s">
        <v>260</v>
      </c>
      <c r="C156" s="19" t="s">
        <v>57</v>
      </c>
      <c r="D156" s="19"/>
      <c r="E156" s="19" t="s">
        <v>58</v>
      </c>
      <c r="F156" s="20" t="n">
        <v>168</v>
      </c>
      <c r="G156" s="20" t="n">
        <v>104</v>
      </c>
      <c r="H156" s="21" t="n">
        <v>3001.8</v>
      </c>
      <c r="I156" s="21" t="n">
        <v>-9.73</v>
      </c>
      <c r="J156" s="21" t="n">
        <v>-291.98</v>
      </c>
      <c r="K156" s="22" t="n">
        <f aca="false">H156+I156+J156</f>
        <v>2700.09</v>
      </c>
      <c r="L156" s="23" t="n">
        <f aca="false">IF($K$1282=0,0,K156/$K$1282)</f>
        <v>0.00022367123732938</v>
      </c>
      <c r="M156" s="24" t="n">
        <f aca="false">IF(F156&lt;=0,0,K156/F156)</f>
        <v>16.0719642857143</v>
      </c>
      <c r="N156" s="21" t="n">
        <v>22</v>
      </c>
      <c r="O156" s="49" t="n">
        <v>0.47</v>
      </c>
      <c r="P156" s="24" t="n">
        <f aca="false">O156*'Price Groups'!$B$5</f>
        <v>10.575</v>
      </c>
      <c r="Q156" s="26" t="n">
        <f aca="false">IF(OR(N156="",P156=""),"",(N156-P156)/N156)</f>
        <v>0.519318181818182</v>
      </c>
      <c r="R156" s="27" t="n">
        <v>1</v>
      </c>
      <c r="S156" s="28" t="n">
        <f aca="false">IF(R156="-",0,IFERROR(VLOOKUP(R156,'Price Groups'!$A$13:$C$17,3,FALSE()),0))</f>
        <v>0.22</v>
      </c>
      <c r="T156" s="22" t="n">
        <f aca="false">IF(OR(N156="",R156="-"),"",CEILING(ROUND(N156*(1+S156),2),IF(N156*(1+S156)&lt;100,0.5,IF(N156*(1+S156)&lt;1000,1,5))))</f>
        <v>27</v>
      </c>
      <c r="U156" s="26" t="n">
        <f aca="false">IF(OR(T156="",P156=""),"",(T156-P156)/T156)</f>
        <v>0.608333333333333</v>
      </c>
      <c r="V156" s="26" t="n">
        <f aca="false">IF(T156="",0,T156/N156-1)</f>
        <v>0.227272727272727</v>
      </c>
      <c r="W156" s="19" t="s">
        <v>94</v>
      </c>
    </row>
    <row r="157" customFormat="false" ht="15" hidden="false" customHeight="false" outlineLevel="0" collapsed="false">
      <c r="A157" s="38" t="n">
        <v>116</v>
      </c>
      <c r="B157" s="38" t="s">
        <v>261</v>
      </c>
      <c r="C157" s="38" t="s">
        <v>57</v>
      </c>
      <c r="D157" s="38"/>
      <c r="E157" s="38" t="s">
        <v>58</v>
      </c>
      <c r="F157" s="39" t="n">
        <v>168</v>
      </c>
      <c r="G157" s="39" t="n">
        <v>124</v>
      </c>
      <c r="H157" s="40" t="n">
        <v>9137.62</v>
      </c>
      <c r="I157" s="40" t="n">
        <v>-62.68</v>
      </c>
      <c r="J157" s="40" t="n">
        <v>-860.98</v>
      </c>
      <c r="K157" s="41" t="n">
        <f aca="false">H157+I157+J157</f>
        <v>8213.96</v>
      </c>
      <c r="L157" s="42" t="n">
        <f aca="false">IF($K$1282=0,0,K157/$K$1282)</f>
        <v>0.000680431613973623</v>
      </c>
      <c r="M157" s="43" t="n">
        <f aca="false">IF(F157&lt;=0,0,K157/F157)</f>
        <v>48.8926190476191</v>
      </c>
      <c r="N157" s="40" t="n">
        <v>49.99</v>
      </c>
      <c r="O157" s="44" t="n">
        <v>1.04</v>
      </c>
      <c r="P157" s="43" t="n">
        <f aca="false">O157*'Price Groups'!$B$5</f>
        <v>23.4</v>
      </c>
      <c r="Q157" s="45" t="n">
        <f aca="false">IF(OR(N157="",P157=""),"",(N157-P157)/N157)</f>
        <v>0.531906381276255</v>
      </c>
      <c r="R157" s="46" t="n">
        <v>1</v>
      </c>
      <c r="S157" s="47" t="n">
        <f aca="false">IF(R157="-",0,IFERROR(VLOOKUP(R157,'Price Groups'!$A$13:$C$17,3,FALSE()),0))</f>
        <v>0.22</v>
      </c>
      <c r="T157" s="41" t="n">
        <f aca="false">IF(OR(N157="",R157="-"),"",CEILING(ROUND(N157*(1+S157),2),IF(N157*(1+S157)&lt;100,0.5,IF(N157*(1+S157)&lt;1000,1,5))))</f>
        <v>61</v>
      </c>
      <c r="U157" s="45" t="n">
        <f aca="false">IF(OR(T157="",P157=""),"",(T157-P157)/T157)</f>
        <v>0.616393442622951</v>
      </c>
      <c r="V157" s="45" t="n">
        <f aca="false">IF(T157="",0,T157/N157-1)</f>
        <v>0.220244048809762</v>
      </c>
      <c r="W157" s="38" t="s">
        <v>94</v>
      </c>
    </row>
    <row r="158" customFormat="false" ht="15" hidden="false" customHeight="false" outlineLevel="0" collapsed="false">
      <c r="A158" s="19" t="n">
        <v>117</v>
      </c>
      <c r="B158" s="19" t="s">
        <v>262</v>
      </c>
      <c r="C158" s="19" t="s">
        <v>57</v>
      </c>
      <c r="D158" s="19"/>
      <c r="E158" s="19" t="s">
        <v>58</v>
      </c>
      <c r="F158" s="20" t="n">
        <v>167</v>
      </c>
      <c r="G158" s="20" t="n">
        <v>41</v>
      </c>
      <c r="H158" s="21" t="n">
        <v>1532</v>
      </c>
      <c r="I158" s="21" t="n">
        <v>-23.33</v>
      </c>
      <c r="J158" s="21" t="n">
        <v>-112</v>
      </c>
      <c r="K158" s="22" t="n">
        <f aca="false">H158+I158+J158</f>
        <v>1396.67</v>
      </c>
      <c r="L158" s="23" t="n">
        <f aca="false">IF($K$1282=0,0,K158/$K$1282)</f>
        <v>0.000115697960823834</v>
      </c>
      <c r="M158" s="24" t="n">
        <f aca="false">IF(F158&lt;=0,0,K158/F158)</f>
        <v>8.36329341317365</v>
      </c>
      <c r="N158" s="21" t="n">
        <v>10</v>
      </c>
      <c r="O158" s="49" t="n">
        <v>0.14</v>
      </c>
      <c r="P158" s="24" t="n">
        <f aca="false">O158*'Price Groups'!$B$5</f>
        <v>3.15</v>
      </c>
      <c r="Q158" s="26" t="n">
        <f aca="false">IF(OR(N158="",P158=""),"",(N158-P158)/N158)</f>
        <v>0.685</v>
      </c>
      <c r="R158" s="27" t="n">
        <v>1</v>
      </c>
      <c r="S158" s="28" t="n">
        <f aca="false">IF(R158="-",0,IFERROR(VLOOKUP(R158,'Price Groups'!$A$13:$C$17,3,FALSE()),0))</f>
        <v>0.22</v>
      </c>
      <c r="T158" s="22" t="n">
        <f aca="false">IF(OR(N158="",R158="-"),"",CEILING(ROUND(N158*(1+S158),2),IF(N158*(1+S158)&lt;100,0.5,IF(N158*(1+S158)&lt;1000,1,5))))</f>
        <v>12.5</v>
      </c>
      <c r="U158" s="26" t="n">
        <f aca="false">IF(OR(T158="",P158=""),"",(T158-P158)/T158)</f>
        <v>0.748</v>
      </c>
      <c r="V158" s="26" t="n">
        <f aca="false">IF(T158="",0,T158/N158-1)</f>
        <v>0.25</v>
      </c>
      <c r="W158" s="19" t="s">
        <v>94</v>
      </c>
    </row>
    <row r="159" customFormat="false" ht="15" hidden="false" customHeight="false" outlineLevel="0" collapsed="false">
      <c r="A159" s="38" t="n">
        <v>118</v>
      </c>
      <c r="B159" s="38" t="s">
        <v>263</v>
      </c>
      <c r="C159" s="38" t="s">
        <v>57</v>
      </c>
      <c r="D159" s="38"/>
      <c r="E159" s="38" t="s">
        <v>58</v>
      </c>
      <c r="F159" s="39" t="n">
        <v>163</v>
      </c>
      <c r="G159" s="39" t="n">
        <v>98</v>
      </c>
      <c r="H159" s="40" t="n">
        <v>2972.63</v>
      </c>
      <c r="I159" s="40" t="n">
        <v>-31.04</v>
      </c>
      <c r="J159" s="40" t="n">
        <v>-229.11</v>
      </c>
      <c r="K159" s="41" t="n">
        <f aca="false">H159+I159+J159</f>
        <v>2712.48</v>
      </c>
      <c r="L159" s="42" t="n">
        <f aca="false">IF($K$1282=0,0,K159/$K$1282)</f>
        <v>0.000224697605572851</v>
      </c>
      <c r="M159" s="43" t="n">
        <f aca="false">IF(F159&lt;=0,0,K159/F159)</f>
        <v>16.640981595092</v>
      </c>
      <c r="N159" s="40" t="n">
        <v>14.99</v>
      </c>
      <c r="O159" s="44" t="n">
        <v>0.41</v>
      </c>
      <c r="P159" s="43" t="n">
        <f aca="false">O159*'Price Groups'!$B$5</f>
        <v>9.225</v>
      </c>
      <c r="Q159" s="45" t="n">
        <f aca="false">IF(OR(N159="",P159=""),"",(N159-P159)/N159)</f>
        <v>0.384589726484323</v>
      </c>
      <c r="R159" s="46" t="n">
        <v>1</v>
      </c>
      <c r="S159" s="47" t="n">
        <f aca="false">IF(R159="-",0,IFERROR(VLOOKUP(R159,'Price Groups'!$A$13:$C$17,3,FALSE()),0))</f>
        <v>0.22</v>
      </c>
      <c r="T159" s="41" t="n">
        <f aca="false">IF(OR(N159="",R159="-"),"",CEILING(ROUND(N159*(1+S159),2),IF(N159*(1+S159)&lt;100,0.5,IF(N159*(1+S159)&lt;1000,1,5))))</f>
        <v>18.5</v>
      </c>
      <c r="U159" s="45" t="n">
        <f aca="false">IF(OR(T159="",P159=""),"",(T159-P159)/T159)</f>
        <v>0.501351351351351</v>
      </c>
      <c r="V159" s="45" t="n">
        <f aca="false">IF(T159="",0,T159/N159-1)</f>
        <v>0.23415610406938</v>
      </c>
      <c r="W159" s="38" t="s">
        <v>94</v>
      </c>
    </row>
    <row r="160" customFormat="false" ht="15" hidden="false" customHeight="false" outlineLevel="0" collapsed="false">
      <c r="A160" s="19" t="n">
        <v>119</v>
      </c>
      <c r="B160" s="19" t="s">
        <v>264</v>
      </c>
      <c r="C160" s="19" t="s">
        <v>57</v>
      </c>
      <c r="D160" s="19"/>
      <c r="E160" s="19" t="s">
        <v>58</v>
      </c>
      <c r="F160" s="20" t="n">
        <v>163</v>
      </c>
      <c r="G160" s="20" t="n">
        <v>128</v>
      </c>
      <c r="H160" s="21" t="n">
        <v>3819.13</v>
      </c>
      <c r="I160" s="21" t="n">
        <v>-30.35</v>
      </c>
      <c r="J160" s="21" t="n">
        <v>-382.49</v>
      </c>
      <c r="K160" s="22" t="n">
        <f aca="false">H160+I160+J160</f>
        <v>3406.29</v>
      </c>
      <c r="L160" s="23" t="n">
        <f aca="false">IF($K$1282=0,0,K160/$K$1282)</f>
        <v>0.000282171742054041</v>
      </c>
      <c r="M160" s="24" t="n">
        <f aca="false">IF(F160&lt;=0,0,K160/F160)</f>
        <v>20.8974846625767</v>
      </c>
      <c r="N160" s="21" t="n">
        <v>24.99</v>
      </c>
      <c r="O160" s="49" t="n">
        <v>0.5</v>
      </c>
      <c r="P160" s="24" t="n">
        <f aca="false">O160*'Price Groups'!$B$5</f>
        <v>11.25</v>
      </c>
      <c r="Q160" s="26" t="n">
        <f aca="false">IF(OR(N160="",P160=""),"",(N160-P160)/N160)</f>
        <v>0.549819927971188</v>
      </c>
      <c r="R160" s="27" t="n">
        <v>1</v>
      </c>
      <c r="S160" s="28" t="n">
        <f aca="false">IF(R160="-",0,IFERROR(VLOOKUP(R160,'Price Groups'!$A$13:$C$17,3,FALSE()),0))</f>
        <v>0.22</v>
      </c>
      <c r="T160" s="22" t="n">
        <f aca="false">IF(OR(N160="",R160="-"),"",CEILING(ROUND(N160*(1+S160),2),IF(N160*(1+S160)&lt;100,0.5,IF(N160*(1+S160)&lt;1000,1,5))))</f>
        <v>30.5</v>
      </c>
      <c r="U160" s="26" t="n">
        <f aca="false">IF(OR(T160="",P160=""),"",(T160-P160)/T160)</f>
        <v>0.631147540983607</v>
      </c>
      <c r="V160" s="26" t="n">
        <f aca="false">IF(T160="",0,T160/N160-1)</f>
        <v>0.220488195278111</v>
      </c>
      <c r="W160" s="19" t="s">
        <v>94</v>
      </c>
    </row>
    <row r="161" customFormat="false" ht="15" hidden="false" customHeight="false" outlineLevel="0" collapsed="false">
      <c r="A161" s="38" t="n">
        <v>120</v>
      </c>
      <c r="B161" s="38" t="s">
        <v>265</v>
      </c>
      <c r="C161" s="38" t="s">
        <v>57</v>
      </c>
      <c r="D161" s="38" t="s">
        <v>266</v>
      </c>
      <c r="E161" s="38" t="s">
        <v>58</v>
      </c>
      <c r="F161" s="39" t="n">
        <v>162</v>
      </c>
      <c r="G161" s="39" t="n">
        <v>66</v>
      </c>
      <c r="H161" s="40" t="n">
        <v>23547.89</v>
      </c>
      <c r="I161" s="40" t="n">
        <v>-139.44</v>
      </c>
      <c r="J161" s="40" t="n">
        <v>-1856.65</v>
      </c>
      <c r="K161" s="41" t="n">
        <f aca="false">H161+I161+J161</f>
        <v>21551.8</v>
      </c>
      <c r="L161" s="42" t="n">
        <f aca="false">IF($K$1282=0,0,K161/$K$1282)</f>
        <v>0.00178531744226131</v>
      </c>
      <c r="M161" s="43" t="n">
        <f aca="false">IF(F161&lt;=0,0,K161/F161)</f>
        <v>133.035802469136</v>
      </c>
      <c r="N161" s="40" t="n">
        <v>135</v>
      </c>
      <c r="O161" s="44" t="n">
        <v>4.02</v>
      </c>
      <c r="P161" s="43" t="n">
        <f aca="false">O161*'Price Groups'!$B$5</f>
        <v>90.45</v>
      </c>
      <c r="Q161" s="45" t="n">
        <f aca="false">IF(OR(N161="",P161=""),"",(N161-P161)/N161)</f>
        <v>0.33</v>
      </c>
      <c r="R161" s="46" t="n">
        <v>1</v>
      </c>
      <c r="S161" s="47" t="n">
        <f aca="false">IF(R161="-",0,IFERROR(VLOOKUP(R161,'Price Groups'!$A$13:$C$17,3,FALSE()),0))</f>
        <v>0.22</v>
      </c>
      <c r="T161" s="41" t="n">
        <f aca="false">IF(OR(N161="",R161="-"),"",CEILING(ROUND(N161*(1+S161),2),IF(N161*(1+S161)&lt;100,0.5,IF(N161*(1+S161)&lt;1000,1,5))))</f>
        <v>165</v>
      </c>
      <c r="U161" s="45" t="n">
        <f aca="false">IF(OR(T161="",P161=""),"",(T161-P161)/T161)</f>
        <v>0.451818181818182</v>
      </c>
      <c r="V161" s="45" t="n">
        <f aca="false">IF(T161="",0,T161/N161-1)</f>
        <v>0.222222222222222</v>
      </c>
      <c r="W161" s="38" t="s">
        <v>267</v>
      </c>
    </row>
    <row r="162" customFormat="false" ht="15" hidden="false" customHeight="false" outlineLevel="0" collapsed="false">
      <c r="A162" s="19" t="n">
        <v>121</v>
      </c>
      <c r="B162" s="19" t="s">
        <v>268</v>
      </c>
      <c r="C162" s="19" t="s">
        <v>57</v>
      </c>
      <c r="D162" s="19" t="s">
        <v>269</v>
      </c>
      <c r="E162" s="19" t="s">
        <v>58</v>
      </c>
      <c r="F162" s="20" t="n">
        <v>162</v>
      </c>
      <c r="G162" s="20" t="n">
        <v>67</v>
      </c>
      <c r="H162" s="21" t="n">
        <v>27118.54</v>
      </c>
      <c r="I162" s="21" t="n">
        <v>-146.99</v>
      </c>
      <c r="J162" s="21" t="n">
        <v>-5280.8</v>
      </c>
      <c r="K162" s="22" t="n">
        <f aca="false">H162+I162+J162</f>
        <v>21690.75</v>
      </c>
      <c r="L162" s="23" t="n">
        <f aca="false">IF($K$1282=0,0,K162/$K$1282)</f>
        <v>0.00179682784318384</v>
      </c>
      <c r="M162" s="24" t="n">
        <f aca="false">IF(F162&lt;=0,0,K162/F162)</f>
        <v>133.893518518519</v>
      </c>
      <c r="N162" s="21" t="n">
        <v>139.99</v>
      </c>
      <c r="O162" s="49" t="n">
        <v>3.26</v>
      </c>
      <c r="P162" s="24" t="n">
        <f aca="false">O162*'Price Groups'!$B$5</f>
        <v>73.35</v>
      </c>
      <c r="Q162" s="26" t="n">
        <f aca="false">IF(OR(N162="",P162=""),"",(N162-P162)/N162)</f>
        <v>0.476034002428745</v>
      </c>
      <c r="R162" s="27" t="n">
        <v>3</v>
      </c>
      <c r="S162" s="28" t="n">
        <f aca="false">IF(R162="-",0,IFERROR(VLOOKUP(R162,'Price Groups'!$A$13:$C$17,3,FALSE()),0))</f>
        <v>0.16</v>
      </c>
      <c r="T162" s="22" t="n">
        <f aca="false">IF(OR(N162="",R162="-"),"",CEILING(ROUND(N162*(1+S162),2),IF(N162*(1+S162)&lt;100,0.5,IF(N162*(1+S162)&lt;1000,1,5))))</f>
        <v>163</v>
      </c>
      <c r="U162" s="26" t="n">
        <f aca="false">IF(OR(T162="",P162=""),"",(T162-P162)/T162)</f>
        <v>0.55</v>
      </c>
      <c r="V162" s="26" t="n">
        <f aca="false">IF(T162="",0,T162/N162-1)</f>
        <v>0.164368883491678</v>
      </c>
      <c r="W162" s="19" t="s">
        <v>107</v>
      </c>
    </row>
    <row r="163" customFormat="false" ht="15" hidden="false" customHeight="false" outlineLevel="0" collapsed="false">
      <c r="A163" s="38" t="n">
        <v>122</v>
      </c>
      <c r="B163" s="38" t="s">
        <v>270</v>
      </c>
      <c r="C163" s="38" t="s">
        <v>57</v>
      </c>
      <c r="D163" s="38"/>
      <c r="E163" s="38" t="s">
        <v>58</v>
      </c>
      <c r="F163" s="39" t="n">
        <v>161</v>
      </c>
      <c r="G163" s="39" t="n">
        <v>90</v>
      </c>
      <c r="H163" s="40" t="n">
        <v>19548.4</v>
      </c>
      <c r="I163" s="40" t="n">
        <v>-219.83</v>
      </c>
      <c r="J163" s="40" t="n">
        <v>-852.99</v>
      </c>
      <c r="K163" s="41" t="n">
        <f aca="false">H163+I163+J163</f>
        <v>18475.58</v>
      </c>
      <c r="L163" s="42" t="n">
        <f aca="false">IF($K$1282=0,0,K163/$K$1282)</f>
        <v>0.00153048818334869</v>
      </c>
      <c r="M163" s="43" t="n">
        <f aca="false">IF(F163&lt;=0,0,K163/F163)</f>
        <v>114.755155279503</v>
      </c>
      <c r="N163" s="40" t="n">
        <v>149.99</v>
      </c>
      <c r="O163" s="44" t="n">
        <v>2.39</v>
      </c>
      <c r="P163" s="43" t="n">
        <f aca="false">O163*'Price Groups'!$B$5</f>
        <v>53.775</v>
      </c>
      <c r="Q163" s="45" t="n">
        <f aca="false">IF(OR(N163="",P163=""),"",(N163-P163)/N163)</f>
        <v>0.64147609840656</v>
      </c>
      <c r="R163" s="46" t="n">
        <v>3</v>
      </c>
      <c r="S163" s="47" t="n">
        <f aca="false">IF(R163="-",0,IFERROR(VLOOKUP(R163,'Price Groups'!$A$13:$C$17,3,FALSE()),0))</f>
        <v>0.16</v>
      </c>
      <c r="T163" s="41" t="n">
        <f aca="false">IF(OR(N163="",R163="-"),"",CEILING(ROUND(N163*(1+S163),2),IF(N163*(1+S163)&lt;100,0.5,IF(N163*(1+S163)&lt;1000,1,5))))</f>
        <v>174</v>
      </c>
      <c r="U163" s="45" t="n">
        <f aca="false">IF(OR(T163="",P163=""),"",(T163-P163)/T163)</f>
        <v>0.690948275862069</v>
      </c>
      <c r="V163" s="45" t="n">
        <f aca="false">IF(T163="",0,T163/N163-1)</f>
        <v>0.160077338489232</v>
      </c>
      <c r="W163" s="38" t="s">
        <v>107</v>
      </c>
    </row>
    <row r="164" customFormat="false" ht="15" hidden="false" customHeight="false" outlineLevel="0" collapsed="false">
      <c r="A164" s="19" t="n">
        <v>123</v>
      </c>
      <c r="B164" s="19" t="s">
        <v>271</v>
      </c>
      <c r="C164" s="19" t="s">
        <v>57</v>
      </c>
      <c r="D164" s="19"/>
      <c r="E164" s="19" t="s">
        <v>58</v>
      </c>
      <c r="F164" s="20" t="n">
        <v>160</v>
      </c>
      <c r="G164" s="20" t="n">
        <v>75</v>
      </c>
      <c r="H164" s="21" t="n">
        <v>2499.82</v>
      </c>
      <c r="I164" s="21" t="n">
        <v>-30.15</v>
      </c>
      <c r="J164" s="21" t="n">
        <v>-118.02</v>
      </c>
      <c r="K164" s="22" t="n">
        <f aca="false">H164+I164+J164</f>
        <v>2351.65</v>
      </c>
      <c r="L164" s="23" t="n">
        <f aca="false">IF($K$1282=0,0,K164/$K$1282)</f>
        <v>0.00019480701208687</v>
      </c>
      <c r="M164" s="24" t="n">
        <f aca="false">IF(F164&lt;=0,0,K164/F164)</f>
        <v>14.6978125</v>
      </c>
      <c r="N164" s="21" t="n">
        <v>16.09</v>
      </c>
      <c r="O164" s="49" t="n">
        <v>0.25</v>
      </c>
      <c r="P164" s="24" t="n">
        <f aca="false">O164*'Price Groups'!$B$5</f>
        <v>5.625</v>
      </c>
      <c r="Q164" s="26" t="n">
        <f aca="false">IF(OR(N164="",P164=""),"",(N164-P164)/N164)</f>
        <v>0.650403977625855</v>
      </c>
      <c r="R164" s="27" t="n">
        <v>1</v>
      </c>
      <c r="S164" s="28" t="n">
        <f aca="false">IF(R164="-",0,IFERROR(VLOOKUP(R164,'Price Groups'!$A$13:$C$17,3,FALSE()),0))</f>
        <v>0.22</v>
      </c>
      <c r="T164" s="22" t="n">
        <f aca="false">IF(OR(N164="",R164="-"),"",CEILING(ROUND(N164*(1+S164),2),IF(N164*(1+S164)&lt;100,0.5,IF(N164*(1+S164)&lt;1000,1,5))))</f>
        <v>20</v>
      </c>
      <c r="U164" s="26" t="n">
        <f aca="false">IF(OR(T164="",P164=""),"",(T164-P164)/T164)</f>
        <v>0.71875</v>
      </c>
      <c r="V164" s="26" t="n">
        <f aca="false">IF(T164="",0,T164/N164-1)</f>
        <v>0.243008079552517</v>
      </c>
      <c r="W164" s="19" t="s">
        <v>94</v>
      </c>
    </row>
    <row r="165" customFormat="false" ht="15" hidden="false" customHeight="false" outlineLevel="0" collapsed="false">
      <c r="A165" s="38" t="n">
        <v>124</v>
      </c>
      <c r="B165" s="38" t="s">
        <v>272</v>
      </c>
      <c r="C165" s="38" t="s">
        <v>57</v>
      </c>
      <c r="D165" s="38"/>
      <c r="E165" s="38" t="s">
        <v>58</v>
      </c>
      <c r="F165" s="39" t="n">
        <v>159</v>
      </c>
      <c r="G165" s="39" t="n">
        <v>105</v>
      </c>
      <c r="H165" s="40" t="n">
        <v>3271.94</v>
      </c>
      <c r="I165" s="40" t="n">
        <v>-52.63</v>
      </c>
      <c r="J165" s="40" t="n">
        <v>-137.99</v>
      </c>
      <c r="K165" s="41" t="n">
        <f aca="false">H165+I165+J165</f>
        <v>3081.32</v>
      </c>
      <c r="L165" s="42" t="n">
        <f aca="false">IF($K$1282=0,0,K165/$K$1282)</f>
        <v>0.000255251734945045</v>
      </c>
      <c r="M165" s="43" t="n">
        <f aca="false">IF(F165&lt;=0,0,K165/F165)</f>
        <v>19.3793710691824</v>
      </c>
      <c r="N165" s="40" t="n">
        <v>24.99</v>
      </c>
      <c r="O165" s="44" t="n">
        <v>0.45</v>
      </c>
      <c r="P165" s="43" t="n">
        <f aca="false">O165*'Price Groups'!$B$5</f>
        <v>10.125</v>
      </c>
      <c r="Q165" s="45" t="n">
        <f aca="false">IF(OR(N165="",P165=""),"",(N165-P165)/N165)</f>
        <v>0.59483793517407</v>
      </c>
      <c r="R165" s="46" t="n">
        <v>1</v>
      </c>
      <c r="S165" s="47" t="n">
        <f aca="false">IF(R165="-",0,IFERROR(VLOOKUP(R165,'Price Groups'!$A$13:$C$17,3,FALSE()),0))</f>
        <v>0.22</v>
      </c>
      <c r="T165" s="41" t="n">
        <f aca="false">IF(OR(N165="",R165="-"),"",CEILING(ROUND(N165*(1+S165),2),IF(N165*(1+S165)&lt;100,0.5,IF(N165*(1+S165)&lt;1000,1,5))))</f>
        <v>30.5</v>
      </c>
      <c r="U165" s="45" t="n">
        <f aca="false">IF(OR(T165="",P165=""),"",(T165-P165)/T165)</f>
        <v>0.668032786885246</v>
      </c>
      <c r="V165" s="45" t="n">
        <f aca="false">IF(T165="",0,T165/N165-1)</f>
        <v>0.220488195278111</v>
      </c>
      <c r="W165" s="38" t="s">
        <v>94</v>
      </c>
    </row>
    <row r="166" customFormat="false" ht="15" hidden="false" customHeight="false" outlineLevel="0" collapsed="false">
      <c r="A166" s="19" t="n">
        <v>125</v>
      </c>
      <c r="B166" s="19" t="s">
        <v>273</v>
      </c>
      <c r="C166" s="19" t="s">
        <v>57</v>
      </c>
      <c r="D166" s="19"/>
      <c r="E166" s="19" t="s">
        <v>58</v>
      </c>
      <c r="F166" s="20" t="n">
        <v>158</v>
      </c>
      <c r="G166" s="20" t="n">
        <v>60</v>
      </c>
      <c r="H166" s="21" t="n">
        <v>32510.15</v>
      </c>
      <c r="I166" s="21" t="n">
        <v>-27.08</v>
      </c>
      <c r="J166" s="21" t="n">
        <v>-2378.99</v>
      </c>
      <c r="K166" s="22" t="n">
        <f aca="false">H166+I166+J166</f>
        <v>30104.08</v>
      </c>
      <c r="L166" s="23" t="n">
        <f aca="false">IF($K$1282=0,0,K166/$K$1282)</f>
        <v>0.00249377495648762</v>
      </c>
      <c r="M166" s="24" t="n">
        <f aca="false">IF(F166&lt;=0,0,K166/F166)</f>
        <v>190.532151898734</v>
      </c>
      <c r="N166" s="21" t="n">
        <v>140</v>
      </c>
      <c r="O166" s="49" t="n">
        <v>3.35</v>
      </c>
      <c r="P166" s="24" t="n">
        <f aca="false">O166*'Price Groups'!$B$5</f>
        <v>75.375</v>
      </c>
      <c r="Q166" s="26" t="n">
        <f aca="false">IF(OR(N166="",P166=""),"",(N166-P166)/N166)</f>
        <v>0.461607142857143</v>
      </c>
      <c r="R166" s="27" t="n">
        <v>3</v>
      </c>
      <c r="S166" s="28" t="n">
        <f aca="false">IF(R166="-",0,IFERROR(VLOOKUP(R166,'Price Groups'!$A$13:$C$17,3,FALSE()),0))</f>
        <v>0.16</v>
      </c>
      <c r="T166" s="22" t="n">
        <f aca="false">IF(OR(N166="",R166="-"),"",CEILING(ROUND(N166*(1+S166),2),IF(N166*(1+S166)&lt;100,0.5,IF(N166*(1+S166)&lt;1000,1,5))))</f>
        <v>163</v>
      </c>
      <c r="U166" s="26" t="n">
        <f aca="false">IF(OR(T166="",P166=""),"",(T166-P166)/T166)</f>
        <v>0.537576687116564</v>
      </c>
      <c r="V166" s="26" t="n">
        <f aca="false">IF(T166="",0,T166/N166-1)</f>
        <v>0.164285714285714</v>
      </c>
      <c r="W166" s="19" t="s">
        <v>107</v>
      </c>
    </row>
    <row r="167" customFormat="false" ht="15" hidden="false" customHeight="false" outlineLevel="0" collapsed="false">
      <c r="A167" s="38" t="n">
        <v>126</v>
      </c>
      <c r="B167" s="38" t="s">
        <v>274</v>
      </c>
      <c r="C167" s="38" t="s">
        <v>57</v>
      </c>
      <c r="D167" s="38"/>
      <c r="E167" s="38" t="s">
        <v>58</v>
      </c>
      <c r="F167" s="39" t="n">
        <v>157</v>
      </c>
      <c r="G167" s="39" t="n">
        <v>135</v>
      </c>
      <c r="H167" s="40" t="n">
        <v>32961.91</v>
      </c>
      <c r="I167" s="40" t="n">
        <v>-212.45</v>
      </c>
      <c r="J167" s="40" t="n">
        <v>-6829.04</v>
      </c>
      <c r="K167" s="41" t="n">
        <f aca="false">H167+I167+J167</f>
        <v>25920.42</v>
      </c>
      <c r="L167" s="42" t="n">
        <f aca="false">IF($K$1282=0,0,K167/$K$1282)</f>
        <v>0.0021472070980957</v>
      </c>
      <c r="M167" s="43" t="n">
        <f aca="false">IF(F167&lt;=0,0,K167/F167)</f>
        <v>165.09821656051</v>
      </c>
      <c r="N167" s="40" t="n">
        <v>189.99</v>
      </c>
      <c r="O167" s="44" t="n">
        <v>1.8</v>
      </c>
      <c r="P167" s="43" t="n">
        <f aca="false">O167*'Price Groups'!$B$5</f>
        <v>40.5</v>
      </c>
      <c r="Q167" s="45" t="n">
        <f aca="false">IF(OR(N167="",P167=""),"",(N167-P167)/N167)</f>
        <v>0.786830885836097</v>
      </c>
      <c r="R167" s="46" t="n">
        <v>3</v>
      </c>
      <c r="S167" s="47" t="n">
        <f aca="false">IF(R167="-",0,IFERROR(VLOOKUP(R167,'Price Groups'!$A$13:$C$17,3,FALSE()),0))</f>
        <v>0.16</v>
      </c>
      <c r="T167" s="41" t="n">
        <f aca="false">IF(OR(N167="",R167="-"),"",CEILING(ROUND(N167*(1+S167),2),IF(N167*(1+S167)&lt;100,0.5,IF(N167*(1+S167)&lt;1000,1,5))))</f>
        <v>221</v>
      </c>
      <c r="U167" s="45" t="n">
        <f aca="false">IF(OR(T167="",P167=""),"",(T167-P167)/T167)</f>
        <v>0.816742081447964</v>
      </c>
      <c r="V167" s="45" t="n">
        <f aca="false">IF(T167="",0,T167/N167-1)</f>
        <v>0.163219116795621</v>
      </c>
      <c r="W167" s="38" t="s">
        <v>107</v>
      </c>
    </row>
    <row r="168" customFormat="false" ht="15" hidden="false" customHeight="false" outlineLevel="0" collapsed="false">
      <c r="A168" s="19" t="n">
        <v>127</v>
      </c>
      <c r="B168" s="19" t="s">
        <v>275</v>
      </c>
      <c r="C168" s="19" t="s">
        <v>57</v>
      </c>
      <c r="D168" s="19"/>
      <c r="E168" s="19" t="s">
        <v>58</v>
      </c>
      <c r="F168" s="20" t="n">
        <v>156</v>
      </c>
      <c r="G168" s="20" t="n">
        <v>63</v>
      </c>
      <c r="H168" s="21" t="n">
        <v>115980.98</v>
      </c>
      <c r="I168" s="21" t="n">
        <v>-557.24</v>
      </c>
      <c r="J168" s="21" t="n">
        <v>-770</v>
      </c>
      <c r="K168" s="22" t="n">
        <f aca="false">H168+I168+J168</f>
        <v>114653.74</v>
      </c>
      <c r="L168" s="23" t="n">
        <f aca="false">IF($K$1282=0,0,K168/$K$1282)</f>
        <v>0.0094977367014585</v>
      </c>
      <c r="M168" s="24" t="n">
        <f aca="false">IF(F168&lt;=0,0,K168/F168)</f>
        <v>734.959871794872</v>
      </c>
      <c r="N168" s="24"/>
      <c r="O168" s="25"/>
      <c r="P168" s="24"/>
      <c r="Q168" s="26" t="str">
        <f aca="false">IF(OR(N168="",P168=""),"",(N168-P168)/N168)</f>
        <v/>
      </c>
      <c r="R168" s="27" t="n">
        <v>2</v>
      </c>
      <c r="S168" s="28" t="n">
        <f aca="false">IF(R168="-",0,IFERROR(VLOOKUP(R168,'Price Groups'!$A$13:$C$17,3,FALSE()),0))</f>
        <v>0.18</v>
      </c>
      <c r="T168" s="22" t="str">
        <f aca="false">IF(OR(N168="",R168="-"),"",CEILING(ROUND(N168*(1+S168),2),IF(N168*(1+S168)&lt;100,0.5,IF(N168*(1+S168)&lt;1000,1,5))))</f>
        <v/>
      </c>
      <c r="U168" s="26" t="str">
        <f aca="false">IF(OR(T168="",P168=""),"",(T168-P168)/T168)</f>
        <v/>
      </c>
      <c r="V168" s="26" t="n">
        <f aca="false">IFERROR(AVERAGE(V169:V178),0)</f>
        <v>0.181113286837295</v>
      </c>
      <c r="W168" s="19" t="s">
        <v>129</v>
      </c>
    </row>
    <row r="169" customFormat="false" ht="15" hidden="false" customHeight="false" outlineLevel="0" collapsed="false">
      <c r="A169" s="29"/>
      <c r="B169" s="29" t="s">
        <v>276</v>
      </c>
      <c r="C169" s="29" t="s">
        <v>61</v>
      </c>
      <c r="D169" s="29" t="s">
        <v>275</v>
      </c>
      <c r="E169" s="29"/>
      <c r="F169" s="29"/>
      <c r="G169" s="29"/>
      <c r="H169" s="29"/>
      <c r="I169" s="29"/>
      <c r="J169" s="29"/>
      <c r="K169" s="29" t="n">
        <v>0</v>
      </c>
      <c r="L169" s="29"/>
      <c r="M169" s="29"/>
      <c r="N169" s="30" t="n">
        <v>675</v>
      </c>
      <c r="O169" s="31"/>
      <c r="P169" s="32"/>
      <c r="Q169" s="33" t="str">
        <f aca="false">IF(OR(N169="",P169=""),"",(N169-P169)/N169)</f>
        <v/>
      </c>
      <c r="R169" s="34" t="n">
        <f aca="false">R168</f>
        <v>2</v>
      </c>
      <c r="S169" s="35" t="n">
        <f aca="false">IF(R169="-",0,IFERROR(VLOOKUP(R169,'Price Groups'!$A$13:$C$17,3,FALSE()),0))</f>
        <v>0.18</v>
      </c>
      <c r="T169" s="36" t="n">
        <f aca="false">IF(OR(N169="",R169="-"),"",CEILING(ROUND(N169*(1+S169),2),IF(N169*(1+S169)&lt;100,0.5,IF(N169*(1+S169)&lt;1000,1,5))))</f>
        <v>797</v>
      </c>
      <c r="U169" s="33" t="str">
        <f aca="false">IF(OR(T169="",P169=""),"",(T169-P169)/T169)</f>
        <v/>
      </c>
      <c r="V169" s="33" t="n">
        <f aca="false">IF(T169="",0,T169/N169-1)</f>
        <v>0.180740740740741</v>
      </c>
      <c r="W169" s="29" t="s">
        <v>62</v>
      </c>
    </row>
    <row r="170" customFormat="false" ht="15" hidden="false" customHeight="false" outlineLevel="0" collapsed="false">
      <c r="A170" s="29"/>
      <c r="B170" s="29" t="s">
        <v>277</v>
      </c>
      <c r="C170" s="29" t="s">
        <v>61</v>
      </c>
      <c r="D170" s="29" t="s">
        <v>275</v>
      </c>
      <c r="E170" s="29"/>
      <c r="F170" s="29"/>
      <c r="G170" s="29"/>
      <c r="H170" s="29"/>
      <c r="I170" s="29"/>
      <c r="J170" s="29"/>
      <c r="K170" s="29" t="n">
        <v>0</v>
      </c>
      <c r="L170" s="29"/>
      <c r="M170" s="29"/>
      <c r="N170" s="30" t="n">
        <v>850</v>
      </c>
      <c r="O170" s="31"/>
      <c r="P170" s="32"/>
      <c r="Q170" s="33" t="str">
        <f aca="false">IF(OR(N170="",P170=""),"",(N170-P170)/N170)</f>
        <v/>
      </c>
      <c r="R170" s="34" t="n">
        <f aca="false">R168</f>
        <v>2</v>
      </c>
      <c r="S170" s="35" t="n">
        <f aca="false">IF(R170="-",0,IFERROR(VLOOKUP(R170,'Price Groups'!$A$13:$C$17,3,FALSE()),0))</f>
        <v>0.18</v>
      </c>
      <c r="T170" s="36" t="n">
        <f aca="false">IF(OR(N170="",R170="-"),"",CEILING(ROUND(N170*(1+S170),2),IF(N170*(1+S170)&lt;100,0.5,IF(N170*(1+S170)&lt;1000,1,5))))</f>
        <v>1005</v>
      </c>
      <c r="U170" s="33" t="str">
        <f aca="false">IF(OR(T170="",P170=""),"",(T170-P170)/T170)</f>
        <v/>
      </c>
      <c r="V170" s="33" t="n">
        <f aca="false">IF(T170="",0,T170/N170-1)</f>
        <v>0.182352941176471</v>
      </c>
      <c r="W170" s="29" t="s">
        <v>62</v>
      </c>
    </row>
    <row r="171" customFormat="false" ht="15" hidden="false" customHeight="false" outlineLevel="0" collapsed="false">
      <c r="A171" s="29"/>
      <c r="B171" s="29" t="s">
        <v>278</v>
      </c>
      <c r="C171" s="29" t="s">
        <v>61</v>
      </c>
      <c r="D171" s="29" t="s">
        <v>275</v>
      </c>
      <c r="E171" s="29"/>
      <c r="F171" s="29"/>
      <c r="G171" s="29"/>
      <c r="H171" s="29"/>
      <c r="I171" s="29"/>
      <c r="J171" s="29"/>
      <c r="K171" s="29" t="n">
        <v>0</v>
      </c>
      <c r="L171" s="29"/>
      <c r="M171" s="29"/>
      <c r="N171" s="30" t="n">
        <v>480</v>
      </c>
      <c r="O171" s="31"/>
      <c r="P171" s="32"/>
      <c r="Q171" s="33" t="str">
        <f aca="false">IF(OR(N171="",P171=""),"",(N171-P171)/N171)</f>
        <v/>
      </c>
      <c r="R171" s="34" t="n">
        <f aca="false">R168</f>
        <v>2</v>
      </c>
      <c r="S171" s="35" t="n">
        <f aca="false">IF(R171="-",0,IFERROR(VLOOKUP(R171,'Price Groups'!$A$13:$C$17,3,FALSE()),0))</f>
        <v>0.18</v>
      </c>
      <c r="T171" s="36" t="n">
        <f aca="false">IF(OR(N171="",R171="-"),"",CEILING(ROUND(N171*(1+S171),2),IF(N171*(1+S171)&lt;100,0.5,IF(N171*(1+S171)&lt;1000,1,5))))</f>
        <v>567</v>
      </c>
      <c r="U171" s="33" t="str">
        <f aca="false">IF(OR(T171="",P171=""),"",(T171-P171)/T171)</f>
        <v/>
      </c>
      <c r="V171" s="33" t="n">
        <f aca="false">IF(T171="",0,T171/N171-1)</f>
        <v>0.18125</v>
      </c>
      <c r="W171" s="29" t="s">
        <v>62</v>
      </c>
    </row>
    <row r="172" customFormat="false" ht="15" hidden="false" customHeight="false" outlineLevel="0" collapsed="false">
      <c r="A172" s="29"/>
      <c r="B172" s="29" t="s">
        <v>279</v>
      </c>
      <c r="C172" s="29" t="s">
        <v>61</v>
      </c>
      <c r="D172" s="29" t="s">
        <v>275</v>
      </c>
      <c r="E172" s="29"/>
      <c r="F172" s="29"/>
      <c r="G172" s="29"/>
      <c r="H172" s="29"/>
      <c r="I172" s="29"/>
      <c r="J172" s="29"/>
      <c r="K172" s="29" t="n">
        <v>0</v>
      </c>
      <c r="L172" s="29"/>
      <c r="M172" s="29"/>
      <c r="N172" s="30" t="n">
        <v>430</v>
      </c>
      <c r="O172" s="31"/>
      <c r="P172" s="32"/>
      <c r="Q172" s="33" t="str">
        <f aca="false">IF(OR(N172="",P172=""),"",(N172-P172)/N172)</f>
        <v/>
      </c>
      <c r="R172" s="34" t="n">
        <f aca="false">R168</f>
        <v>2</v>
      </c>
      <c r="S172" s="35" t="n">
        <f aca="false">IF(R172="-",0,IFERROR(VLOOKUP(R172,'Price Groups'!$A$13:$C$17,3,FALSE()),0))</f>
        <v>0.18</v>
      </c>
      <c r="T172" s="36" t="n">
        <f aca="false">IF(OR(N172="",R172="-"),"",CEILING(ROUND(N172*(1+S172),2),IF(N172*(1+S172)&lt;100,0.5,IF(N172*(1+S172)&lt;1000,1,5))))</f>
        <v>508</v>
      </c>
      <c r="U172" s="33" t="str">
        <f aca="false">IF(OR(T172="",P172=""),"",(T172-P172)/T172)</f>
        <v/>
      </c>
      <c r="V172" s="33" t="n">
        <f aca="false">IF(T172="",0,T172/N172-1)</f>
        <v>0.181395348837209</v>
      </c>
      <c r="W172" s="29" t="s">
        <v>62</v>
      </c>
    </row>
    <row r="173" customFormat="false" ht="15" hidden="false" customHeight="false" outlineLevel="0" collapsed="false">
      <c r="A173" s="29"/>
      <c r="B173" s="29" t="s">
        <v>280</v>
      </c>
      <c r="C173" s="29" t="s">
        <v>61</v>
      </c>
      <c r="D173" s="29" t="s">
        <v>275</v>
      </c>
      <c r="E173" s="29"/>
      <c r="F173" s="29"/>
      <c r="G173" s="29"/>
      <c r="H173" s="29"/>
      <c r="I173" s="29"/>
      <c r="J173" s="29"/>
      <c r="K173" s="29" t="n">
        <v>0</v>
      </c>
      <c r="L173" s="29"/>
      <c r="M173" s="29"/>
      <c r="N173" s="30" t="n">
        <v>360</v>
      </c>
      <c r="O173" s="31"/>
      <c r="P173" s="32"/>
      <c r="Q173" s="33" t="str">
        <f aca="false">IF(OR(N173="",P173=""),"",(N173-P173)/N173)</f>
        <v/>
      </c>
      <c r="R173" s="34" t="n">
        <f aca="false">R168</f>
        <v>2</v>
      </c>
      <c r="S173" s="35" t="n">
        <f aca="false">IF(R173="-",0,IFERROR(VLOOKUP(R173,'Price Groups'!$A$13:$C$17,3,FALSE()),0))</f>
        <v>0.18</v>
      </c>
      <c r="T173" s="36" t="n">
        <f aca="false">IF(OR(N173="",R173="-"),"",CEILING(ROUND(N173*(1+S173),2),IF(N173*(1+S173)&lt;100,0.5,IF(N173*(1+S173)&lt;1000,1,5))))</f>
        <v>425</v>
      </c>
      <c r="U173" s="33" t="str">
        <f aca="false">IF(OR(T173="",P173=""),"",(T173-P173)/T173)</f>
        <v/>
      </c>
      <c r="V173" s="33" t="n">
        <f aca="false">IF(T173="",0,T173/N173-1)</f>
        <v>0.180555555555556</v>
      </c>
      <c r="W173" s="29" t="s">
        <v>62</v>
      </c>
    </row>
    <row r="174" customFormat="false" ht="15" hidden="false" customHeight="false" outlineLevel="0" collapsed="false">
      <c r="A174" s="29"/>
      <c r="B174" s="29" t="s">
        <v>281</v>
      </c>
      <c r="C174" s="29" t="s">
        <v>61</v>
      </c>
      <c r="D174" s="29" t="s">
        <v>275</v>
      </c>
      <c r="E174" s="29"/>
      <c r="F174" s="29"/>
      <c r="G174" s="29"/>
      <c r="H174" s="29"/>
      <c r="I174" s="29"/>
      <c r="J174" s="29"/>
      <c r="K174" s="29" t="n">
        <v>0</v>
      </c>
      <c r="L174" s="29"/>
      <c r="M174" s="29"/>
      <c r="N174" s="30" t="n">
        <v>300</v>
      </c>
      <c r="O174" s="31"/>
      <c r="P174" s="32"/>
      <c r="Q174" s="33" t="str">
        <f aca="false">IF(OR(N174="",P174=""),"",(N174-P174)/N174)</f>
        <v/>
      </c>
      <c r="R174" s="34" t="n">
        <f aca="false">R168</f>
        <v>2</v>
      </c>
      <c r="S174" s="35" t="n">
        <f aca="false">IF(R174="-",0,IFERROR(VLOOKUP(R174,'Price Groups'!$A$13:$C$17,3,FALSE()),0))</f>
        <v>0.18</v>
      </c>
      <c r="T174" s="36" t="n">
        <f aca="false">IF(OR(N174="",R174="-"),"",CEILING(ROUND(N174*(1+S174),2),IF(N174*(1+S174)&lt;100,0.5,IF(N174*(1+S174)&lt;1000,1,5))))</f>
        <v>354</v>
      </c>
      <c r="U174" s="33" t="str">
        <f aca="false">IF(OR(T174="",P174=""),"",(T174-P174)/T174)</f>
        <v/>
      </c>
      <c r="V174" s="33" t="n">
        <f aca="false">IF(T174="",0,T174/N174-1)</f>
        <v>0.18</v>
      </c>
      <c r="W174" s="29" t="s">
        <v>62</v>
      </c>
    </row>
    <row r="175" customFormat="false" ht="15" hidden="false" customHeight="false" outlineLevel="0" collapsed="false">
      <c r="A175" s="29"/>
      <c r="B175" s="29" t="s">
        <v>282</v>
      </c>
      <c r="C175" s="29" t="s">
        <v>61</v>
      </c>
      <c r="D175" s="29" t="s">
        <v>275</v>
      </c>
      <c r="E175" s="29"/>
      <c r="F175" s="29"/>
      <c r="G175" s="29"/>
      <c r="H175" s="29"/>
      <c r="I175" s="29"/>
      <c r="J175" s="29"/>
      <c r="K175" s="29" t="n">
        <v>0</v>
      </c>
      <c r="L175" s="29"/>
      <c r="M175" s="29"/>
      <c r="N175" s="30" t="n">
        <v>559</v>
      </c>
      <c r="O175" s="31"/>
      <c r="P175" s="32"/>
      <c r="Q175" s="33" t="str">
        <f aca="false">IF(OR(N175="",P175=""),"",(N175-P175)/N175)</f>
        <v/>
      </c>
      <c r="R175" s="34" t="n">
        <f aca="false">R168</f>
        <v>2</v>
      </c>
      <c r="S175" s="35" t="n">
        <f aca="false">IF(R175="-",0,IFERROR(VLOOKUP(R175,'Price Groups'!$A$13:$C$17,3,FALSE()),0))</f>
        <v>0.18</v>
      </c>
      <c r="T175" s="36" t="n">
        <f aca="false">IF(OR(N175="",R175="-"),"",CEILING(ROUND(N175*(1+S175),2),IF(N175*(1+S175)&lt;100,0.5,IF(N175*(1+S175)&lt;1000,1,5))))</f>
        <v>660</v>
      </c>
      <c r="U175" s="33" t="str">
        <f aca="false">IF(OR(T175="",P175=""),"",(T175-P175)/T175)</f>
        <v/>
      </c>
      <c r="V175" s="33" t="n">
        <f aca="false">IF(T175="",0,T175/N175-1)</f>
        <v>0.180679785330948</v>
      </c>
      <c r="W175" s="29" t="s">
        <v>62</v>
      </c>
    </row>
    <row r="176" customFormat="false" ht="15" hidden="false" customHeight="false" outlineLevel="0" collapsed="false">
      <c r="A176" s="29"/>
      <c r="B176" s="29" t="s">
        <v>283</v>
      </c>
      <c r="C176" s="29" t="s">
        <v>61</v>
      </c>
      <c r="D176" s="29" t="s">
        <v>275</v>
      </c>
      <c r="E176" s="29"/>
      <c r="F176" s="29"/>
      <c r="G176" s="29"/>
      <c r="H176" s="29"/>
      <c r="I176" s="29"/>
      <c r="J176" s="29"/>
      <c r="K176" s="29" t="n">
        <v>0</v>
      </c>
      <c r="L176" s="29"/>
      <c r="M176" s="29"/>
      <c r="N176" s="30" t="n">
        <v>360</v>
      </c>
      <c r="O176" s="31"/>
      <c r="P176" s="32"/>
      <c r="Q176" s="33" t="str">
        <f aca="false">IF(OR(N176="",P176=""),"",(N176-P176)/N176)</f>
        <v/>
      </c>
      <c r="R176" s="34" t="n">
        <f aca="false">R168</f>
        <v>2</v>
      </c>
      <c r="S176" s="35" t="n">
        <f aca="false">IF(R176="-",0,IFERROR(VLOOKUP(R176,'Price Groups'!$A$13:$C$17,3,FALSE()),0))</f>
        <v>0.18</v>
      </c>
      <c r="T176" s="36" t="n">
        <f aca="false">IF(OR(N176="",R176="-"),"",CEILING(ROUND(N176*(1+S176),2),IF(N176*(1+S176)&lt;100,0.5,IF(N176*(1+S176)&lt;1000,1,5))))</f>
        <v>425</v>
      </c>
      <c r="U176" s="33" t="str">
        <f aca="false">IF(OR(T176="",P176=""),"",(T176-P176)/T176)</f>
        <v/>
      </c>
      <c r="V176" s="33" t="n">
        <f aca="false">IF(T176="",0,T176/N176-1)</f>
        <v>0.180555555555556</v>
      </c>
      <c r="W176" s="29" t="s">
        <v>62</v>
      </c>
    </row>
    <row r="177" customFormat="false" ht="15" hidden="false" customHeight="false" outlineLevel="0" collapsed="false">
      <c r="A177" s="29"/>
      <c r="B177" s="29" t="s">
        <v>284</v>
      </c>
      <c r="C177" s="29" t="s">
        <v>61</v>
      </c>
      <c r="D177" s="29" t="s">
        <v>275</v>
      </c>
      <c r="E177" s="29"/>
      <c r="F177" s="29"/>
      <c r="G177" s="29"/>
      <c r="H177" s="29"/>
      <c r="I177" s="29"/>
      <c r="J177" s="29"/>
      <c r="K177" s="29" t="n">
        <v>0</v>
      </c>
      <c r="L177" s="29"/>
      <c r="M177" s="29"/>
      <c r="N177" s="30" t="n">
        <v>480</v>
      </c>
      <c r="O177" s="31"/>
      <c r="P177" s="32"/>
      <c r="Q177" s="33" t="str">
        <f aca="false">IF(OR(N177="",P177=""),"",(N177-P177)/N177)</f>
        <v/>
      </c>
      <c r="R177" s="34" t="n">
        <f aca="false">R168</f>
        <v>2</v>
      </c>
      <c r="S177" s="35" t="n">
        <f aca="false">IF(R177="-",0,IFERROR(VLOOKUP(R177,'Price Groups'!$A$13:$C$17,3,FALSE()),0))</f>
        <v>0.18</v>
      </c>
      <c r="T177" s="36" t="n">
        <f aca="false">IF(OR(N177="",R177="-"),"",CEILING(ROUND(N177*(1+S177),2),IF(N177*(1+S177)&lt;100,0.5,IF(N177*(1+S177)&lt;1000,1,5))))</f>
        <v>567</v>
      </c>
      <c r="U177" s="33" t="str">
        <f aca="false">IF(OR(T177="",P177=""),"",(T177-P177)/T177)</f>
        <v/>
      </c>
      <c r="V177" s="33" t="n">
        <f aca="false">IF(T177="",0,T177/N177-1)</f>
        <v>0.18125</v>
      </c>
      <c r="W177" s="29" t="s">
        <v>62</v>
      </c>
    </row>
    <row r="178" customFormat="false" ht="15" hidden="false" customHeight="false" outlineLevel="0" collapsed="false">
      <c r="A178" s="29"/>
      <c r="B178" s="29" t="s">
        <v>285</v>
      </c>
      <c r="C178" s="29" t="s">
        <v>61</v>
      </c>
      <c r="D178" s="29" t="s">
        <v>275</v>
      </c>
      <c r="E178" s="29"/>
      <c r="F178" s="29"/>
      <c r="G178" s="29"/>
      <c r="H178" s="29"/>
      <c r="I178" s="29"/>
      <c r="J178" s="29"/>
      <c r="K178" s="29" t="n">
        <v>0</v>
      </c>
      <c r="L178" s="29"/>
      <c r="M178" s="29"/>
      <c r="N178" s="30" t="n">
        <v>850</v>
      </c>
      <c r="O178" s="31"/>
      <c r="P178" s="32"/>
      <c r="Q178" s="33" t="str">
        <f aca="false">IF(OR(N178="",P178=""),"",(N178-P178)/N178)</f>
        <v/>
      </c>
      <c r="R178" s="34" t="n">
        <f aca="false">R168</f>
        <v>2</v>
      </c>
      <c r="S178" s="35" t="n">
        <f aca="false">IF(R178="-",0,IFERROR(VLOOKUP(R178,'Price Groups'!$A$13:$C$17,3,FALSE()),0))</f>
        <v>0.18</v>
      </c>
      <c r="T178" s="36" t="n">
        <f aca="false">IF(OR(N178="",R178="-"),"",CEILING(ROUND(N178*(1+S178),2),IF(N178*(1+S178)&lt;100,0.5,IF(N178*(1+S178)&lt;1000,1,5))))</f>
        <v>1005</v>
      </c>
      <c r="U178" s="33" t="str">
        <f aca="false">IF(OR(T178="",P178=""),"",(T178-P178)/T178)</f>
        <v/>
      </c>
      <c r="V178" s="33" t="n">
        <f aca="false">IF(T178="",0,T178/N178-1)</f>
        <v>0.182352941176471</v>
      </c>
      <c r="W178" s="29" t="s">
        <v>62</v>
      </c>
    </row>
    <row r="179" customFormat="false" ht="15" hidden="false" customHeight="false" outlineLevel="0" collapsed="false">
      <c r="A179" s="38" t="n">
        <v>128</v>
      </c>
      <c r="B179" s="38" t="s">
        <v>286</v>
      </c>
      <c r="C179" s="38" t="s">
        <v>57</v>
      </c>
      <c r="D179" s="38"/>
      <c r="E179" s="38" t="s">
        <v>58</v>
      </c>
      <c r="F179" s="39" t="n">
        <v>156</v>
      </c>
      <c r="G179" s="39" t="n">
        <v>52</v>
      </c>
      <c r="H179" s="40" t="n">
        <v>5644.2</v>
      </c>
      <c r="I179" s="40" t="n">
        <v>-66.01</v>
      </c>
      <c r="J179" s="40" t="n">
        <v>-148.32</v>
      </c>
      <c r="K179" s="41" t="n">
        <f aca="false">H179+I179+J179</f>
        <v>5429.87</v>
      </c>
      <c r="L179" s="42" t="n">
        <f aca="false">IF($K$1282=0,0,K179/$K$1282)</f>
        <v>0.000449801947874954</v>
      </c>
      <c r="M179" s="43" t="n">
        <f aca="false">IF(F179&lt;=0,0,K179/F179)</f>
        <v>34.806858974359</v>
      </c>
      <c r="N179" s="40" t="n">
        <v>35</v>
      </c>
      <c r="O179" s="44" t="n">
        <v>0.86</v>
      </c>
      <c r="P179" s="43" t="n">
        <f aca="false">O179*'Price Groups'!$B$5</f>
        <v>19.35</v>
      </c>
      <c r="Q179" s="45" t="n">
        <f aca="false">IF(OR(N179="",P179=""),"",(N179-P179)/N179)</f>
        <v>0.447142857142857</v>
      </c>
      <c r="R179" s="46" t="n">
        <v>1</v>
      </c>
      <c r="S179" s="47" t="n">
        <f aca="false">IF(R179="-",0,IFERROR(VLOOKUP(R179,'Price Groups'!$A$13:$C$17,3,FALSE()),0))</f>
        <v>0.22</v>
      </c>
      <c r="T179" s="41" t="n">
        <f aca="false">IF(OR(N179="",R179="-"),"",CEILING(ROUND(N179*(1+S179),2),IF(N179*(1+S179)&lt;100,0.5,IF(N179*(1+S179)&lt;1000,1,5))))</f>
        <v>43</v>
      </c>
      <c r="U179" s="45" t="n">
        <f aca="false">IF(OR(T179="",P179=""),"",(T179-P179)/T179)</f>
        <v>0.55</v>
      </c>
      <c r="V179" s="45" t="n">
        <f aca="false">IF(T179="",0,T179/N179-1)</f>
        <v>0.228571428571429</v>
      </c>
      <c r="W179" s="38" t="s">
        <v>94</v>
      </c>
    </row>
    <row r="180" customFormat="false" ht="15" hidden="false" customHeight="false" outlineLevel="0" collapsed="false">
      <c r="A180" s="19" t="n">
        <v>129</v>
      </c>
      <c r="B180" s="19" t="s">
        <v>287</v>
      </c>
      <c r="C180" s="19" t="s">
        <v>57</v>
      </c>
      <c r="D180" s="19"/>
      <c r="E180" s="19" t="s">
        <v>58</v>
      </c>
      <c r="F180" s="20" t="n">
        <v>156</v>
      </c>
      <c r="G180" s="20" t="n">
        <v>105</v>
      </c>
      <c r="H180" s="21" t="n">
        <v>4043.28</v>
      </c>
      <c r="I180" s="21" t="n">
        <v>-44.23</v>
      </c>
      <c r="J180" s="21" t="n">
        <v>-517.22</v>
      </c>
      <c r="K180" s="22" t="n">
        <f aca="false">H180+I180+J180</f>
        <v>3481.83</v>
      </c>
      <c r="L180" s="23" t="n">
        <f aca="false">IF($K$1282=0,0,K180/$K$1282)</f>
        <v>0.000288429357640137</v>
      </c>
      <c r="M180" s="24" t="n">
        <f aca="false">IF(F180&lt;=0,0,K180/F180)</f>
        <v>22.3194230769231</v>
      </c>
      <c r="N180" s="21" t="n">
        <v>23.62</v>
      </c>
      <c r="O180" s="49" t="n">
        <v>0.4</v>
      </c>
      <c r="P180" s="24" t="n">
        <f aca="false">O180*'Price Groups'!$B$5</f>
        <v>9</v>
      </c>
      <c r="Q180" s="26" t="n">
        <f aca="false">IF(OR(N180="",P180=""),"",(N180-P180)/N180)</f>
        <v>0.618966977138019</v>
      </c>
      <c r="R180" s="27" t="n">
        <v>1</v>
      </c>
      <c r="S180" s="28" t="n">
        <f aca="false">IF(R180="-",0,IFERROR(VLOOKUP(R180,'Price Groups'!$A$13:$C$17,3,FALSE()),0))</f>
        <v>0.22</v>
      </c>
      <c r="T180" s="22" t="n">
        <f aca="false">IF(OR(N180="",R180="-"),"",CEILING(ROUND(N180*(1+S180),2),IF(N180*(1+S180)&lt;100,0.5,IF(N180*(1+S180)&lt;1000,1,5))))</f>
        <v>29</v>
      </c>
      <c r="U180" s="26" t="n">
        <f aca="false">IF(OR(T180="",P180=""),"",(T180-P180)/T180)</f>
        <v>0.689655172413793</v>
      </c>
      <c r="V180" s="26" t="n">
        <f aca="false">IF(T180="",0,T180/N180-1)</f>
        <v>0.227773073666384</v>
      </c>
      <c r="W180" s="19" t="s">
        <v>94</v>
      </c>
    </row>
    <row r="181" customFormat="false" ht="15" hidden="false" customHeight="false" outlineLevel="0" collapsed="false">
      <c r="A181" s="38" t="n">
        <v>130</v>
      </c>
      <c r="B181" s="38" t="s">
        <v>288</v>
      </c>
      <c r="C181" s="38" t="s">
        <v>57</v>
      </c>
      <c r="D181" s="38"/>
      <c r="E181" s="38" t="s">
        <v>58</v>
      </c>
      <c r="F181" s="39" t="n">
        <v>155</v>
      </c>
      <c r="G181" s="39" t="n">
        <v>123</v>
      </c>
      <c r="H181" s="40" t="n">
        <v>26995.65</v>
      </c>
      <c r="I181" s="40" t="n">
        <v>-447.5</v>
      </c>
      <c r="J181" s="40" t="n">
        <v>-1239.05</v>
      </c>
      <c r="K181" s="41" t="n">
        <f aca="false">H181+I181+J181</f>
        <v>25309.1</v>
      </c>
      <c r="L181" s="42" t="n">
        <f aca="false">IF($K$1282=0,0,K181/$K$1282)</f>
        <v>0.00209656630434283</v>
      </c>
      <c r="M181" s="43" t="n">
        <f aca="false">IF(F181&lt;=0,0,K181/F181)</f>
        <v>163.284516129032</v>
      </c>
      <c r="N181" s="40" t="n">
        <v>190</v>
      </c>
      <c r="O181" s="44" t="n">
        <v>3.62</v>
      </c>
      <c r="P181" s="43" t="n">
        <f aca="false">O181*'Price Groups'!$B$5</f>
        <v>81.45</v>
      </c>
      <c r="Q181" s="45" t="n">
        <f aca="false">IF(OR(N181="",P181=""),"",(N181-P181)/N181)</f>
        <v>0.571315789473684</v>
      </c>
      <c r="R181" s="46" t="n">
        <v>3</v>
      </c>
      <c r="S181" s="47" t="n">
        <f aca="false">IF(R181="-",0,IFERROR(VLOOKUP(R181,'Price Groups'!$A$13:$C$17,3,FALSE()),0))</f>
        <v>0.16</v>
      </c>
      <c r="T181" s="41" t="n">
        <f aca="false">IF(OR(N181="",R181="-"),"",CEILING(ROUND(N181*(1+S181),2),IF(N181*(1+S181)&lt;100,0.5,IF(N181*(1+S181)&lt;1000,1,5))))</f>
        <v>221</v>
      </c>
      <c r="U181" s="45" t="n">
        <f aca="false">IF(OR(T181="",P181=""),"",(T181-P181)/T181)</f>
        <v>0.631447963800905</v>
      </c>
      <c r="V181" s="45" t="n">
        <f aca="false">IF(T181="",0,T181/N181-1)</f>
        <v>0.163157894736842</v>
      </c>
      <c r="W181" s="38" t="s">
        <v>107</v>
      </c>
    </row>
    <row r="182" customFormat="false" ht="15" hidden="false" customHeight="false" outlineLevel="0" collapsed="false">
      <c r="A182" s="19" t="n">
        <v>131</v>
      </c>
      <c r="B182" s="19" t="s">
        <v>289</v>
      </c>
      <c r="C182" s="19" t="s">
        <v>57</v>
      </c>
      <c r="D182" s="19"/>
      <c r="E182" s="19" t="s">
        <v>58</v>
      </c>
      <c r="F182" s="20" t="n">
        <v>155</v>
      </c>
      <c r="G182" s="20" t="n">
        <v>63</v>
      </c>
      <c r="H182" s="21" t="n">
        <v>25527.87</v>
      </c>
      <c r="I182" s="21" t="n">
        <v>-41.9</v>
      </c>
      <c r="J182" s="21" t="n">
        <v>-1806.71</v>
      </c>
      <c r="K182" s="22" t="n">
        <f aca="false">H182+I182+J182</f>
        <v>23679.26</v>
      </c>
      <c r="L182" s="23" t="n">
        <f aca="false">IF($K$1282=0,0,K182/$K$1282)</f>
        <v>0.00196155290499358</v>
      </c>
      <c r="M182" s="24" t="n">
        <f aca="false">IF(F182&lt;=0,0,K182/F182)</f>
        <v>152.769419354839</v>
      </c>
      <c r="N182" s="21" t="n">
        <v>190</v>
      </c>
      <c r="O182" s="49" t="n">
        <v>2.5</v>
      </c>
      <c r="P182" s="24" t="n">
        <f aca="false">O182*'Price Groups'!$B$5</f>
        <v>56.25</v>
      </c>
      <c r="Q182" s="26" t="n">
        <f aca="false">IF(OR(N182="",P182=""),"",(N182-P182)/N182)</f>
        <v>0.703947368421053</v>
      </c>
      <c r="R182" s="27" t="n">
        <v>3</v>
      </c>
      <c r="S182" s="28" t="n">
        <f aca="false">IF(R182="-",0,IFERROR(VLOOKUP(R182,'Price Groups'!$A$13:$C$17,3,FALSE()),0))</f>
        <v>0.16</v>
      </c>
      <c r="T182" s="22" t="n">
        <f aca="false">IF(OR(N182="",R182="-"),"",CEILING(ROUND(N182*(1+S182),2),IF(N182*(1+S182)&lt;100,0.5,IF(N182*(1+S182)&lt;1000,1,5))))</f>
        <v>221</v>
      </c>
      <c r="U182" s="26" t="n">
        <f aca="false">IF(OR(T182="",P182=""),"",(T182-P182)/T182)</f>
        <v>0.745475113122172</v>
      </c>
      <c r="V182" s="26" t="n">
        <f aca="false">IF(T182="",0,T182/N182-1)</f>
        <v>0.163157894736842</v>
      </c>
      <c r="W182" s="19" t="s">
        <v>107</v>
      </c>
    </row>
    <row r="183" customFormat="false" ht="15" hidden="false" customHeight="false" outlineLevel="0" collapsed="false">
      <c r="A183" s="38" t="n">
        <v>132</v>
      </c>
      <c r="B183" s="38" t="s">
        <v>290</v>
      </c>
      <c r="C183" s="38" t="s">
        <v>57</v>
      </c>
      <c r="D183" s="38"/>
      <c r="E183" s="38" t="s">
        <v>58</v>
      </c>
      <c r="F183" s="39" t="n">
        <v>155</v>
      </c>
      <c r="G183" s="39" t="n">
        <v>77</v>
      </c>
      <c r="H183" s="40" t="n">
        <v>15841.54</v>
      </c>
      <c r="I183" s="40" t="n">
        <v>-188.61</v>
      </c>
      <c r="J183" s="40" t="n">
        <v>-294.97</v>
      </c>
      <c r="K183" s="41" t="n">
        <f aca="false">H183+I183+J183</f>
        <v>15357.96</v>
      </c>
      <c r="L183" s="42" t="n">
        <f aca="false">IF($K$1282=0,0,K183/$K$1282)</f>
        <v>0.00127222941311406</v>
      </c>
      <c r="M183" s="43" t="n">
        <f aca="false">IF(F183&lt;=0,0,K183/F183)</f>
        <v>99.0836129032258</v>
      </c>
      <c r="N183" s="40" t="n">
        <v>94.99</v>
      </c>
      <c r="O183" s="44" t="n">
        <v>2.83</v>
      </c>
      <c r="P183" s="43" t="n">
        <f aca="false">O183*'Price Groups'!$B$5</f>
        <v>63.675</v>
      </c>
      <c r="Q183" s="45" t="n">
        <f aca="false">IF(OR(N183="",P183=""),"",(N183-P183)/N183)</f>
        <v>0.329666280661122</v>
      </c>
      <c r="R183" s="46" t="n">
        <v>2</v>
      </c>
      <c r="S183" s="47" t="n">
        <f aca="false">IF(R183="-",0,IFERROR(VLOOKUP(R183,'Price Groups'!$A$13:$C$17,3,FALSE()),0))</f>
        <v>0.18</v>
      </c>
      <c r="T183" s="41" t="n">
        <f aca="false">IF(OR(N183="",R183="-"),"",CEILING(ROUND(N183*(1+S183),2),IF(N183*(1+S183)&lt;100,0.5,IF(N183*(1+S183)&lt;1000,1,5))))</f>
        <v>113</v>
      </c>
      <c r="U183" s="45" t="n">
        <f aca="false">IF(OR(T183="",P183=""),"",(T183-P183)/T183)</f>
        <v>0.436504424778761</v>
      </c>
      <c r="V183" s="45" t="n">
        <f aca="false">IF(T183="",0,T183/N183-1)</f>
        <v>0.18959890514791</v>
      </c>
      <c r="W183" s="38" t="s">
        <v>291</v>
      </c>
    </row>
    <row r="184" customFormat="false" ht="15" hidden="false" customHeight="false" outlineLevel="0" collapsed="false">
      <c r="A184" s="19" t="n">
        <v>133</v>
      </c>
      <c r="B184" s="19" t="s">
        <v>292</v>
      </c>
      <c r="C184" s="19" t="s">
        <v>57</v>
      </c>
      <c r="D184" s="19" t="s">
        <v>293</v>
      </c>
      <c r="E184" s="19" t="s">
        <v>58</v>
      </c>
      <c r="F184" s="20" t="n">
        <v>155</v>
      </c>
      <c r="G184" s="20" t="n">
        <v>42</v>
      </c>
      <c r="H184" s="21" t="n">
        <v>32124.9</v>
      </c>
      <c r="I184" s="21" t="n">
        <v>-389.88</v>
      </c>
      <c r="J184" s="21" t="n">
        <v>-10828.77</v>
      </c>
      <c r="K184" s="22" t="n">
        <f aca="false">H184+I184+J184</f>
        <v>20906.25</v>
      </c>
      <c r="L184" s="23" t="n">
        <f aca="false">IF($K$1282=0,0,K184/$K$1282)</f>
        <v>0.00173184108878495</v>
      </c>
      <c r="M184" s="24" t="n">
        <f aca="false">IF(F184&lt;=0,0,K184/F184)</f>
        <v>134.879032258065</v>
      </c>
      <c r="N184" s="21" t="n">
        <v>109.99</v>
      </c>
      <c r="O184" s="49" t="n">
        <v>2.47</v>
      </c>
      <c r="P184" s="24" t="n">
        <f aca="false">O184*'Price Groups'!$B$5</f>
        <v>55.575</v>
      </c>
      <c r="Q184" s="26" t="n">
        <f aca="false">IF(OR(N184="",P184=""),"",(N184-P184)/N184)</f>
        <v>0.49472679334485</v>
      </c>
      <c r="R184" s="27" t="n">
        <v>4</v>
      </c>
      <c r="S184" s="28" t="n">
        <f aca="false">IF(R184="-",0,IFERROR(VLOOKUP(R184,'Price Groups'!$A$13:$C$17,3,FALSE()),0))</f>
        <v>0.15</v>
      </c>
      <c r="T184" s="22" t="n">
        <f aca="false">IF(OR(N184="",R184="-"),"",CEILING(ROUND(N184*(1+S184),2),IF(N184*(1+S184)&lt;100,0.5,IF(N184*(1+S184)&lt;1000,1,5))))</f>
        <v>127</v>
      </c>
      <c r="U184" s="26" t="n">
        <f aca="false">IF(OR(T184="",P184=""),"",(T184-P184)/T184)</f>
        <v>0.56240157480315</v>
      </c>
      <c r="V184" s="26" t="n">
        <f aca="false">IF(T184="",0,T184/N184-1)</f>
        <v>0.154650422765706</v>
      </c>
      <c r="W184" s="19" t="s">
        <v>101</v>
      </c>
    </row>
    <row r="185" customFormat="false" ht="15" hidden="false" customHeight="false" outlineLevel="0" collapsed="false">
      <c r="A185" s="38" t="n">
        <v>134</v>
      </c>
      <c r="B185" s="38" t="s">
        <v>294</v>
      </c>
      <c r="C185" s="38" t="s">
        <v>57</v>
      </c>
      <c r="D185" s="38"/>
      <c r="E185" s="38" t="s">
        <v>58</v>
      </c>
      <c r="F185" s="39" t="n">
        <v>155</v>
      </c>
      <c r="G185" s="39" t="n">
        <v>65</v>
      </c>
      <c r="H185" s="40" t="n">
        <v>4783.71</v>
      </c>
      <c r="I185" s="40" t="n">
        <v>-18.36</v>
      </c>
      <c r="J185" s="40" t="n">
        <v>-211.7</v>
      </c>
      <c r="K185" s="41" t="n">
        <f aca="false">H185+I185+J185</f>
        <v>4553.65</v>
      </c>
      <c r="L185" s="42" t="n">
        <f aca="false">IF($K$1282=0,0,K185/$K$1282)</f>
        <v>0.000377217251967502</v>
      </c>
      <c r="M185" s="43" t="n">
        <f aca="false">IF(F185&lt;=0,0,K185/F185)</f>
        <v>29.3783870967742</v>
      </c>
      <c r="N185" s="40" t="n">
        <v>30.74</v>
      </c>
      <c r="O185" s="44" t="n">
        <v>0.5</v>
      </c>
      <c r="P185" s="43" t="n">
        <f aca="false">O185*'Price Groups'!$B$5</f>
        <v>11.25</v>
      </c>
      <c r="Q185" s="45" t="n">
        <f aca="false">IF(OR(N185="",P185=""),"",(N185-P185)/N185)</f>
        <v>0.634027325959662</v>
      </c>
      <c r="R185" s="46" t="n">
        <v>1</v>
      </c>
      <c r="S185" s="47" t="n">
        <f aca="false">IF(R185="-",0,IFERROR(VLOOKUP(R185,'Price Groups'!$A$13:$C$17,3,FALSE()),0))</f>
        <v>0.22</v>
      </c>
      <c r="T185" s="41" t="n">
        <f aca="false">IF(OR(N185="",R185="-"),"",CEILING(ROUND(N185*(1+S185),2),IF(N185*(1+S185)&lt;100,0.5,IF(N185*(1+S185)&lt;1000,1,5))))</f>
        <v>37.5</v>
      </c>
      <c r="U185" s="45" t="n">
        <f aca="false">IF(OR(T185="",P185=""),"",(T185-P185)/T185)</f>
        <v>0.7</v>
      </c>
      <c r="V185" s="45" t="n">
        <f aca="false">IF(T185="",0,T185/N185-1)</f>
        <v>0.219908913467795</v>
      </c>
      <c r="W185" s="38" t="s">
        <v>94</v>
      </c>
    </row>
    <row r="186" customFormat="false" ht="15" hidden="false" customHeight="false" outlineLevel="0" collapsed="false">
      <c r="A186" s="19" t="n">
        <v>135</v>
      </c>
      <c r="B186" s="19" t="s">
        <v>295</v>
      </c>
      <c r="C186" s="19" t="s">
        <v>57</v>
      </c>
      <c r="D186" s="19"/>
      <c r="E186" s="19" t="s">
        <v>58</v>
      </c>
      <c r="F186" s="20" t="n">
        <v>155</v>
      </c>
      <c r="G186" s="20" t="n">
        <v>76</v>
      </c>
      <c r="H186" s="21" t="n">
        <v>4892.5</v>
      </c>
      <c r="I186" s="21" t="n">
        <v>-22.22</v>
      </c>
      <c r="J186" s="21" t="n">
        <v>-651.55</v>
      </c>
      <c r="K186" s="22" t="n">
        <f aca="false">H186+I186+J186</f>
        <v>4218.73</v>
      </c>
      <c r="L186" s="23" t="n">
        <f aca="false">IF($K$1282=0,0,K186/$K$1282)</f>
        <v>0.000349473002403097</v>
      </c>
      <c r="M186" s="24" t="n">
        <f aca="false">IF(F186&lt;=0,0,K186/F186)</f>
        <v>27.2176129032258</v>
      </c>
      <c r="N186" s="21" t="n">
        <v>29.15</v>
      </c>
      <c r="O186" s="49" t="n">
        <v>0.59</v>
      </c>
      <c r="P186" s="24" t="n">
        <f aca="false">O186*'Price Groups'!$B$5</f>
        <v>13.275</v>
      </c>
      <c r="Q186" s="26" t="n">
        <f aca="false">IF(OR(N186="",P186=""),"",(N186-P186)/N186)</f>
        <v>0.544596912521441</v>
      </c>
      <c r="R186" s="27" t="n">
        <v>1</v>
      </c>
      <c r="S186" s="28" t="n">
        <f aca="false">IF(R186="-",0,IFERROR(VLOOKUP(R186,'Price Groups'!$A$13:$C$17,3,FALSE()),0))</f>
        <v>0.22</v>
      </c>
      <c r="T186" s="22" t="n">
        <f aca="false">IF(OR(N186="",R186="-"),"",CEILING(ROUND(N186*(1+S186),2),IF(N186*(1+S186)&lt;100,0.5,IF(N186*(1+S186)&lt;1000,1,5))))</f>
        <v>36</v>
      </c>
      <c r="U186" s="26" t="n">
        <f aca="false">IF(OR(T186="",P186=""),"",(T186-P186)/T186)</f>
        <v>0.63125</v>
      </c>
      <c r="V186" s="26" t="n">
        <f aca="false">IF(T186="",0,T186/N186-1)</f>
        <v>0.234991423670669</v>
      </c>
      <c r="W186" s="19" t="s">
        <v>94</v>
      </c>
    </row>
    <row r="187" customFormat="false" ht="15" hidden="false" customHeight="false" outlineLevel="0" collapsed="false">
      <c r="A187" s="38" t="n">
        <v>136</v>
      </c>
      <c r="B187" s="38" t="s">
        <v>296</v>
      </c>
      <c r="C187" s="38" t="s">
        <v>57</v>
      </c>
      <c r="D187" s="38" t="s">
        <v>297</v>
      </c>
      <c r="E187" s="38" t="s">
        <v>58</v>
      </c>
      <c r="F187" s="39" t="n">
        <v>154</v>
      </c>
      <c r="G187" s="39" t="n">
        <v>67</v>
      </c>
      <c r="H187" s="40" t="n">
        <v>29068</v>
      </c>
      <c r="I187" s="40" t="n">
        <v>-16.9</v>
      </c>
      <c r="J187" s="40" t="n">
        <v>-3032</v>
      </c>
      <c r="K187" s="41" t="n">
        <f aca="false">H187+I187+J187</f>
        <v>26019.1</v>
      </c>
      <c r="L187" s="42" t="n">
        <f aca="false">IF($K$1282=0,0,K187/$K$1282)</f>
        <v>0.00215538159513086</v>
      </c>
      <c r="M187" s="43" t="n">
        <f aca="false">IF(F187&lt;=0,0,K187/F187)</f>
        <v>168.955194805195</v>
      </c>
      <c r="N187" s="40" t="n">
        <v>169</v>
      </c>
      <c r="O187" s="44" t="n">
        <v>3.57</v>
      </c>
      <c r="P187" s="43" t="n">
        <f aca="false">O187*'Price Groups'!$B$5</f>
        <v>80.325</v>
      </c>
      <c r="Q187" s="45" t="n">
        <f aca="false">IF(OR(N187="",P187=""),"",(N187-P187)/N187)</f>
        <v>0.524704142011834</v>
      </c>
      <c r="R187" s="46" t="n">
        <v>2</v>
      </c>
      <c r="S187" s="47" t="n">
        <f aca="false">IF(R187="-",0,IFERROR(VLOOKUP(R187,'Price Groups'!$A$13:$C$17,3,FALSE()),0))</f>
        <v>0.18</v>
      </c>
      <c r="T187" s="41" t="n">
        <f aca="false">IF(OR(N187="",R187="-"),"",CEILING(ROUND(N187*(1+S187),2),IF(N187*(1+S187)&lt;100,0.5,IF(N187*(1+S187)&lt;1000,1,5))))</f>
        <v>200</v>
      </c>
      <c r="U187" s="45" t="n">
        <f aca="false">IF(OR(T187="",P187=""),"",(T187-P187)/T187)</f>
        <v>0.598375</v>
      </c>
      <c r="V187" s="45" t="n">
        <f aca="false">IF(T187="",0,T187/N187-1)</f>
        <v>0.183431952662722</v>
      </c>
      <c r="W187" s="38" t="s">
        <v>298</v>
      </c>
    </row>
    <row r="188" customFormat="false" ht="15" hidden="false" customHeight="false" outlineLevel="0" collapsed="false">
      <c r="A188" s="19" t="n">
        <v>137</v>
      </c>
      <c r="B188" s="19" t="s">
        <v>299</v>
      </c>
      <c r="C188" s="19" t="s">
        <v>57</v>
      </c>
      <c r="D188" s="19"/>
      <c r="E188" s="19" t="s">
        <v>58</v>
      </c>
      <c r="F188" s="20" t="n">
        <v>150</v>
      </c>
      <c r="G188" s="20" t="n">
        <v>79</v>
      </c>
      <c r="H188" s="21" t="n">
        <v>5937.32</v>
      </c>
      <c r="I188" s="21" t="n">
        <v>-70.64</v>
      </c>
      <c r="J188" s="21" t="n">
        <v>-708.6</v>
      </c>
      <c r="K188" s="22" t="n">
        <f aca="false">H188+I188+J188</f>
        <v>5158.08</v>
      </c>
      <c r="L188" s="23" t="n">
        <f aca="false">IF($K$1282=0,0,K188/$K$1282)</f>
        <v>0.000427287288884419</v>
      </c>
      <c r="M188" s="24" t="n">
        <f aca="false">IF(F188&lt;=0,0,K188/F188)</f>
        <v>34.3872</v>
      </c>
      <c r="N188" s="21" t="n">
        <v>34.99</v>
      </c>
      <c r="O188" s="49" t="n">
        <v>0.83</v>
      </c>
      <c r="P188" s="24" t="n">
        <f aca="false">O188*'Price Groups'!$B$5</f>
        <v>18.675</v>
      </c>
      <c r="Q188" s="26" t="n">
        <f aca="false">IF(OR(N188="",P188=""),"",(N188-P188)/N188)</f>
        <v>0.46627607887968</v>
      </c>
      <c r="R188" s="27" t="n">
        <v>1</v>
      </c>
      <c r="S188" s="28" t="n">
        <f aca="false">IF(R188="-",0,IFERROR(VLOOKUP(R188,'Price Groups'!$A$13:$C$17,3,FALSE()),0))</f>
        <v>0.22</v>
      </c>
      <c r="T188" s="22" t="n">
        <f aca="false">IF(OR(N188="",R188="-"),"",CEILING(ROUND(N188*(1+S188),2),IF(N188*(1+S188)&lt;100,0.5,IF(N188*(1+S188)&lt;1000,1,5))))</f>
        <v>43</v>
      </c>
      <c r="U188" s="26" t="n">
        <f aca="false">IF(OR(T188="",P188=""),"",(T188-P188)/T188)</f>
        <v>0.565697674418605</v>
      </c>
      <c r="V188" s="26" t="n">
        <f aca="false">IF(T188="",0,T188/N188-1)</f>
        <v>0.2289225492998</v>
      </c>
      <c r="W188" s="19" t="s">
        <v>94</v>
      </c>
    </row>
    <row r="189" customFormat="false" ht="15" hidden="false" customHeight="false" outlineLevel="0" collapsed="false">
      <c r="A189" s="38" t="n">
        <v>138</v>
      </c>
      <c r="B189" s="38" t="s">
        <v>300</v>
      </c>
      <c r="C189" s="38" t="s">
        <v>57</v>
      </c>
      <c r="D189" s="38"/>
      <c r="E189" s="38" t="s">
        <v>58</v>
      </c>
      <c r="F189" s="39" t="n">
        <v>150</v>
      </c>
      <c r="G189" s="39" t="n">
        <v>85</v>
      </c>
      <c r="H189" s="40" t="n">
        <v>3539.72</v>
      </c>
      <c r="I189" s="40" t="n">
        <v>-57.87</v>
      </c>
      <c r="J189" s="40" t="n">
        <v>-373.43</v>
      </c>
      <c r="K189" s="41" t="n">
        <f aca="false">H189+I189+J189</f>
        <v>3108.42</v>
      </c>
      <c r="L189" s="42" t="n">
        <f aca="false">IF($K$1282=0,0,K189/$K$1282)</f>
        <v>0.000257496656607518</v>
      </c>
      <c r="M189" s="43" t="n">
        <f aca="false">IF(F189&lt;=0,0,K189/F189)</f>
        <v>20.7228</v>
      </c>
      <c r="N189" s="40" t="n">
        <v>24.99</v>
      </c>
      <c r="O189" s="44" t="n">
        <v>0.32</v>
      </c>
      <c r="P189" s="43" t="n">
        <f aca="false">O189*'Price Groups'!$B$5</f>
        <v>7.2</v>
      </c>
      <c r="Q189" s="45" t="n">
        <f aca="false">IF(OR(N189="",P189=""),"",(N189-P189)/N189)</f>
        <v>0.711884753901561</v>
      </c>
      <c r="R189" s="46" t="n">
        <v>1</v>
      </c>
      <c r="S189" s="47" t="n">
        <f aca="false">IF(R189="-",0,IFERROR(VLOOKUP(R189,'Price Groups'!$A$13:$C$17,3,FALSE()),0))</f>
        <v>0.22</v>
      </c>
      <c r="T189" s="41" t="n">
        <f aca="false">IF(OR(N189="",R189="-"),"",CEILING(ROUND(N189*(1+S189),2),IF(N189*(1+S189)&lt;100,0.5,IF(N189*(1+S189)&lt;1000,1,5))))</f>
        <v>30.5</v>
      </c>
      <c r="U189" s="45" t="n">
        <f aca="false">IF(OR(T189="",P189=""),"",(T189-P189)/T189)</f>
        <v>0.763934426229508</v>
      </c>
      <c r="V189" s="45" t="n">
        <f aca="false">IF(T189="",0,T189/N189-1)</f>
        <v>0.220488195278111</v>
      </c>
      <c r="W189" s="38" t="s">
        <v>94</v>
      </c>
    </row>
    <row r="190" customFormat="false" ht="15" hidden="false" customHeight="false" outlineLevel="0" collapsed="false">
      <c r="A190" s="19" t="n">
        <v>139</v>
      </c>
      <c r="B190" s="19" t="s">
        <v>301</v>
      </c>
      <c r="C190" s="19" t="s">
        <v>57</v>
      </c>
      <c r="D190" s="19" t="s">
        <v>302</v>
      </c>
      <c r="E190" s="19" t="s">
        <v>58</v>
      </c>
      <c r="F190" s="20" t="n">
        <v>145</v>
      </c>
      <c r="G190" s="20" t="n">
        <v>61</v>
      </c>
      <c r="H190" s="21" t="n">
        <v>9687.47</v>
      </c>
      <c r="I190" s="21" t="n">
        <v>-685.2</v>
      </c>
      <c r="J190" s="21" t="n">
        <v>-670.99</v>
      </c>
      <c r="K190" s="22" t="n">
        <f aca="false">H190+I190+J190</f>
        <v>8331.28</v>
      </c>
      <c r="L190" s="23" t="n">
        <f aca="false">IF($K$1282=0,0,K190/$K$1282)</f>
        <v>0.000690150219488062</v>
      </c>
      <c r="M190" s="24" t="n">
        <f aca="false">IF(F190&lt;=0,0,K190/F190)</f>
        <v>57.4571034482759</v>
      </c>
      <c r="N190" s="21" t="n">
        <v>69</v>
      </c>
      <c r="O190" s="49" t="n">
        <v>1.5</v>
      </c>
      <c r="P190" s="24" t="n">
        <f aca="false">O190*'Price Groups'!$B$5</f>
        <v>33.75</v>
      </c>
      <c r="Q190" s="26" t="n">
        <f aca="false">IF(OR(N190="",P190=""),"",(N190-P190)/N190)</f>
        <v>0.510869565217391</v>
      </c>
      <c r="R190" s="27" t="n">
        <v>3</v>
      </c>
      <c r="S190" s="28" t="n">
        <f aca="false">IF(R190="-",0,IFERROR(VLOOKUP(R190,'Price Groups'!$A$13:$C$17,3,FALSE()),0))</f>
        <v>0.16</v>
      </c>
      <c r="T190" s="22" t="n">
        <f aca="false">IF(OR(N190="",R190="-"),"",CEILING(ROUND(N190*(1+S190),2),IF(N190*(1+S190)&lt;100,0.5,IF(N190*(1+S190)&lt;1000,1,5))))</f>
        <v>80.5</v>
      </c>
      <c r="U190" s="26" t="n">
        <f aca="false">IF(OR(T190="",P190=""),"",(T190-P190)/T190)</f>
        <v>0.580745341614907</v>
      </c>
      <c r="V190" s="26" t="n">
        <f aca="false">IF(T190="",0,T190/N190-1)</f>
        <v>0.166666666666667</v>
      </c>
      <c r="W190" s="19" t="s">
        <v>107</v>
      </c>
    </row>
    <row r="191" customFormat="false" ht="15" hidden="false" customHeight="false" outlineLevel="0" collapsed="false">
      <c r="A191" s="38" t="n">
        <v>140</v>
      </c>
      <c r="B191" s="38" t="s">
        <v>303</v>
      </c>
      <c r="C191" s="38" t="s">
        <v>57</v>
      </c>
      <c r="D191" s="38"/>
      <c r="E191" s="38" t="s">
        <v>58</v>
      </c>
      <c r="F191" s="39" t="n">
        <v>145</v>
      </c>
      <c r="G191" s="39" t="n">
        <v>36</v>
      </c>
      <c r="H191" s="40" t="n">
        <v>3168.58</v>
      </c>
      <c r="I191" s="40" t="n">
        <v>-17.99</v>
      </c>
      <c r="J191" s="40" t="n">
        <v>-280.15</v>
      </c>
      <c r="K191" s="41" t="n">
        <f aca="false">H191+I191+J191</f>
        <v>2870.44</v>
      </c>
      <c r="L191" s="42" t="n">
        <f aca="false">IF($K$1282=0,0,K191/$K$1282)</f>
        <v>0.000237782765196622</v>
      </c>
      <c r="M191" s="43" t="n">
        <f aca="false">IF(F191&lt;=0,0,K191/F191)</f>
        <v>19.7961379310345</v>
      </c>
      <c r="N191" s="40" t="n">
        <v>13.78</v>
      </c>
      <c r="O191" s="44" t="n">
        <v>0.43</v>
      </c>
      <c r="P191" s="43" t="n">
        <f aca="false">O191*'Price Groups'!$B$5</f>
        <v>9.675</v>
      </c>
      <c r="Q191" s="45" t="n">
        <f aca="false">IF(OR(N191="",P191=""),"",(N191-P191)/N191)</f>
        <v>0.297895500725689</v>
      </c>
      <c r="R191" s="46" t="n">
        <v>1</v>
      </c>
      <c r="S191" s="47" t="n">
        <f aca="false">IF(R191="-",0,IFERROR(VLOOKUP(R191,'Price Groups'!$A$13:$C$17,3,FALSE()),0))</f>
        <v>0.22</v>
      </c>
      <c r="T191" s="41" t="n">
        <f aca="false">IF(OR(N191="",R191="-"),"",CEILING(ROUND(N191*(1+S191),2),IF(N191*(1+S191)&lt;100,0.5,IF(N191*(1+S191)&lt;1000,1,5))))</f>
        <v>17</v>
      </c>
      <c r="U191" s="45" t="n">
        <f aca="false">IF(OR(T191="",P191=""),"",(T191-P191)/T191)</f>
        <v>0.430882352941176</v>
      </c>
      <c r="V191" s="45" t="n">
        <f aca="false">IF(T191="",0,T191/N191-1)</f>
        <v>0.23367198838897</v>
      </c>
      <c r="W191" s="38" t="s">
        <v>94</v>
      </c>
    </row>
    <row r="192" customFormat="false" ht="15" hidden="false" customHeight="false" outlineLevel="0" collapsed="false">
      <c r="A192" s="19" t="n">
        <v>141</v>
      </c>
      <c r="B192" s="19" t="s">
        <v>304</v>
      </c>
      <c r="C192" s="19" t="s">
        <v>57</v>
      </c>
      <c r="D192" s="19"/>
      <c r="E192" s="19" t="s">
        <v>58</v>
      </c>
      <c r="F192" s="20" t="n">
        <v>145</v>
      </c>
      <c r="G192" s="20" t="n">
        <v>78</v>
      </c>
      <c r="H192" s="21" t="n">
        <v>21904.98</v>
      </c>
      <c r="I192" s="21" t="n">
        <v>-102.11</v>
      </c>
      <c r="J192" s="21" t="n">
        <v>-1160.03</v>
      </c>
      <c r="K192" s="22" t="n">
        <f aca="false">H192+I192+J192</f>
        <v>20642.84</v>
      </c>
      <c r="L192" s="23" t="n">
        <f aca="false">IF($K$1282=0,0,K192/$K$1282)</f>
        <v>0.00171002061590259</v>
      </c>
      <c r="M192" s="24" t="n">
        <f aca="false">IF(F192&lt;=0,0,K192/F192)</f>
        <v>142.364413793103</v>
      </c>
      <c r="N192" s="21" t="n">
        <v>120</v>
      </c>
      <c r="O192" s="49" t="n">
        <v>4.91</v>
      </c>
      <c r="P192" s="24" t="n">
        <f aca="false">O192*'Price Groups'!$B$5</f>
        <v>110.475</v>
      </c>
      <c r="Q192" s="26" t="n">
        <f aca="false">IF(OR(N192="",P192=""),"",(N192-P192)/N192)</f>
        <v>0.0793749999999999</v>
      </c>
      <c r="R192" s="27" t="n">
        <v>1</v>
      </c>
      <c r="S192" s="28" t="n">
        <f aca="false">IF(R192="-",0,IFERROR(VLOOKUP(R192,'Price Groups'!$A$13:$C$17,3,FALSE()),0))</f>
        <v>0.22</v>
      </c>
      <c r="T192" s="22" t="n">
        <f aca="false">IF(OR(N192="",R192="-"),"",CEILING(ROUND(N192*(1+S192),2),IF(N192*(1+S192)&lt;100,0.5,IF(N192*(1+S192)&lt;1000,1,5))))</f>
        <v>147</v>
      </c>
      <c r="U192" s="26" t="n">
        <f aca="false">IF(OR(T192="",P192=""),"",(T192-P192)/T192)</f>
        <v>0.248469387755102</v>
      </c>
      <c r="V192" s="26" t="n">
        <f aca="false">IF(T192="",0,T192/N192-1)</f>
        <v>0.225</v>
      </c>
      <c r="W192" s="19" t="s">
        <v>305</v>
      </c>
    </row>
    <row r="193" customFormat="false" ht="15" hidden="false" customHeight="false" outlineLevel="0" collapsed="false">
      <c r="A193" s="38" t="n">
        <v>142</v>
      </c>
      <c r="B193" s="38" t="s">
        <v>306</v>
      </c>
      <c r="C193" s="38" t="s">
        <v>57</v>
      </c>
      <c r="D193" s="38"/>
      <c r="E193" s="38" t="s">
        <v>58</v>
      </c>
      <c r="F193" s="39" t="n">
        <v>140</v>
      </c>
      <c r="G193" s="39" t="n">
        <v>102</v>
      </c>
      <c r="H193" s="40" t="n">
        <v>97368.7</v>
      </c>
      <c r="I193" s="40" t="n">
        <v>-366.63</v>
      </c>
      <c r="J193" s="40" t="n">
        <v>-6976.13</v>
      </c>
      <c r="K193" s="41" t="n">
        <f aca="false">H193+I193+J193</f>
        <v>90025.94</v>
      </c>
      <c r="L193" s="42" t="n">
        <f aca="false">IF($K$1282=0,0,K193/$K$1282)</f>
        <v>0.00745760822474087</v>
      </c>
      <c r="M193" s="43" t="n">
        <f aca="false">IF(F193&lt;=0,0,K193/F193)</f>
        <v>643.042428571428</v>
      </c>
      <c r="N193" s="40" t="n">
        <v>674.71</v>
      </c>
      <c r="O193" s="44" t="n">
        <v>12.46</v>
      </c>
      <c r="P193" s="43" t="n">
        <f aca="false">O193*'Price Groups'!$B$5</f>
        <v>280.35</v>
      </c>
      <c r="Q193" s="45" t="n">
        <f aca="false">IF(OR(N193="",P193=""),"",(N193-P193)/N193)</f>
        <v>0.584488150464644</v>
      </c>
      <c r="R193" s="46" t="n">
        <v>4</v>
      </c>
      <c r="S193" s="47" t="n">
        <f aca="false">IF(R193="-",0,IFERROR(VLOOKUP(R193,'Price Groups'!$A$13:$C$17,3,FALSE()),0))</f>
        <v>0.15</v>
      </c>
      <c r="T193" s="41" t="n">
        <f aca="false">IF(OR(N193="",R193="-"),"",CEILING(ROUND(N193*(1+S193),2),IF(N193*(1+S193)&lt;100,0.5,IF(N193*(1+S193)&lt;1000,1,5))))</f>
        <v>776</v>
      </c>
      <c r="U193" s="45" t="n">
        <f aca="false">IF(OR(T193="",P193=""),"",(T193-P193)/T193)</f>
        <v>0.638724226804124</v>
      </c>
      <c r="V193" s="45" t="n">
        <f aca="false">IF(T193="",0,T193/N193-1)</f>
        <v>0.150123756873323</v>
      </c>
      <c r="W193" s="38" t="s">
        <v>101</v>
      </c>
    </row>
    <row r="194" customFormat="false" ht="15" hidden="false" customHeight="false" outlineLevel="0" collapsed="false">
      <c r="A194" s="19" t="n">
        <v>143</v>
      </c>
      <c r="B194" s="19" t="s">
        <v>181</v>
      </c>
      <c r="C194" s="19" t="s">
        <v>307</v>
      </c>
      <c r="D194" s="19" t="s">
        <v>180</v>
      </c>
      <c r="E194" s="19" t="s">
        <v>58</v>
      </c>
      <c r="F194" s="20" t="n">
        <v>140</v>
      </c>
      <c r="G194" s="20" t="n">
        <v>88</v>
      </c>
      <c r="H194" s="21" t="n">
        <v>42844.09</v>
      </c>
      <c r="I194" s="21" t="n">
        <v>-138.59</v>
      </c>
      <c r="J194" s="21" t="n">
        <v>-1786.96</v>
      </c>
      <c r="K194" s="22" t="n">
        <f aca="false">H194+I194+J194</f>
        <v>40918.54</v>
      </c>
      <c r="L194" s="23" t="n">
        <f aca="false">IF($K$1282=0,0,K194/$K$1282)</f>
        <v>0.00338962792777713</v>
      </c>
      <c r="M194" s="24" t="n">
        <f aca="false">IF(F194&lt;=0,0,K194/F194)</f>
        <v>292.275285714286</v>
      </c>
      <c r="N194" s="21" t="n">
        <v>300</v>
      </c>
      <c r="O194" s="49" t="n">
        <v>5.65</v>
      </c>
      <c r="P194" s="24" t="n">
        <f aca="false">O194*'Price Groups'!$B$5</f>
        <v>127.125</v>
      </c>
      <c r="Q194" s="26" t="n">
        <f aca="false">IF(OR(N194="",P194=""),"",(N194-P194)/N194)</f>
        <v>0.57625</v>
      </c>
      <c r="R194" s="27" t="n">
        <v>4</v>
      </c>
      <c r="S194" s="28" t="n">
        <f aca="false">IF(R194="-",0,IFERROR(VLOOKUP(R194,'Price Groups'!$A$13:$C$17,3,FALSE()),0))</f>
        <v>0.15</v>
      </c>
      <c r="T194" s="22" t="n">
        <f aca="false">IF(OR(N194="",R194="-"),"",CEILING(ROUND(N194*(1+S194),2),IF(N194*(1+S194)&lt;100,0.5,IF(N194*(1+S194)&lt;1000,1,5))))</f>
        <v>345</v>
      </c>
      <c r="U194" s="26" t="n">
        <f aca="false">IF(OR(T194="",P194=""),"",(T194-P194)/T194)</f>
        <v>0.631521739130435</v>
      </c>
      <c r="V194" s="26" t="n">
        <f aca="false">IF(T194="",0,T194/N194-1)</f>
        <v>0.15</v>
      </c>
      <c r="W194" s="19" t="s">
        <v>308</v>
      </c>
    </row>
    <row r="195" customFormat="false" ht="15" hidden="false" customHeight="false" outlineLevel="0" collapsed="false">
      <c r="A195" s="38" t="n">
        <v>144</v>
      </c>
      <c r="B195" s="38" t="s">
        <v>309</v>
      </c>
      <c r="C195" s="38" t="s">
        <v>57</v>
      </c>
      <c r="D195" s="38"/>
      <c r="E195" s="38" t="s">
        <v>58</v>
      </c>
      <c r="F195" s="39" t="n">
        <v>140</v>
      </c>
      <c r="G195" s="39" t="n">
        <v>93</v>
      </c>
      <c r="H195" s="40" t="n">
        <v>4697.21</v>
      </c>
      <c r="I195" s="40" t="n">
        <v>-37.28</v>
      </c>
      <c r="J195" s="40" t="n">
        <v>-397.51</v>
      </c>
      <c r="K195" s="41" t="n">
        <f aca="false">H195+I195+J195</f>
        <v>4262.42</v>
      </c>
      <c r="L195" s="42" t="n">
        <f aca="false">IF($K$1282=0,0,K195/$K$1282)</f>
        <v>0.000353092213747504</v>
      </c>
      <c r="M195" s="43" t="n">
        <f aca="false">IF(F195&lt;=0,0,K195/F195)</f>
        <v>30.4458571428571</v>
      </c>
      <c r="N195" s="40" t="n">
        <v>31.93</v>
      </c>
      <c r="O195" s="44" t="n">
        <v>0.52</v>
      </c>
      <c r="P195" s="43" t="n">
        <f aca="false">O195*'Price Groups'!$B$5</f>
        <v>11.7</v>
      </c>
      <c r="Q195" s="45" t="n">
        <f aca="false">IF(OR(N195="",P195=""),"",(N195-P195)/N195)</f>
        <v>0.633573441904165</v>
      </c>
      <c r="R195" s="46" t="n">
        <v>1</v>
      </c>
      <c r="S195" s="47" t="n">
        <f aca="false">IF(R195="-",0,IFERROR(VLOOKUP(R195,'Price Groups'!$A$13:$C$17,3,FALSE()),0))</f>
        <v>0.22</v>
      </c>
      <c r="T195" s="41" t="n">
        <f aca="false">IF(OR(N195="",R195="-"),"",CEILING(ROUND(N195*(1+S195),2),IF(N195*(1+S195)&lt;100,0.5,IF(N195*(1+S195)&lt;1000,1,5))))</f>
        <v>39</v>
      </c>
      <c r="U195" s="45" t="n">
        <f aca="false">IF(OR(T195="",P195=""),"",(T195-P195)/T195)</f>
        <v>0.7</v>
      </c>
      <c r="V195" s="45" t="n">
        <f aca="false">IF(T195="",0,T195/N195-1)</f>
        <v>0.221421860319449</v>
      </c>
      <c r="W195" s="38" t="s">
        <v>94</v>
      </c>
    </row>
    <row r="196" customFormat="false" ht="15" hidden="false" customHeight="false" outlineLevel="0" collapsed="false">
      <c r="A196" s="19" t="n">
        <v>145</v>
      </c>
      <c r="B196" s="19" t="s">
        <v>310</v>
      </c>
      <c r="C196" s="19" t="s">
        <v>57</v>
      </c>
      <c r="D196" s="19"/>
      <c r="E196" s="19" t="s">
        <v>58</v>
      </c>
      <c r="F196" s="20" t="n">
        <v>139</v>
      </c>
      <c r="G196" s="20" t="n">
        <v>81</v>
      </c>
      <c r="H196" s="21" t="n">
        <v>6474.8</v>
      </c>
      <c r="I196" s="21" t="n">
        <v>-44.08</v>
      </c>
      <c r="J196" s="21" t="n">
        <v>-853.64</v>
      </c>
      <c r="K196" s="22" t="n">
        <f aca="false">H196+I196+J196</f>
        <v>5577.08</v>
      </c>
      <c r="L196" s="23" t="n">
        <f aca="false">IF($K$1282=0,0,K196/$K$1282)</f>
        <v>0.000461996594293131</v>
      </c>
      <c r="M196" s="24" t="n">
        <f aca="false">IF(F196&lt;=0,0,K196/F196)</f>
        <v>40.1228776978417</v>
      </c>
      <c r="N196" s="21" t="n">
        <v>43.66</v>
      </c>
      <c r="O196" s="49" t="n">
        <v>0.79</v>
      </c>
      <c r="P196" s="24" t="n">
        <f aca="false">O196*'Price Groups'!$B$5</f>
        <v>17.775</v>
      </c>
      <c r="Q196" s="26" t="n">
        <f aca="false">IF(OR(N196="",P196=""),"",(N196-P196)/N196)</f>
        <v>0.592876775080165</v>
      </c>
      <c r="R196" s="27" t="n">
        <v>1</v>
      </c>
      <c r="S196" s="28" t="n">
        <f aca="false">IF(R196="-",0,IFERROR(VLOOKUP(R196,'Price Groups'!$A$13:$C$17,3,FALSE()),0))</f>
        <v>0.22</v>
      </c>
      <c r="T196" s="22" t="n">
        <f aca="false">IF(OR(N196="",R196="-"),"",CEILING(ROUND(N196*(1+S196),2),IF(N196*(1+S196)&lt;100,0.5,IF(N196*(1+S196)&lt;1000,1,5))))</f>
        <v>53.5</v>
      </c>
      <c r="U196" s="26" t="n">
        <f aca="false">IF(OR(T196="",P196=""),"",(T196-P196)/T196)</f>
        <v>0.667757009345794</v>
      </c>
      <c r="V196" s="26" t="n">
        <f aca="false">IF(T196="",0,T196/N196-1)</f>
        <v>0.225377920293175</v>
      </c>
      <c r="W196" s="19" t="s">
        <v>94</v>
      </c>
    </row>
    <row r="197" customFormat="false" ht="15" hidden="false" customHeight="false" outlineLevel="0" collapsed="false">
      <c r="A197" s="38" t="n">
        <v>146</v>
      </c>
      <c r="B197" s="38" t="s">
        <v>311</v>
      </c>
      <c r="C197" s="38" t="s">
        <v>57</v>
      </c>
      <c r="D197" s="38"/>
      <c r="E197" s="38" t="s">
        <v>58</v>
      </c>
      <c r="F197" s="39" t="n">
        <v>138</v>
      </c>
      <c r="G197" s="39" t="n">
        <v>47</v>
      </c>
      <c r="H197" s="40" t="n">
        <v>8141.65</v>
      </c>
      <c r="I197" s="40" t="n">
        <v>-28.66</v>
      </c>
      <c r="J197" s="40" t="n">
        <v>-621.26</v>
      </c>
      <c r="K197" s="41" t="n">
        <f aca="false">H197+I197+J197</f>
        <v>7491.73</v>
      </c>
      <c r="L197" s="42" t="n">
        <f aca="false">IF($K$1282=0,0,K197/$K$1282)</f>
        <v>0.000620603209092156</v>
      </c>
      <c r="M197" s="43" t="n">
        <f aca="false">IF(F197&lt;=0,0,K197/F197)</f>
        <v>54.2878985507246</v>
      </c>
      <c r="N197" s="40" t="n">
        <v>59.99</v>
      </c>
      <c r="O197" s="44" t="n">
        <v>1.19</v>
      </c>
      <c r="P197" s="43" t="n">
        <f aca="false">O197*'Price Groups'!$B$5</f>
        <v>26.775</v>
      </c>
      <c r="Q197" s="45" t="n">
        <f aca="false">IF(OR(N197="",P197=""),"",(N197-P197)/N197)</f>
        <v>0.5536756126021</v>
      </c>
      <c r="R197" s="46" t="n">
        <v>1</v>
      </c>
      <c r="S197" s="47" t="n">
        <f aca="false">IF(R197="-",0,IFERROR(VLOOKUP(R197,'Price Groups'!$A$13:$C$17,3,FALSE()),0))</f>
        <v>0.22</v>
      </c>
      <c r="T197" s="41" t="n">
        <f aca="false">IF(OR(N197="",R197="-"),"",CEILING(ROUND(N197*(1+S197),2),IF(N197*(1+S197)&lt;100,0.5,IF(N197*(1+S197)&lt;1000,1,5))))</f>
        <v>73.5</v>
      </c>
      <c r="U197" s="45" t="n">
        <f aca="false">IF(OR(T197="",P197=""),"",(T197-P197)/T197)</f>
        <v>0.635714285714286</v>
      </c>
      <c r="V197" s="45" t="n">
        <f aca="false">IF(T197="",0,T197/N197-1)</f>
        <v>0.225204200700117</v>
      </c>
      <c r="W197" s="38" t="s">
        <v>94</v>
      </c>
    </row>
    <row r="198" customFormat="false" ht="15" hidden="false" customHeight="false" outlineLevel="0" collapsed="false">
      <c r="A198" s="19" t="n">
        <v>147</v>
      </c>
      <c r="B198" s="19" t="s">
        <v>312</v>
      </c>
      <c r="C198" s="19" t="s">
        <v>57</v>
      </c>
      <c r="D198" s="19"/>
      <c r="E198" s="19" t="s">
        <v>58</v>
      </c>
      <c r="F198" s="20" t="n">
        <v>137</v>
      </c>
      <c r="G198" s="20" t="n">
        <v>119</v>
      </c>
      <c r="H198" s="21" t="n">
        <v>33479.6</v>
      </c>
      <c r="I198" s="21" t="n">
        <v>-269.53</v>
      </c>
      <c r="J198" s="21" t="n">
        <v>-4398.7</v>
      </c>
      <c r="K198" s="22" t="n">
        <f aca="false">H198+I198+J198</f>
        <v>28811.37</v>
      </c>
      <c r="L198" s="23" t="n">
        <f aca="false">IF($K$1282=0,0,K198/$K$1282)</f>
        <v>0.00238668887965016</v>
      </c>
      <c r="M198" s="24" t="n">
        <f aca="false">IF(F198&lt;=0,0,K198/F198)</f>
        <v>210.30197080292</v>
      </c>
      <c r="N198" s="21" t="n">
        <v>228.85</v>
      </c>
      <c r="O198" s="49" t="n">
        <v>6.97</v>
      </c>
      <c r="P198" s="24" t="n">
        <f aca="false">O198*'Price Groups'!$B$5</f>
        <v>156.825</v>
      </c>
      <c r="Q198" s="26" t="n">
        <f aca="false">IF(OR(N198="",P198=""),"",(N198-P198)/N198)</f>
        <v>0.314725802927682</v>
      </c>
      <c r="R198" s="27" t="n">
        <v>2</v>
      </c>
      <c r="S198" s="28" t="n">
        <f aca="false">IF(R198="-",0,IFERROR(VLOOKUP(R198,'Price Groups'!$A$13:$C$17,3,FALSE()),0))</f>
        <v>0.18</v>
      </c>
      <c r="T198" s="22" t="n">
        <f aca="false">IF(OR(N198="",R198="-"),"",CEILING(ROUND(N198*(1+S198),2),IF(N198*(1+S198)&lt;100,0.5,IF(N198*(1+S198)&lt;1000,1,5))))</f>
        <v>271</v>
      </c>
      <c r="U198" s="26" t="n">
        <f aca="false">IF(OR(T198="",P198=""),"",(T198-P198)/T198)</f>
        <v>0.421309963099631</v>
      </c>
      <c r="V198" s="26" t="n">
        <f aca="false">IF(T198="",0,T198/N198-1)</f>
        <v>0.184181778457505</v>
      </c>
      <c r="W198" s="19" t="s">
        <v>313</v>
      </c>
    </row>
    <row r="199" customFormat="false" ht="15" hidden="false" customHeight="false" outlineLevel="0" collapsed="false">
      <c r="A199" s="38" t="n">
        <v>148</v>
      </c>
      <c r="B199" s="38" t="s">
        <v>314</v>
      </c>
      <c r="C199" s="38" t="s">
        <v>57</v>
      </c>
      <c r="D199" s="38"/>
      <c r="E199" s="38" t="s">
        <v>58</v>
      </c>
      <c r="F199" s="39" t="n">
        <v>137</v>
      </c>
      <c r="G199" s="39" t="n">
        <v>41</v>
      </c>
      <c r="H199" s="40" t="n">
        <v>1988.41</v>
      </c>
      <c r="I199" s="40" t="n">
        <v>-21.04</v>
      </c>
      <c r="J199" s="40" t="n">
        <v>-52.16</v>
      </c>
      <c r="K199" s="41" t="n">
        <f aca="false">H199+I199+J199</f>
        <v>1915.21</v>
      </c>
      <c r="L199" s="42" t="n">
        <f aca="false">IF($K$1282=0,0,K199/$K$1282)</f>
        <v>0.000158653004324153</v>
      </c>
      <c r="M199" s="43" t="n">
        <f aca="false">IF(F199&lt;=0,0,K199/F199)</f>
        <v>13.9796350364964</v>
      </c>
      <c r="N199" s="40" t="n">
        <v>14</v>
      </c>
      <c r="O199" s="44" t="n">
        <v>0.46</v>
      </c>
      <c r="P199" s="43" t="n">
        <f aca="false">O199*'Price Groups'!$B$5</f>
        <v>10.35</v>
      </c>
      <c r="Q199" s="45" t="n">
        <f aca="false">IF(OR(N199="",P199=""),"",(N199-P199)/N199)</f>
        <v>0.260714285714286</v>
      </c>
      <c r="R199" s="46" t="n">
        <v>1</v>
      </c>
      <c r="S199" s="47" t="n">
        <f aca="false">IF(R199="-",0,IFERROR(VLOOKUP(R199,'Price Groups'!$A$13:$C$17,3,FALSE()),0))</f>
        <v>0.22</v>
      </c>
      <c r="T199" s="41" t="n">
        <f aca="false">IF(OR(N199="",R199="-"),"",CEILING(ROUND(N199*(1+S199),2),IF(N199*(1+S199)&lt;100,0.5,IF(N199*(1+S199)&lt;1000,1,5))))</f>
        <v>17.5</v>
      </c>
      <c r="U199" s="45" t="n">
        <f aca="false">IF(OR(T199="",P199=""),"",(T199-P199)/T199)</f>
        <v>0.408571428571429</v>
      </c>
      <c r="V199" s="45" t="n">
        <f aca="false">IF(T199="",0,T199/N199-1)</f>
        <v>0.25</v>
      </c>
      <c r="W199" s="38" t="s">
        <v>94</v>
      </c>
    </row>
    <row r="200" customFormat="false" ht="15" hidden="false" customHeight="false" outlineLevel="0" collapsed="false">
      <c r="A200" s="19" t="n">
        <v>149</v>
      </c>
      <c r="B200" s="19" t="s">
        <v>315</v>
      </c>
      <c r="C200" s="19" t="s">
        <v>57</v>
      </c>
      <c r="D200" s="19"/>
      <c r="E200" s="19" t="s">
        <v>58</v>
      </c>
      <c r="F200" s="20" t="n">
        <v>136</v>
      </c>
      <c r="G200" s="20" t="n">
        <v>85</v>
      </c>
      <c r="H200" s="21" t="n">
        <v>73800.11</v>
      </c>
      <c r="I200" s="21" t="n">
        <v>-239.95</v>
      </c>
      <c r="J200" s="21" t="n">
        <v>-6362.67</v>
      </c>
      <c r="K200" s="22" t="n">
        <f aca="false">H200+I200+J200</f>
        <v>67197.49</v>
      </c>
      <c r="L200" s="23" t="n">
        <f aca="false">IF($K$1282=0,0,K200/$K$1282)</f>
        <v>0.00556653509095203</v>
      </c>
      <c r="M200" s="24" t="n">
        <f aca="false">IF(F200&lt;=0,0,K200/F200)</f>
        <v>494.099191176471</v>
      </c>
      <c r="N200" s="21" t="n">
        <v>549.99</v>
      </c>
      <c r="O200" s="49" t="n">
        <v>12.17</v>
      </c>
      <c r="P200" s="24" t="n">
        <f aca="false">O200*'Price Groups'!$B$5</f>
        <v>273.825</v>
      </c>
      <c r="Q200" s="26" t="n">
        <f aca="false">IF(OR(N200="",P200=""),"",(N200-P200)/N200)</f>
        <v>0.502127311405662</v>
      </c>
      <c r="R200" s="27" t="n">
        <v>4</v>
      </c>
      <c r="S200" s="28" t="n">
        <f aca="false">IF(R200="-",0,IFERROR(VLOOKUP(R200,'Price Groups'!$A$13:$C$17,3,FALSE()),0))</f>
        <v>0.15</v>
      </c>
      <c r="T200" s="22" t="n">
        <f aca="false">IF(OR(N200="",R200="-"),"",CEILING(ROUND(N200*(1+S200),2),IF(N200*(1+S200)&lt;100,0.5,IF(N200*(1+S200)&lt;1000,1,5))))</f>
        <v>633</v>
      </c>
      <c r="U200" s="26" t="n">
        <f aca="false">IF(OR(T200="",P200=""),"",(T200-P200)/T200)</f>
        <v>0.567417061611374</v>
      </c>
      <c r="V200" s="26" t="n">
        <f aca="false">IF(T200="",0,T200/N200-1)</f>
        <v>0.150930016909398</v>
      </c>
      <c r="W200" s="19" t="s">
        <v>101</v>
      </c>
    </row>
    <row r="201" customFormat="false" ht="15" hidden="false" customHeight="false" outlineLevel="0" collapsed="false">
      <c r="A201" s="38" t="n">
        <v>150</v>
      </c>
      <c r="B201" s="38" t="s">
        <v>316</v>
      </c>
      <c r="C201" s="38" t="s">
        <v>57</v>
      </c>
      <c r="D201" s="38"/>
      <c r="E201" s="38" t="s">
        <v>58</v>
      </c>
      <c r="F201" s="39" t="n">
        <v>136</v>
      </c>
      <c r="G201" s="39" t="n">
        <v>98</v>
      </c>
      <c r="H201" s="40" t="n">
        <v>54815.64</v>
      </c>
      <c r="I201" s="40" t="n">
        <v>-103.87</v>
      </c>
      <c r="J201" s="40" t="n">
        <v>-5482.16</v>
      </c>
      <c r="K201" s="41" t="n">
        <f aca="false">H201+I201+J201</f>
        <v>49229.61</v>
      </c>
      <c r="L201" s="42" t="n">
        <f aca="false">IF($K$1282=0,0,K201/$K$1282)</f>
        <v>0.00407810398243868</v>
      </c>
      <c r="M201" s="43" t="n">
        <f aca="false">IF(F201&lt;=0,0,K201/F201)</f>
        <v>361.982426470588</v>
      </c>
      <c r="N201" s="40" t="n">
        <v>395.52</v>
      </c>
      <c r="O201" s="44" t="n">
        <v>5.41</v>
      </c>
      <c r="P201" s="43" t="n">
        <f aca="false">O201*'Price Groups'!$B$5</f>
        <v>121.725</v>
      </c>
      <c r="Q201" s="45" t="n">
        <f aca="false">IF(OR(N201="",P201=""),"",(N201-P201)/N201)</f>
        <v>0.692240594660194</v>
      </c>
      <c r="R201" s="46" t="n">
        <v>4</v>
      </c>
      <c r="S201" s="47" t="n">
        <f aca="false">IF(R201="-",0,IFERROR(VLOOKUP(R201,'Price Groups'!$A$13:$C$17,3,FALSE()),0))</f>
        <v>0.15</v>
      </c>
      <c r="T201" s="41" t="n">
        <f aca="false">IF(OR(N201="",R201="-"),"",CEILING(ROUND(N201*(1+S201),2),IF(N201*(1+S201)&lt;100,0.5,IF(N201*(1+S201)&lt;1000,1,5))))</f>
        <v>455</v>
      </c>
      <c r="U201" s="45" t="n">
        <f aca="false">IF(OR(T201="",P201=""),"",(T201-P201)/T201)</f>
        <v>0.732472527472527</v>
      </c>
      <c r="V201" s="45" t="n">
        <f aca="false">IF(T201="",0,T201/N201-1)</f>
        <v>0.15038430420712</v>
      </c>
      <c r="W201" s="38" t="s">
        <v>101</v>
      </c>
    </row>
    <row r="202" customFormat="false" ht="15" hidden="false" customHeight="false" outlineLevel="0" collapsed="false">
      <c r="A202" s="19" t="n">
        <v>151</v>
      </c>
      <c r="B202" s="19" t="s">
        <v>317</v>
      </c>
      <c r="C202" s="19" t="s">
        <v>57</v>
      </c>
      <c r="D202" s="19"/>
      <c r="E202" s="19" t="s">
        <v>58</v>
      </c>
      <c r="F202" s="20" t="n">
        <v>136</v>
      </c>
      <c r="G202" s="20" t="n">
        <v>145</v>
      </c>
      <c r="H202" s="21" t="n">
        <v>50982.67</v>
      </c>
      <c r="I202" s="21" t="n">
        <v>-44.99</v>
      </c>
      <c r="J202" s="21" t="n">
        <v>-10879.43</v>
      </c>
      <c r="K202" s="22" t="n">
        <f aca="false">H202+I202+J202</f>
        <v>40058.25</v>
      </c>
      <c r="L202" s="23" t="n">
        <f aca="false">IF($K$1282=0,0,K202/$K$1282)</f>
        <v>0.00331836284818271</v>
      </c>
      <c r="M202" s="24" t="n">
        <f aca="false">IF(F202&lt;=0,0,K202/F202)</f>
        <v>294.545955882353</v>
      </c>
      <c r="N202" s="21" t="n">
        <v>299.99</v>
      </c>
      <c r="O202" s="49" t="n">
        <v>5.67</v>
      </c>
      <c r="P202" s="24" t="n">
        <f aca="false">O202*'Price Groups'!$B$5</f>
        <v>127.575</v>
      </c>
      <c r="Q202" s="26" t="n">
        <f aca="false">IF(OR(N202="",P202=""),"",(N202-P202)/N202)</f>
        <v>0.574735824527484</v>
      </c>
      <c r="R202" s="27" t="n">
        <v>4</v>
      </c>
      <c r="S202" s="28" t="n">
        <f aca="false">IF(R202="-",0,IFERROR(VLOOKUP(R202,'Price Groups'!$A$13:$C$17,3,FALSE()),0))</f>
        <v>0.15</v>
      </c>
      <c r="T202" s="22" t="n">
        <f aca="false">IF(OR(N202="",R202="-"),"",CEILING(ROUND(N202*(1+S202),2),IF(N202*(1+S202)&lt;100,0.5,IF(N202*(1+S202)&lt;1000,1,5))))</f>
        <v>345</v>
      </c>
      <c r="U202" s="26" t="n">
        <f aca="false">IF(OR(T202="",P202=""),"",(T202-P202)/T202)</f>
        <v>0.630217391304348</v>
      </c>
      <c r="V202" s="26" t="n">
        <f aca="false">IF(T202="",0,T202/N202-1)</f>
        <v>0.150038334611154</v>
      </c>
      <c r="W202" s="19" t="s">
        <v>101</v>
      </c>
    </row>
    <row r="203" customFormat="false" ht="15" hidden="false" customHeight="false" outlineLevel="0" collapsed="false">
      <c r="A203" s="38" t="n">
        <v>152</v>
      </c>
      <c r="B203" s="38" t="s">
        <v>318</v>
      </c>
      <c r="C203" s="38" t="s">
        <v>57</v>
      </c>
      <c r="D203" s="38"/>
      <c r="E203" s="38" t="s">
        <v>58</v>
      </c>
      <c r="F203" s="39" t="n">
        <v>136</v>
      </c>
      <c r="G203" s="39" t="n">
        <v>82</v>
      </c>
      <c r="H203" s="40" t="n">
        <v>25379.6</v>
      </c>
      <c r="I203" s="40" t="n">
        <v>-324.09</v>
      </c>
      <c r="J203" s="40" t="n">
        <v>-729.74</v>
      </c>
      <c r="K203" s="41" t="n">
        <f aca="false">H203+I203+J203</f>
        <v>24325.77</v>
      </c>
      <c r="L203" s="42" t="n">
        <f aca="false">IF($K$1282=0,0,K203/$K$1282)</f>
        <v>0.00201510878337016</v>
      </c>
      <c r="M203" s="43" t="n">
        <f aca="false">IF(F203&lt;=0,0,K203/F203)</f>
        <v>178.865955882353</v>
      </c>
      <c r="N203" s="40" t="n">
        <v>195.49</v>
      </c>
      <c r="O203" s="44" t="n">
        <v>5.2</v>
      </c>
      <c r="P203" s="43" t="n">
        <f aca="false">O203*'Price Groups'!$B$5</f>
        <v>117</v>
      </c>
      <c r="Q203" s="45" t="n">
        <f aca="false">IF(OR(N203="",P203=""),"",(N203-P203)/N203)</f>
        <v>0.401503913243644</v>
      </c>
      <c r="R203" s="46" t="n">
        <v>3</v>
      </c>
      <c r="S203" s="47" t="n">
        <f aca="false">IF(R203="-",0,IFERROR(VLOOKUP(R203,'Price Groups'!$A$13:$C$17,3,FALSE()),0))</f>
        <v>0.16</v>
      </c>
      <c r="T203" s="41" t="n">
        <f aca="false">IF(OR(N203="",R203="-"),"",CEILING(ROUND(N203*(1+S203),2),IF(N203*(1+S203)&lt;100,0.5,IF(N203*(1+S203)&lt;1000,1,5))))</f>
        <v>227</v>
      </c>
      <c r="U203" s="45" t="n">
        <f aca="false">IF(OR(T203="",P203=""),"",(T203-P203)/T203)</f>
        <v>0.484581497797357</v>
      </c>
      <c r="V203" s="45" t="n">
        <f aca="false">IF(T203="",0,T203/N203-1)</f>
        <v>0.161184715330707</v>
      </c>
      <c r="W203" s="38" t="s">
        <v>107</v>
      </c>
    </row>
    <row r="204" customFormat="false" ht="15" hidden="false" customHeight="false" outlineLevel="0" collapsed="false">
      <c r="A204" s="19" t="n">
        <v>153</v>
      </c>
      <c r="B204" s="19" t="s">
        <v>319</v>
      </c>
      <c r="C204" s="19" t="s">
        <v>57</v>
      </c>
      <c r="D204" s="19"/>
      <c r="E204" s="19" t="s">
        <v>58</v>
      </c>
      <c r="F204" s="20" t="n">
        <v>135</v>
      </c>
      <c r="G204" s="20" t="n">
        <v>80</v>
      </c>
      <c r="H204" s="21" t="n">
        <v>2680.46</v>
      </c>
      <c r="I204" s="21" t="n">
        <v>-30.69</v>
      </c>
      <c r="J204" s="21" t="n">
        <v>-266.2</v>
      </c>
      <c r="K204" s="22" t="n">
        <f aca="false">H204+I204+J204</f>
        <v>2383.57</v>
      </c>
      <c r="L204" s="23" t="n">
        <f aca="false">IF($K$1282=0,0,K204/$K$1282)</f>
        <v>0.0001974512150192</v>
      </c>
      <c r="M204" s="24" t="n">
        <f aca="false">IF(F204&lt;=0,0,K204/F204)</f>
        <v>17.6560740740741</v>
      </c>
      <c r="N204" s="21" t="n">
        <v>17</v>
      </c>
      <c r="O204" s="49" t="n">
        <v>0.38</v>
      </c>
      <c r="P204" s="24" t="n">
        <f aca="false">O204*'Price Groups'!$B$5</f>
        <v>8.55</v>
      </c>
      <c r="Q204" s="26" t="n">
        <f aca="false">IF(OR(N204="",P204=""),"",(N204-P204)/N204)</f>
        <v>0.497058823529412</v>
      </c>
      <c r="R204" s="27" t="n">
        <v>1</v>
      </c>
      <c r="S204" s="28" t="n">
        <f aca="false">IF(R204="-",0,IFERROR(VLOOKUP(R204,'Price Groups'!$A$13:$C$17,3,FALSE()),0))</f>
        <v>0.22</v>
      </c>
      <c r="T204" s="22" t="n">
        <f aca="false">IF(OR(N204="",R204="-"),"",CEILING(ROUND(N204*(1+S204),2),IF(N204*(1+S204)&lt;100,0.5,IF(N204*(1+S204)&lt;1000,1,5))))</f>
        <v>21</v>
      </c>
      <c r="U204" s="26" t="n">
        <f aca="false">IF(OR(T204="",P204=""),"",(T204-P204)/T204)</f>
        <v>0.592857142857143</v>
      </c>
      <c r="V204" s="26" t="n">
        <f aca="false">IF(T204="",0,T204/N204-1)</f>
        <v>0.235294117647059</v>
      </c>
      <c r="W204" s="19" t="s">
        <v>94</v>
      </c>
    </row>
    <row r="205" customFormat="false" ht="15" hidden="false" customHeight="false" outlineLevel="0" collapsed="false">
      <c r="A205" s="38" t="n">
        <v>154</v>
      </c>
      <c r="B205" s="38" t="s">
        <v>320</v>
      </c>
      <c r="C205" s="38" t="s">
        <v>57</v>
      </c>
      <c r="D205" s="38"/>
      <c r="E205" s="38" t="s">
        <v>58</v>
      </c>
      <c r="F205" s="39" t="n">
        <v>135</v>
      </c>
      <c r="G205" s="39" t="n">
        <v>30</v>
      </c>
      <c r="H205" s="40" t="n">
        <v>11263.49</v>
      </c>
      <c r="I205" s="40" t="n">
        <v>-19.98</v>
      </c>
      <c r="J205" s="40" t="n">
        <v>-91.64</v>
      </c>
      <c r="K205" s="41" t="n">
        <f aca="false">H205+I205+J205</f>
        <v>11151.87</v>
      </c>
      <c r="L205" s="42" t="n">
        <f aca="false">IF($K$1282=0,0,K205/$K$1282)</f>
        <v>0.000923803488563862</v>
      </c>
      <c r="M205" s="43" t="n">
        <f aca="false">IF(F205&lt;=0,0,K205/F205)</f>
        <v>82.6064444444445</v>
      </c>
      <c r="N205" s="40" t="n">
        <v>89.99</v>
      </c>
      <c r="O205" s="44" t="n">
        <v>1.43</v>
      </c>
      <c r="P205" s="43" t="n">
        <f aca="false">O205*'Price Groups'!$B$5</f>
        <v>32.175</v>
      </c>
      <c r="Q205" s="45" t="n">
        <f aca="false">IF(OR(N205="",P205=""),"",(N205-P205)/N205)</f>
        <v>0.642460273363707</v>
      </c>
      <c r="R205" s="46" t="n">
        <v>3</v>
      </c>
      <c r="S205" s="47" t="n">
        <f aca="false">IF(R205="-",0,IFERROR(VLOOKUP(R205,'Price Groups'!$A$13:$C$17,3,FALSE()),0))</f>
        <v>0.16</v>
      </c>
      <c r="T205" s="41" t="n">
        <f aca="false">IF(OR(N205="",R205="-"),"",CEILING(ROUND(N205*(1+S205),2),IF(N205*(1+S205)&lt;100,0.5,IF(N205*(1+S205)&lt;1000,1,5))))</f>
        <v>105</v>
      </c>
      <c r="U205" s="45" t="n">
        <f aca="false">IF(OR(T205="",P205=""),"",(T205-P205)/T205)</f>
        <v>0.693571428571429</v>
      </c>
      <c r="V205" s="45" t="n">
        <f aca="false">IF(T205="",0,T205/N205-1)</f>
        <v>0.166796310701189</v>
      </c>
      <c r="W205" s="38" t="s">
        <v>107</v>
      </c>
    </row>
    <row r="206" customFormat="false" ht="15" hidden="false" customHeight="false" outlineLevel="0" collapsed="false">
      <c r="A206" s="19" t="n">
        <v>155</v>
      </c>
      <c r="B206" s="19" t="s">
        <v>321</v>
      </c>
      <c r="C206" s="19" t="s">
        <v>57</v>
      </c>
      <c r="D206" s="19" t="s">
        <v>322</v>
      </c>
      <c r="E206" s="19" t="s">
        <v>58</v>
      </c>
      <c r="F206" s="20" t="n">
        <v>134</v>
      </c>
      <c r="G206" s="20" t="n">
        <v>43</v>
      </c>
      <c r="H206" s="21" t="n">
        <v>7975.52</v>
      </c>
      <c r="I206" s="21" t="n">
        <v>-753.23</v>
      </c>
      <c r="J206" s="21" t="n">
        <v>-295.12</v>
      </c>
      <c r="K206" s="22" t="n">
        <f aca="false">H206+I206+J206</f>
        <v>6927.17</v>
      </c>
      <c r="L206" s="23" t="n">
        <f aca="false">IF($K$1282=0,0,K206/$K$1282)</f>
        <v>0.00057383594068752</v>
      </c>
      <c r="M206" s="24" t="n">
        <f aca="false">IF(F206&lt;=0,0,K206/F206)</f>
        <v>51.6952985074627</v>
      </c>
      <c r="N206" s="21" t="n">
        <v>61.04</v>
      </c>
      <c r="O206" s="49" t="n">
        <v>1.12</v>
      </c>
      <c r="P206" s="24" t="n">
        <f aca="false">O206*'Price Groups'!$B$5</f>
        <v>25.2</v>
      </c>
      <c r="Q206" s="26" t="n">
        <f aca="false">IF(OR(N206="",P206=""),"",(N206-P206)/N206)</f>
        <v>0.587155963302752</v>
      </c>
      <c r="R206" s="27" t="n">
        <v>3</v>
      </c>
      <c r="S206" s="28" t="n">
        <f aca="false">IF(R206="-",0,IFERROR(VLOOKUP(R206,'Price Groups'!$A$13:$C$17,3,FALSE()),0))</f>
        <v>0.16</v>
      </c>
      <c r="T206" s="22" t="n">
        <f aca="false">IF(OR(N206="",R206="-"),"",CEILING(ROUND(N206*(1+S206),2),IF(N206*(1+S206)&lt;100,0.5,IF(N206*(1+S206)&lt;1000,1,5))))</f>
        <v>71</v>
      </c>
      <c r="U206" s="26" t="n">
        <f aca="false">IF(OR(T206="",P206=""),"",(T206-P206)/T206)</f>
        <v>0.645070422535211</v>
      </c>
      <c r="V206" s="26" t="n">
        <f aca="false">IF(T206="",0,T206/N206-1)</f>
        <v>0.163171690694627</v>
      </c>
      <c r="W206" s="19" t="s">
        <v>107</v>
      </c>
    </row>
    <row r="207" customFormat="false" ht="15" hidden="false" customHeight="false" outlineLevel="0" collapsed="false">
      <c r="A207" s="38" t="n">
        <v>156</v>
      </c>
      <c r="B207" s="38" t="s">
        <v>323</v>
      </c>
      <c r="C207" s="38" t="s">
        <v>57</v>
      </c>
      <c r="D207" s="38" t="s">
        <v>324</v>
      </c>
      <c r="E207" s="38" t="s">
        <v>58</v>
      </c>
      <c r="F207" s="39" t="n">
        <v>133</v>
      </c>
      <c r="G207" s="39" t="n">
        <v>38</v>
      </c>
      <c r="H207" s="40" t="n">
        <v>6626.76</v>
      </c>
      <c r="I207" s="40" t="n">
        <v>-148.84</v>
      </c>
      <c r="J207" s="40" t="n">
        <v>-304.91</v>
      </c>
      <c r="K207" s="41" t="n">
        <f aca="false">H207+I207+J207</f>
        <v>6173.01</v>
      </c>
      <c r="L207" s="42" t="n">
        <f aca="false">IF($K$1282=0,0,K207/$K$1282)</f>
        <v>0.000511362504489346</v>
      </c>
      <c r="M207" s="43" t="n">
        <f aca="false">IF(F207&lt;=0,0,K207/F207)</f>
        <v>46.4136090225564</v>
      </c>
      <c r="N207" s="40" t="n">
        <v>59.99</v>
      </c>
      <c r="O207" s="44" t="n">
        <v>1.19</v>
      </c>
      <c r="P207" s="43" t="n">
        <f aca="false">O207*'Price Groups'!$B$5</f>
        <v>26.775</v>
      </c>
      <c r="Q207" s="45" t="n">
        <f aca="false">IF(OR(N207="",P207=""),"",(N207-P207)/N207)</f>
        <v>0.5536756126021</v>
      </c>
      <c r="R207" s="46" t="n">
        <v>3</v>
      </c>
      <c r="S207" s="47" t="n">
        <f aca="false">IF(R207="-",0,IFERROR(VLOOKUP(R207,'Price Groups'!$A$13:$C$17,3,FALSE()),0))</f>
        <v>0.16</v>
      </c>
      <c r="T207" s="41" t="n">
        <f aca="false">IF(OR(N207="",R207="-"),"",CEILING(ROUND(N207*(1+S207),2),IF(N207*(1+S207)&lt;100,0.5,IF(N207*(1+S207)&lt;1000,1,5))))</f>
        <v>70</v>
      </c>
      <c r="U207" s="45" t="n">
        <f aca="false">IF(OR(T207="",P207=""),"",(T207-P207)/T207)</f>
        <v>0.6175</v>
      </c>
      <c r="V207" s="45" t="n">
        <f aca="false">IF(T207="",0,T207/N207-1)</f>
        <v>0.166861143523921</v>
      </c>
      <c r="W207" s="38" t="s">
        <v>107</v>
      </c>
    </row>
    <row r="208" customFormat="false" ht="15" hidden="false" customHeight="false" outlineLevel="0" collapsed="false">
      <c r="A208" s="19" t="n">
        <v>157</v>
      </c>
      <c r="B208" s="19" t="s">
        <v>325</v>
      </c>
      <c r="C208" s="19" t="s">
        <v>57</v>
      </c>
      <c r="D208" s="19"/>
      <c r="E208" s="19" t="s">
        <v>58</v>
      </c>
      <c r="F208" s="20" t="n">
        <v>133</v>
      </c>
      <c r="G208" s="20" t="n">
        <v>80</v>
      </c>
      <c r="H208" s="21" t="n">
        <v>13761</v>
      </c>
      <c r="I208" s="21" t="n">
        <v>-146.17</v>
      </c>
      <c r="J208" s="21" t="n">
        <v>-584.1</v>
      </c>
      <c r="K208" s="22" t="n">
        <f aca="false">H208+I208+J208</f>
        <v>13030.73</v>
      </c>
      <c r="L208" s="23" t="n">
        <f aca="false">IF($K$1282=0,0,K208/$K$1282)</f>
        <v>0.00107944531567654</v>
      </c>
      <c r="M208" s="24" t="n">
        <f aca="false">IF(F208&lt;=0,0,K208/F208)</f>
        <v>97.9754135338346</v>
      </c>
      <c r="N208" s="21" t="n">
        <v>99</v>
      </c>
      <c r="O208" s="49" t="n">
        <v>5</v>
      </c>
      <c r="P208" s="24" t="n">
        <f aca="false">O208*'Price Groups'!$B$5</f>
        <v>112.5</v>
      </c>
      <c r="Q208" s="26" t="n">
        <f aca="false">IF(OR(N208="",P208=""),"",(N208-P208)/N208)</f>
        <v>-0.136363636363636</v>
      </c>
      <c r="R208" s="27" t="n">
        <v>1</v>
      </c>
      <c r="S208" s="28" t="n">
        <f aca="false">IF(R208="-",0,IFERROR(VLOOKUP(R208,'Price Groups'!$A$13:$C$17,3,FALSE()),0))</f>
        <v>0.22</v>
      </c>
      <c r="T208" s="22" t="n">
        <f aca="false">IF(OR(N208="",R208="-"),"",CEILING(ROUND(N208*(1+S208),2),IF(N208*(1+S208)&lt;100,0.5,IF(N208*(1+S208)&lt;1000,1,5))))</f>
        <v>121</v>
      </c>
      <c r="U208" s="26" t="n">
        <f aca="false">IF(OR(T208="",P208=""),"",(T208-P208)/T208)</f>
        <v>0.0702479338842975</v>
      </c>
      <c r="V208" s="26" t="n">
        <f aca="false">IF(T208="",0,T208/N208-1)</f>
        <v>0.222222222222222</v>
      </c>
      <c r="W208" s="19" t="s">
        <v>326</v>
      </c>
    </row>
    <row r="209" customFormat="false" ht="15" hidden="false" customHeight="false" outlineLevel="0" collapsed="false">
      <c r="A209" s="38" t="n">
        <v>158</v>
      </c>
      <c r="B209" s="38" t="s">
        <v>327</v>
      </c>
      <c r="C209" s="38" t="s">
        <v>57</v>
      </c>
      <c r="D209" s="38"/>
      <c r="E209" s="38" t="s">
        <v>58</v>
      </c>
      <c r="F209" s="39" t="n">
        <v>132</v>
      </c>
      <c r="G209" s="39" t="n">
        <v>67</v>
      </c>
      <c r="H209" s="40" t="n">
        <v>3413.66</v>
      </c>
      <c r="I209" s="40" t="n">
        <v>-2.55</v>
      </c>
      <c r="J209" s="40" t="n">
        <v>-305.9</v>
      </c>
      <c r="K209" s="41" t="n">
        <f aca="false">H209+I209+J209</f>
        <v>3105.21</v>
      </c>
      <c r="L209" s="42" t="n">
        <f aca="false">IF($K$1282=0,0,K209/$K$1282)</f>
        <v>0.000257230745222406</v>
      </c>
      <c r="M209" s="43" t="n">
        <f aca="false">IF(F209&lt;=0,0,K209/F209)</f>
        <v>23.5243181818182</v>
      </c>
      <c r="N209" s="40" t="n">
        <v>24.38</v>
      </c>
      <c r="O209" s="44" t="n">
        <v>0.41</v>
      </c>
      <c r="P209" s="43" t="n">
        <f aca="false">O209*'Price Groups'!$B$5</f>
        <v>9.225</v>
      </c>
      <c r="Q209" s="45" t="n">
        <f aca="false">IF(OR(N209="",P209=""),"",(N209-P209)/N209)</f>
        <v>0.621616078753076</v>
      </c>
      <c r="R209" s="46" t="n">
        <v>1</v>
      </c>
      <c r="S209" s="47" t="n">
        <f aca="false">IF(R209="-",0,IFERROR(VLOOKUP(R209,'Price Groups'!$A$13:$C$17,3,FALSE()),0))</f>
        <v>0.22</v>
      </c>
      <c r="T209" s="41" t="n">
        <f aca="false">IF(OR(N209="",R209="-"),"",CEILING(ROUND(N209*(1+S209),2),IF(N209*(1+S209)&lt;100,0.5,IF(N209*(1+S209)&lt;1000,1,5))))</f>
        <v>30</v>
      </c>
      <c r="U209" s="45" t="n">
        <f aca="false">IF(OR(T209="",P209=""),"",(T209-P209)/T209)</f>
        <v>0.6925</v>
      </c>
      <c r="V209" s="45" t="n">
        <f aca="false">IF(T209="",0,T209/N209-1)</f>
        <v>0.230516817063167</v>
      </c>
      <c r="W209" s="38" t="s">
        <v>94</v>
      </c>
    </row>
    <row r="210" customFormat="false" ht="15" hidden="false" customHeight="false" outlineLevel="0" collapsed="false">
      <c r="A210" s="19" t="n">
        <v>159</v>
      </c>
      <c r="B210" s="19" t="s">
        <v>328</v>
      </c>
      <c r="C210" s="19" t="s">
        <v>57</v>
      </c>
      <c r="D210" s="19"/>
      <c r="E210" s="19" t="s">
        <v>58</v>
      </c>
      <c r="F210" s="20" t="n">
        <v>130</v>
      </c>
      <c r="G210" s="20" t="n">
        <v>94</v>
      </c>
      <c r="H210" s="21" t="n">
        <v>26845.1</v>
      </c>
      <c r="I210" s="21" t="n">
        <v>-198.42</v>
      </c>
      <c r="J210" s="21" t="n">
        <v>-210.94</v>
      </c>
      <c r="K210" s="22" t="n">
        <f aca="false">H210+I210+J210</f>
        <v>26435.74</v>
      </c>
      <c r="L210" s="23" t="n">
        <f aca="false">IF($K$1282=0,0,K210/$K$1282)</f>
        <v>0.00218989540182653</v>
      </c>
      <c r="M210" s="24" t="n">
        <f aca="false">IF(F210&lt;=0,0,K210/F210)</f>
        <v>203.351846153846</v>
      </c>
      <c r="N210" s="21" t="n">
        <v>210.94</v>
      </c>
      <c r="O210" s="49" t="n">
        <v>3.85</v>
      </c>
      <c r="P210" s="24" t="n">
        <f aca="false">O210*'Price Groups'!$B$5</f>
        <v>86.625</v>
      </c>
      <c r="Q210" s="26" t="n">
        <f aca="false">IF(OR(N210="",P210=""),"",(N210-P210)/N210)</f>
        <v>0.589338200436143</v>
      </c>
      <c r="R210" s="27" t="n">
        <v>3</v>
      </c>
      <c r="S210" s="28" t="n">
        <f aca="false">IF(R210="-",0,IFERROR(VLOOKUP(R210,'Price Groups'!$A$13:$C$17,3,FALSE()),0))</f>
        <v>0.16</v>
      </c>
      <c r="T210" s="22" t="n">
        <f aca="false">IF(OR(N210="",R210="-"),"",CEILING(ROUND(N210*(1+S210),2),IF(N210*(1+S210)&lt;100,0.5,IF(N210*(1+S210)&lt;1000,1,5))))</f>
        <v>245</v>
      </c>
      <c r="U210" s="26" t="n">
        <f aca="false">IF(OR(T210="",P210=""),"",(T210-P210)/T210)</f>
        <v>0.646428571428572</v>
      </c>
      <c r="V210" s="26" t="n">
        <f aca="false">IF(T210="",0,T210/N210-1)</f>
        <v>0.161467715938181</v>
      </c>
      <c r="W210" s="19" t="s">
        <v>107</v>
      </c>
    </row>
    <row r="211" customFormat="false" ht="15" hidden="false" customHeight="false" outlineLevel="0" collapsed="false">
      <c r="A211" s="38" t="n">
        <v>160</v>
      </c>
      <c r="B211" s="38" t="s">
        <v>329</v>
      </c>
      <c r="C211" s="38" t="s">
        <v>57</v>
      </c>
      <c r="D211" s="38"/>
      <c r="E211" s="38" t="s">
        <v>58</v>
      </c>
      <c r="F211" s="39" t="n">
        <v>130</v>
      </c>
      <c r="G211" s="39" t="n">
        <v>41</v>
      </c>
      <c r="H211" s="40" t="n">
        <v>2911</v>
      </c>
      <c r="I211" s="40" t="n">
        <v>-16.75</v>
      </c>
      <c r="J211" s="40" t="n">
        <v>-130.12</v>
      </c>
      <c r="K211" s="41" t="n">
        <f aca="false">H211+I211+J211</f>
        <v>2764.13</v>
      </c>
      <c r="L211" s="42" t="n">
        <f aca="false">IF($K$1282=0,0,K211/$K$1282)</f>
        <v>0.000228976210881586</v>
      </c>
      <c r="M211" s="43" t="n">
        <f aca="false">IF(F211&lt;=0,0,K211/F211)</f>
        <v>21.2625384615385</v>
      </c>
      <c r="N211" s="40" t="n">
        <v>19.99</v>
      </c>
      <c r="O211" s="44" t="n">
        <v>0.35</v>
      </c>
      <c r="P211" s="43" t="n">
        <f aca="false">O211*'Price Groups'!$B$5</f>
        <v>7.875</v>
      </c>
      <c r="Q211" s="45" t="n">
        <f aca="false">IF(OR(N211="",P211=""),"",(N211-P211)/N211)</f>
        <v>0.606053026513257</v>
      </c>
      <c r="R211" s="46" t="n">
        <v>1</v>
      </c>
      <c r="S211" s="47" t="n">
        <f aca="false">IF(R211="-",0,IFERROR(VLOOKUP(R211,'Price Groups'!$A$13:$C$17,3,FALSE()),0))</f>
        <v>0.22</v>
      </c>
      <c r="T211" s="41" t="n">
        <f aca="false">IF(OR(N211="",R211="-"),"",CEILING(ROUND(N211*(1+S211),2),IF(N211*(1+S211)&lt;100,0.5,IF(N211*(1+S211)&lt;1000,1,5))))</f>
        <v>24.5</v>
      </c>
      <c r="U211" s="45" t="n">
        <f aca="false">IF(OR(T211="",P211=""),"",(T211-P211)/T211)</f>
        <v>0.678571428571429</v>
      </c>
      <c r="V211" s="45" t="n">
        <f aca="false">IF(T211="",0,T211/N211-1)</f>
        <v>0.225612806403202</v>
      </c>
      <c r="W211" s="38" t="s">
        <v>94</v>
      </c>
    </row>
    <row r="212" customFormat="false" ht="15" hidden="false" customHeight="false" outlineLevel="0" collapsed="false">
      <c r="A212" s="19" t="n">
        <v>161</v>
      </c>
      <c r="B212" s="19" t="s">
        <v>199</v>
      </c>
      <c r="C212" s="19" t="s">
        <v>307</v>
      </c>
      <c r="D212" s="19" t="s">
        <v>198</v>
      </c>
      <c r="E212" s="19" t="s">
        <v>58</v>
      </c>
      <c r="F212" s="20" t="n">
        <v>129</v>
      </c>
      <c r="G212" s="20" t="n">
        <v>85</v>
      </c>
      <c r="H212" s="21" t="n">
        <v>23079.98</v>
      </c>
      <c r="I212" s="21" t="n">
        <v>-135.49</v>
      </c>
      <c r="J212" s="21" t="n">
        <v>-1764.18</v>
      </c>
      <c r="K212" s="22" t="n">
        <f aca="false">H212+I212+J212</f>
        <v>21180.31</v>
      </c>
      <c r="L212" s="23" t="n">
        <f aca="false">IF($K$1282=0,0,K212/$K$1282)</f>
        <v>0.00175454379102913</v>
      </c>
      <c r="M212" s="24" t="n">
        <f aca="false">IF(F212&lt;=0,0,K212/F212)</f>
        <v>164.188449612403</v>
      </c>
      <c r="N212" s="21" t="n">
        <v>170</v>
      </c>
      <c r="O212" s="49" t="n">
        <v>2.3</v>
      </c>
      <c r="P212" s="24" t="n">
        <f aca="false">O212*'Price Groups'!$B$5</f>
        <v>51.75</v>
      </c>
      <c r="Q212" s="26" t="n">
        <f aca="false">IF(OR(N212="",P212=""),"",(N212-P212)/N212)</f>
        <v>0.695588235294118</v>
      </c>
      <c r="R212" s="27" t="n">
        <v>5</v>
      </c>
      <c r="S212" s="28" t="n">
        <f aca="false">IF(R212="-",0,IFERROR(VLOOKUP(R212,'Price Groups'!$A$13:$C$17,3,FALSE()),0))</f>
        <v>0.02</v>
      </c>
      <c r="T212" s="22" t="n">
        <f aca="false">IF(OR(N212="",R212="-"),"",CEILING(ROUND(N212*(1+S212),2),IF(N212*(1+S212)&lt;100,0.5,IF(N212*(1+S212)&lt;1000,1,5))))</f>
        <v>174</v>
      </c>
      <c r="U212" s="26" t="n">
        <f aca="false">IF(OR(T212="",P212=""),"",(T212-P212)/T212)</f>
        <v>0.702586206896552</v>
      </c>
      <c r="V212" s="26" t="n">
        <f aca="false">IF(T212="",0,T212/N212-1)</f>
        <v>0.0235294117647058</v>
      </c>
      <c r="W212" s="19" t="s">
        <v>330</v>
      </c>
    </row>
    <row r="213" customFormat="false" ht="15" hidden="false" customHeight="false" outlineLevel="0" collapsed="false">
      <c r="A213" s="38" t="n">
        <v>162</v>
      </c>
      <c r="B213" s="38" t="s">
        <v>331</v>
      </c>
      <c r="C213" s="38" t="s">
        <v>57</v>
      </c>
      <c r="D213" s="38"/>
      <c r="E213" s="38" t="s">
        <v>58</v>
      </c>
      <c r="F213" s="39" t="n">
        <v>128</v>
      </c>
      <c r="G213" s="39" t="n">
        <v>74</v>
      </c>
      <c r="H213" s="40" t="n">
        <v>4000.96</v>
      </c>
      <c r="I213" s="40" t="n">
        <v>-18.84</v>
      </c>
      <c r="J213" s="40" t="n">
        <v>-657.54</v>
      </c>
      <c r="K213" s="41" t="n">
        <f aca="false">H213+I213+J213</f>
        <v>3324.58</v>
      </c>
      <c r="L213" s="42" t="n">
        <f aca="false">IF($K$1282=0,0,K213/$K$1282)</f>
        <v>0.000275403013307153</v>
      </c>
      <c r="M213" s="43" t="n">
        <f aca="false">IF(F213&lt;=0,0,K213/F213)</f>
        <v>25.97328125</v>
      </c>
      <c r="N213" s="40" t="n">
        <v>26.68</v>
      </c>
      <c r="O213" s="44" t="n">
        <v>0.61</v>
      </c>
      <c r="P213" s="43" t="n">
        <f aca="false">O213*'Price Groups'!$B$5</f>
        <v>13.725</v>
      </c>
      <c r="Q213" s="45" t="n">
        <f aca="false">IF(OR(N213="",P213=""),"",(N213-P213)/N213)</f>
        <v>0.485569715142429</v>
      </c>
      <c r="R213" s="46" t="n">
        <v>1</v>
      </c>
      <c r="S213" s="47" t="n">
        <f aca="false">IF(R213="-",0,IFERROR(VLOOKUP(R213,'Price Groups'!$A$13:$C$17,3,FALSE()),0))</f>
        <v>0.22</v>
      </c>
      <c r="T213" s="41" t="n">
        <f aca="false">IF(OR(N213="",R213="-"),"",CEILING(ROUND(N213*(1+S213),2),IF(N213*(1+S213)&lt;100,0.5,IF(N213*(1+S213)&lt;1000,1,5))))</f>
        <v>33</v>
      </c>
      <c r="U213" s="45" t="n">
        <f aca="false">IF(OR(T213="",P213=""),"",(T213-P213)/T213)</f>
        <v>0.584090909090909</v>
      </c>
      <c r="V213" s="45" t="n">
        <f aca="false">IF(T213="",0,T213/N213-1)</f>
        <v>0.23688155922039</v>
      </c>
      <c r="W213" s="38" t="s">
        <v>94</v>
      </c>
    </row>
    <row r="214" customFormat="false" ht="15" hidden="false" customHeight="false" outlineLevel="0" collapsed="false">
      <c r="A214" s="19" t="n">
        <v>163</v>
      </c>
      <c r="B214" s="19" t="s">
        <v>332</v>
      </c>
      <c r="C214" s="19" t="s">
        <v>57</v>
      </c>
      <c r="D214" s="19"/>
      <c r="E214" s="19" t="s">
        <v>58</v>
      </c>
      <c r="F214" s="20" t="n">
        <v>128</v>
      </c>
      <c r="G214" s="20" t="n">
        <v>52</v>
      </c>
      <c r="H214" s="21" t="n">
        <v>1677.66</v>
      </c>
      <c r="I214" s="21" t="n">
        <v>-24.93</v>
      </c>
      <c r="J214" s="21" t="n">
        <v>-186.71</v>
      </c>
      <c r="K214" s="22" t="n">
        <f aca="false">H214+I214+J214</f>
        <v>1466.02</v>
      </c>
      <c r="L214" s="23" t="n">
        <f aca="false">IF($K$1282=0,0,K214/$K$1282)</f>
        <v>0.000121442806480383</v>
      </c>
      <c r="M214" s="24" t="n">
        <f aca="false">IF(F214&lt;=0,0,K214/F214)</f>
        <v>11.45328125</v>
      </c>
      <c r="N214" s="21" t="n">
        <v>8.22</v>
      </c>
      <c r="O214" s="49" t="n">
        <v>0.29</v>
      </c>
      <c r="P214" s="24" t="n">
        <f aca="false">O214*'Price Groups'!$B$5</f>
        <v>6.525</v>
      </c>
      <c r="Q214" s="26" t="n">
        <f aca="false">IF(OR(N214="",P214=""),"",(N214-P214)/N214)</f>
        <v>0.206204379562044</v>
      </c>
      <c r="R214" s="27" t="n">
        <v>1</v>
      </c>
      <c r="S214" s="28" t="n">
        <f aca="false">IF(R214="-",0,IFERROR(VLOOKUP(R214,'Price Groups'!$A$13:$C$17,3,FALSE()),0))</f>
        <v>0.22</v>
      </c>
      <c r="T214" s="22" t="n">
        <f aca="false">IF(OR(N214="",R214="-"),"",CEILING(ROUND(N214*(1+S214),2),IF(N214*(1+S214)&lt;100,0.5,IF(N214*(1+S214)&lt;1000,1,5))))</f>
        <v>10.5</v>
      </c>
      <c r="U214" s="26" t="n">
        <f aca="false">IF(OR(T214="",P214=""),"",(T214-P214)/T214)</f>
        <v>0.378571428571429</v>
      </c>
      <c r="V214" s="26" t="n">
        <f aca="false">IF(T214="",0,T214/N214-1)</f>
        <v>0.277372262773723</v>
      </c>
      <c r="W214" s="19" t="s">
        <v>333</v>
      </c>
    </row>
    <row r="215" customFormat="false" ht="15" hidden="false" customHeight="false" outlineLevel="0" collapsed="false">
      <c r="A215" s="38" t="n">
        <v>164</v>
      </c>
      <c r="B215" s="38" t="s">
        <v>334</v>
      </c>
      <c r="C215" s="38" t="s">
        <v>57</v>
      </c>
      <c r="D215" s="38"/>
      <c r="E215" s="38" t="s">
        <v>58</v>
      </c>
      <c r="F215" s="39" t="n">
        <v>127</v>
      </c>
      <c r="G215" s="39" t="n">
        <v>78</v>
      </c>
      <c r="H215" s="40" t="n">
        <v>19007.7</v>
      </c>
      <c r="I215" s="40" t="n">
        <v>-122.37</v>
      </c>
      <c r="J215" s="40" t="n">
        <v>-2714.48</v>
      </c>
      <c r="K215" s="41" t="n">
        <f aca="false">H215+I215+J215</f>
        <v>16170.85</v>
      </c>
      <c r="L215" s="42" t="n">
        <f aca="false">IF($K$1282=0,0,K215/$K$1282)</f>
        <v>0.00133956795076009</v>
      </c>
      <c r="M215" s="43" t="n">
        <f aca="false">IF(F215&lt;=0,0,K215/F215)</f>
        <v>127.329527559055</v>
      </c>
      <c r="N215" s="40" t="n">
        <v>119.99</v>
      </c>
      <c r="O215" s="44" t="n">
        <v>2.87</v>
      </c>
      <c r="P215" s="43" t="n">
        <f aca="false">O215*'Price Groups'!$B$5</f>
        <v>64.575</v>
      </c>
      <c r="Q215" s="45" t="n">
        <f aca="false">IF(OR(N215="",P215=""),"",(N215-P215)/N215)</f>
        <v>0.461830152512709</v>
      </c>
      <c r="R215" s="46" t="n">
        <v>3</v>
      </c>
      <c r="S215" s="47" t="n">
        <f aca="false">IF(R215="-",0,IFERROR(VLOOKUP(R215,'Price Groups'!$A$13:$C$17,3,FALSE()),0))</f>
        <v>0.16</v>
      </c>
      <c r="T215" s="41" t="n">
        <f aca="false">IF(OR(N215="",R215="-"),"",CEILING(ROUND(N215*(1+S215),2),IF(N215*(1+S215)&lt;100,0.5,IF(N215*(1+S215)&lt;1000,1,5))))</f>
        <v>140</v>
      </c>
      <c r="U215" s="45" t="n">
        <f aca="false">IF(OR(T215="",P215=""),"",(T215-P215)/T215)</f>
        <v>0.53875</v>
      </c>
      <c r="V215" s="45" t="n">
        <f aca="false">IF(T215="",0,T215/N215-1)</f>
        <v>0.166763896991416</v>
      </c>
      <c r="W215" s="38" t="s">
        <v>107</v>
      </c>
    </row>
    <row r="216" customFormat="false" ht="15" hidden="false" customHeight="false" outlineLevel="0" collapsed="false">
      <c r="A216" s="19" t="n">
        <v>165</v>
      </c>
      <c r="B216" s="19" t="s">
        <v>335</v>
      </c>
      <c r="C216" s="19" t="s">
        <v>57</v>
      </c>
      <c r="D216" s="19"/>
      <c r="E216" s="19" t="s">
        <v>58</v>
      </c>
      <c r="F216" s="20" t="n">
        <v>127</v>
      </c>
      <c r="G216" s="20" t="n">
        <v>30</v>
      </c>
      <c r="H216" s="21" t="n">
        <v>2668.68</v>
      </c>
      <c r="I216" s="21" t="n">
        <v>-4.07</v>
      </c>
      <c r="J216" s="21" t="n">
        <v>-99.93</v>
      </c>
      <c r="K216" s="22" t="n">
        <f aca="false">H216+I216+J216</f>
        <v>2564.68</v>
      </c>
      <c r="L216" s="23" t="n">
        <f aca="false">IF($K$1282=0,0,K216/$K$1282)</f>
        <v>0.000212454084476412</v>
      </c>
      <c r="M216" s="24" t="n">
        <f aca="false">IF(F216&lt;=0,0,K216/F216)</f>
        <v>20.1943307086614</v>
      </c>
      <c r="N216" s="21" t="n">
        <v>19.99</v>
      </c>
      <c r="O216" s="49" t="n">
        <v>0.67</v>
      </c>
      <c r="P216" s="24" t="n">
        <f aca="false">O216*'Price Groups'!$B$5</f>
        <v>15.075</v>
      </c>
      <c r="Q216" s="26" t="n">
        <f aca="false">IF(OR(N216="",P216=""),"",(N216-P216)/N216)</f>
        <v>0.245872936468234</v>
      </c>
      <c r="R216" s="27" t="n">
        <v>1</v>
      </c>
      <c r="S216" s="28" t="n">
        <f aca="false">IF(R216="-",0,IFERROR(VLOOKUP(R216,'Price Groups'!$A$13:$C$17,3,FALSE()),0))</f>
        <v>0.22</v>
      </c>
      <c r="T216" s="22" t="n">
        <f aca="false">IF(OR(N216="",R216="-"),"",CEILING(ROUND(N216*(1+S216),2),IF(N216*(1+S216)&lt;100,0.5,IF(N216*(1+S216)&lt;1000,1,5))))</f>
        <v>24.5</v>
      </c>
      <c r="U216" s="26" t="n">
        <f aca="false">IF(OR(T216="",P216=""),"",(T216-P216)/T216)</f>
        <v>0.38469387755102</v>
      </c>
      <c r="V216" s="26" t="n">
        <f aca="false">IF(T216="",0,T216/N216-1)</f>
        <v>0.225612806403202</v>
      </c>
      <c r="W216" s="19" t="s">
        <v>267</v>
      </c>
    </row>
    <row r="217" customFormat="false" ht="15" hidden="false" customHeight="false" outlineLevel="0" collapsed="false">
      <c r="A217" s="38" t="n">
        <v>166</v>
      </c>
      <c r="B217" s="38" t="s">
        <v>336</v>
      </c>
      <c r="C217" s="38" t="s">
        <v>57</v>
      </c>
      <c r="D217" s="38"/>
      <c r="E217" s="38" t="s">
        <v>58</v>
      </c>
      <c r="F217" s="39" t="n">
        <v>126</v>
      </c>
      <c r="G217" s="39" t="n">
        <v>41</v>
      </c>
      <c r="H217" s="40" t="n">
        <v>25953.36</v>
      </c>
      <c r="I217" s="40" t="n">
        <v>-479.77</v>
      </c>
      <c r="J217" s="40" t="n">
        <v>-399.98</v>
      </c>
      <c r="K217" s="41" t="n">
        <f aca="false">H217+I217+J217</f>
        <v>25073.61</v>
      </c>
      <c r="L217" s="42" t="n">
        <f aca="false">IF($K$1282=0,0,K217/$K$1282)</f>
        <v>0.00207705868064188</v>
      </c>
      <c r="M217" s="43" t="n">
        <f aca="false">IF(F217&lt;=0,0,K217/F217)</f>
        <v>198.996904761905</v>
      </c>
      <c r="N217" s="40" t="n">
        <v>199.99</v>
      </c>
      <c r="O217" s="44" t="n">
        <v>4.12</v>
      </c>
      <c r="P217" s="43" t="n">
        <f aca="false">O217*'Price Groups'!$B$5</f>
        <v>92.7</v>
      </c>
      <c r="Q217" s="45" t="n">
        <f aca="false">IF(OR(N217="",P217=""),"",(N217-P217)/N217)</f>
        <v>0.536476823841192</v>
      </c>
      <c r="R217" s="46" t="n">
        <v>3</v>
      </c>
      <c r="S217" s="47" t="n">
        <f aca="false">IF(R217="-",0,IFERROR(VLOOKUP(R217,'Price Groups'!$A$13:$C$17,3,FALSE()),0))</f>
        <v>0.16</v>
      </c>
      <c r="T217" s="41" t="n">
        <f aca="false">IF(OR(N217="",R217="-"),"",CEILING(ROUND(N217*(1+S217),2),IF(N217*(1+S217)&lt;100,0.5,IF(N217*(1+S217)&lt;1000,1,5))))</f>
        <v>232</v>
      </c>
      <c r="U217" s="45" t="n">
        <f aca="false">IF(OR(T217="",P217=""),"",(T217-P217)/T217)</f>
        <v>0.600431034482759</v>
      </c>
      <c r="V217" s="45" t="n">
        <f aca="false">IF(T217="",0,T217/N217-1)</f>
        <v>0.160058002900145</v>
      </c>
      <c r="W217" s="38" t="s">
        <v>107</v>
      </c>
    </row>
    <row r="218" customFormat="false" ht="15" hidden="false" customHeight="false" outlineLevel="0" collapsed="false">
      <c r="A218" s="19" t="n">
        <v>167</v>
      </c>
      <c r="B218" s="19" t="s">
        <v>337</v>
      </c>
      <c r="C218" s="19" t="s">
        <v>57</v>
      </c>
      <c r="D218" s="19"/>
      <c r="E218" s="19" t="s">
        <v>58</v>
      </c>
      <c r="F218" s="20" t="n">
        <v>126</v>
      </c>
      <c r="G218" s="20" t="n">
        <v>95</v>
      </c>
      <c r="H218" s="21" t="n">
        <v>20917.4</v>
      </c>
      <c r="I218" s="21" t="n">
        <v>-349.89</v>
      </c>
      <c r="J218" s="21" t="n">
        <v>-942.64</v>
      </c>
      <c r="K218" s="22" t="n">
        <f aca="false">H218+I218+J218</f>
        <v>19624.87</v>
      </c>
      <c r="L218" s="23" t="n">
        <f aca="false">IF($K$1282=0,0,K218/$K$1282)</f>
        <v>0.00162569357144697</v>
      </c>
      <c r="M218" s="24" t="n">
        <f aca="false">IF(F218&lt;=0,0,K218/F218)</f>
        <v>155.752936507937</v>
      </c>
      <c r="N218" s="21" t="n">
        <v>149.99</v>
      </c>
      <c r="O218" s="49" t="n">
        <v>2.76</v>
      </c>
      <c r="P218" s="24" t="n">
        <f aca="false">O218*'Price Groups'!$B$5</f>
        <v>62.1</v>
      </c>
      <c r="Q218" s="26" t="n">
        <f aca="false">IF(OR(N218="",P218=""),"",(N218-P218)/N218)</f>
        <v>0.585972398159877</v>
      </c>
      <c r="R218" s="27" t="n">
        <v>3</v>
      </c>
      <c r="S218" s="28" t="n">
        <f aca="false">IF(R218="-",0,IFERROR(VLOOKUP(R218,'Price Groups'!$A$13:$C$17,3,FALSE()),0))</f>
        <v>0.16</v>
      </c>
      <c r="T218" s="22" t="n">
        <f aca="false">IF(OR(N218="",R218="-"),"",CEILING(ROUND(N218*(1+S218),2),IF(N218*(1+S218)&lt;100,0.5,IF(N218*(1+S218)&lt;1000,1,5))))</f>
        <v>174</v>
      </c>
      <c r="U218" s="26" t="n">
        <f aca="false">IF(OR(T218="",P218=""),"",(T218-P218)/T218)</f>
        <v>0.643103448275862</v>
      </c>
      <c r="V218" s="26" t="n">
        <f aca="false">IF(T218="",0,T218/N218-1)</f>
        <v>0.160077338489232</v>
      </c>
      <c r="W218" s="19" t="s">
        <v>107</v>
      </c>
    </row>
    <row r="219" customFormat="false" ht="15" hidden="false" customHeight="false" outlineLevel="0" collapsed="false">
      <c r="A219" s="38" t="n">
        <v>168</v>
      </c>
      <c r="B219" s="38" t="s">
        <v>338</v>
      </c>
      <c r="C219" s="38" t="s">
        <v>57</v>
      </c>
      <c r="D219" s="38"/>
      <c r="E219" s="38" t="s">
        <v>58</v>
      </c>
      <c r="F219" s="39" t="n">
        <v>126</v>
      </c>
      <c r="G219" s="39" t="n">
        <v>67</v>
      </c>
      <c r="H219" s="40" t="n">
        <v>17587.12</v>
      </c>
      <c r="I219" s="40" t="n">
        <v>-247.14</v>
      </c>
      <c r="J219" s="40" t="n">
        <v>-1680.66</v>
      </c>
      <c r="K219" s="41" t="n">
        <f aca="false">H219+I219+J219</f>
        <v>15659.32</v>
      </c>
      <c r="L219" s="42" t="n">
        <f aca="false">IF($K$1282=0,0,K219/$K$1282)</f>
        <v>0.00129719360470826</v>
      </c>
      <c r="M219" s="43" t="n">
        <f aca="false">IF(F219&lt;=0,0,K219/F219)</f>
        <v>124.280317460317</v>
      </c>
      <c r="N219" s="40" t="n">
        <v>110</v>
      </c>
      <c r="O219" s="44" t="n">
        <v>3.7</v>
      </c>
      <c r="P219" s="43" t="n">
        <f aca="false">O219*'Price Groups'!$B$5</f>
        <v>83.25</v>
      </c>
      <c r="Q219" s="45" t="n">
        <f aca="false">IF(OR(N219="",P219=""),"",(N219-P219)/N219)</f>
        <v>0.243181818181818</v>
      </c>
      <c r="R219" s="46" t="n">
        <v>1</v>
      </c>
      <c r="S219" s="47" t="n">
        <f aca="false">IF(R219="-",0,IFERROR(VLOOKUP(R219,'Price Groups'!$A$13:$C$17,3,FALSE()),0))</f>
        <v>0.22</v>
      </c>
      <c r="T219" s="41" t="n">
        <f aca="false">IF(OR(N219="",R219="-"),"",CEILING(ROUND(N219*(1+S219),2),IF(N219*(1+S219)&lt;100,0.5,IF(N219*(1+S219)&lt;1000,1,5))))</f>
        <v>135</v>
      </c>
      <c r="U219" s="45" t="n">
        <f aca="false">IF(OR(T219="",P219=""),"",(T219-P219)/T219)</f>
        <v>0.383333333333333</v>
      </c>
      <c r="V219" s="45" t="n">
        <f aca="false">IF(T219="",0,T219/N219-1)</f>
        <v>0.227272727272727</v>
      </c>
      <c r="W219" s="38" t="s">
        <v>244</v>
      </c>
    </row>
    <row r="220" customFormat="false" ht="15" hidden="false" customHeight="false" outlineLevel="0" collapsed="false">
      <c r="A220" s="19" t="n">
        <v>169</v>
      </c>
      <c r="B220" s="19" t="s">
        <v>339</v>
      </c>
      <c r="C220" s="19" t="s">
        <v>57</v>
      </c>
      <c r="D220" s="19"/>
      <c r="E220" s="19" t="s">
        <v>58</v>
      </c>
      <c r="F220" s="20" t="n">
        <v>125</v>
      </c>
      <c r="G220" s="20" t="n">
        <v>53</v>
      </c>
      <c r="H220" s="21" t="n">
        <v>2331.69</v>
      </c>
      <c r="I220" s="21" t="n">
        <v>-35.22</v>
      </c>
      <c r="J220" s="21" t="n">
        <v>-234.44</v>
      </c>
      <c r="K220" s="22" t="n">
        <f aca="false">H220+I220+J220</f>
        <v>2062.03</v>
      </c>
      <c r="L220" s="23" t="n">
        <f aca="false">IF($K$1282=0,0,K220/$K$1282)</f>
        <v>0.000170815343751617</v>
      </c>
      <c r="M220" s="24" t="n">
        <f aca="false">IF(F220&lt;=0,0,K220/F220)</f>
        <v>16.49624</v>
      </c>
      <c r="N220" s="21" t="n">
        <v>13.89</v>
      </c>
      <c r="O220" s="49" t="n">
        <v>0.49</v>
      </c>
      <c r="P220" s="24" t="n">
        <f aca="false">O220*'Price Groups'!$B$5</f>
        <v>11.025</v>
      </c>
      <c r="Q220" s="26" t="n">
        <f aca="false">IF(OR(N220="",P220=""),"",(N220-P220)/N220)</f>
        <v>0.206263498920086</v>
      </c>
      <c r="R220" s="27" t="n">
        <v>1</v>
      </c>
      <c r="S220" s="28" t="n">
        <f aca="false">IF(R220="-",0,IFERROR(VLOOKUP(R220,'Price Groups'!$A$13:$C$17,3,FALSE()),0))</f>
        <v>0.22</v>
      </c>
      <c r="T220" s="22" t="n">
        <f aca="false">IF(OR(N220="",R220="-"),"",CEILING(ROUND(N220*(1+S220),2),IF(N220*(1+S220)&lt;100,0.5,IF(N220*(1+S220)&lt;1000,1,5))))</f>
        <v>17</v>
      </c>
      <c r="U220" s="26" t="n">
        <f aca="false">IF(OR(T220="",P220=""),"",(T220-P220)/T220)</f>
        <v>0.351470588235294</v>
      </c>
      <c r="V220" s="26" t="n">
        <f aca="false">IF(T220="",0,T220/N220-1)</f>
        <v>0.223902087832973</v>
      </c>
      <c r="W220" s="19" t="s">
        <v>333</v>
      </c>
    </row>
    <row r="221" customFormat="false" ht="15" hidden="false" customHeight="false" outlineLevel="0" collapsed="false">
      <c r="A221" s="38" t="n">
        <v>170</v>
      </c>
      <c r="B221" s="38" t="s">
        <v>340</v>
      </c>
      <c r="C221" s="38" t="s">
        <v>57</v>
      </c>
      <c r="D221" s="38"/>
      <c r="E221" s="38" t="s">
        <v>58</v>
      </c>
      <c r="F221" s="39" t="n">
        <v>125</v>
      </c>
      <c r="G221" s="39" t="n">
        <v>83</v>
      </c>
      <c r="H221" s="40" t="n">
        <v>35032.64</v>
      </c>
      <c r="I221" s="40" t="n">
        <v>-239.73</v>
      </c>
      <c r="J221" s="40" t="n">
        <v>-4451.78</v>
      </c>
      <c r="K221" s="41" t="n">
        <f aca="false">H221+I221+J221</f>
        <v>30341.13</v>
      </c>
      <c r="L221" s="42" t="n">
        <f aca="false">IF($K$1282=0,0,K221/$K$1282)</f>
        <v>0.00251341180815143</v>
      </c>
      <c r="M221" s="43" t="n">
        <f aca="false">IF(F221&lt;=0,0,K221/F221)</f>
        <v>242.72904</v>
      </c>
      <c r="N221" s="40" t="n">
        <v>275.88</v>
      </c>
      <c r="O221" s="44" t="n">
        <v>4.6</v>
      </c>
      <c r="P221" s="43" t="n">
        <f aca="false">O221*'Price Groups'!$B$5</f>
        <v>103.5</v>
      </c>
      <c r="Q221" s="45" t="n">
        <f aca="false">IF(OR(N221="",P221=""),"",(N221-P221)/N221)</f>
        <v>0.624836885602436</v>
      </c>
      <c r="R221" s="46" t="n">
        <v>3</v>
      </c>
      <c r="S221" s="47" t="n">
        <f aca="false">IF(R221="-",0,IFERROR(VLOOKUP(R221,'Price Groups'!$A$13:$C$17,3,FALSE()),0))</f>
        <v>0.16</v>
      </c>
      <c r="T221" s="41" t="n">
        <f aca="false">IF(OR(N221="",R221="-"),"",CEILING(ROUND(N221*(1+S221),2),IF(N221*(1+S221)&lt;100,0.5,IF(N221*(1+S221)&lt;1000,1,5))))</f>
        <v>321</v>
      </c>
      <c r="U221" s="45" t="n">
        <f aca="false">IF(OR(T221="",P221=""),"",(T221-P221)/T221)</f>
        <v>0.677570093457944</v>
      </c>
      <c r="V221" s="45" t="n">
        <f aca="false">IF(T221="",0,T221/N221-1)</f>
        <v>0.163549369290996</v>
      </c>
      <c r="W221" s="38" t="s">
        <v>107</v>
      </c>
    </row>
    <row r="222" customFormat="false" ht="15" hidden="false" customHeight="false" outlineLevel="0" collapsed="false">
      <c r="A222" s="19" t="n">
        <v>171</v>
      </c>
      <c r="B222" s="19" t="s">
        <v>341</v>
      </c>
      <c r="C222" s="19" t="s">
        <v>57</v>
      </c>
      <c r="D222" s="19"/>
      <c r="E222" s="19" t="s">
        <v>58</v>
      </c>
      <c r="F222" s="20" t="n">
        <v>125</v>
      </c>
      <c r="G222" s="20" t="n">
        <v>68</v>
      </c>
      <c r="H222" s="21" t="n">
        <v>2676.98</v>
      </c>
      <c r="I222" s="21" t="n">
        <v>-21.1</v>
      </c>
      <c r="J222" s="21" t="n">
        <v>-94.34</v>
      </c>
      <c r="K222" s="22" t="n">
        <f aca="false">H222+I222+J222</f>
        <v>2561.54</v>
      </c>
      <c r="L222" s="23" t="n">
        <f aca="false">IF($K$1282=0,0,K222/$K$1282)</f>
        <v>0.000212193971781941</v>
      </c>
      <c r="M222" s="24" t="n">
        <f aca="false">IF(F222&lt;=0,0,K222/F222)</f>
        <v>20.49232</v>
      </c>
      <c r="N222" s="21" t="n">
        <v>22</v>
      </c>
      <c r="O222" s="49" t="n">
        <v>0.51</v>
      </c>
      <c r="P222" s="24" t="n">
        <f aca="false">O222*'Price Groups'!$B$5</f>
        <v>11.475</v>
      </c>
      <c r="Q222" s="26" t="n">
        <f aca="false">IF(OR(N222="",P222=""),"",(N222-P222)/N222)</f>
        <v>0.478409090909091</v>
      </c>
      <c r="R222" s="27" t="n">
        <v>1</v>
      </c>
      <c r="S222" s="28" t="n">
        <f aca="false">IF(R222="-",0,IFERROR(VLOOKUP(R222,'Price Groups'!$A$13:$C$17,3,FALSE()),0))</f>
        <v>0.22</v>
      </c>
      <c r="T222" s="22" t="n">
        <f aca="false">IF(OR(N222="",R222="-"),"",CEILING(ROUND(N222*(1+S222),2),IF(N222*(1+S222)&lt;100,0.5,IF(N222*(1+S222)&lt;1000,1,5))))</f>
        <v>27</v>
      </c>
      <c r="U222" s="26" t="n">
        <f aca="false">IF(OR(T222="",P222=""),"",(T222-P222)/T222)</f>
        <v>0.575</v>
      </c>
      <c r="V222" s="26" t="n">
        <f aca="false">IF(T222="",0,T222/N222-1)</f>
        <v>0.227272727272727</v>
      </c>
      <c r="W222" s="19" t="s">
        <v>94</v>
      </c>
    </row>
    <row r="223" customFormat="false" ht="15" hidden="false" customHeight="false" outlineLevel="0" collapsed="false">
      <c r="A223" s="38" t="n">
        <v>172</v>
      </c>
      <c r="B223" s="38" t="s">
        <v>342</v>
      </c>
      <c r="C223" s="38" t="s">
        <v>57</v>
      </c>
      <c r="D223" s="38" t="s">
        <v>343</v>
      </c>
      <c r="E223" s="38" t="s">
        <v>58</v>
      </c>
      <c r="F223" s="39" t="n">
        <v>122</v>
      </c>
      <c r="G223" s="39" t="n">
        <v>52</v>
      </c>
      <c r="H223" s="40" t="n">
        <v>3478.01</v>
      </c>
      <c r="I223" s="40" t="n">
        <v>-10.2</v>
      </c>
      <c r="J223" s="40" t="n">
        <v>-154</v>
      </c>
      <c r="K223" s="41" t="n">
        <f aca="false">H223+I223+J223</f>
        <v>3313.81</v>
      </c>
      <c r="L223" s="42" t="n">
        <f aca="false">IF($K$1282=0,0,K223/$K$1282)</f>
        <v>0.000274510843332805</v>
      </c>
      <c r="M223" s="43" t="n">
        <f aca="false">IF(F223&lt;=0,0,K223/F223)</f>
        <v>27.1623770491803</v>
      </c>
      <c r="N223" s="40" t="n">
        <v>29.99</v>
      </c>
      <c r="O223" s="44" t="n">
        <v>0.62</v>
      </c>
      <c r="P223" s="43" t="n">
        <f aca="false">O223*'Price Groups'!$B$5</f>
        <v>13.95</v>
      </c>
      <c r="Q223" s="45" t="n">
        <f aca="false">IF(OR(N223="",P223=""),"",(N223-P223)/N223)</f>
        <v>0.534844948316105</v>
      </c>
      <c r="R223" s="46" t="n">
        <v>1</v>
      </c>
      <c r="S223" s="47" t="n">
        <f aca="false">IF(R223="-",0,IFERROR(VLOOKUP(R223,'Price Groups'!$A$13:$C$17,3,FALSE()),0))</f>
        <v>0.22</v>
      </c>
      <c r="T223" s="41" t="n">
        <f aca="false">IF(OR(N223="",R223="-"),"",CEILING(ROUND(N223*(1+S223),2),IF(N223*(1+S223)&lt;100,0.5,IF(N223*(1+S223)&lt;1000,1,5))))</f>
        <v>37</v>
      </c>
      <c r="U223" s="45" t="n">
        <f aca="false">IF(OR(T223="",P223=""),"",(T223-P223)/T223)</f>
        <v>0.622972972972973</v>
      </c>
      <c r="V223" s="45" t="n">
        <f aca="false">IF(T223="",0,T223/N223-1)</f>
        <v>0.233744581527176</v>
      </c>
      <c r="W223" s="38" t="s">
        <v>94</v>
      </c>
    </row>
    <row r="224" customFormat="false" ht="15" hidden="false" customHeight="false" outlineLevel="0" collapsed="false">
      <c r="A224" s="19" t="n">
        <v>173</v>
      </c>
      <c r="B224" s="19" t="s">
        <v>344</v>
      </c>
      <c r="C224" s="19" t="s">
        <v>57</v>
      </c>
      <c r="D224" s="19" t="s">
        <v>345</v>
      </c>
      <c r="E224" s="19" t="s">
        <v>58</v>
      </c>
      <c r="F224" s="20" t="n">
        <v>122</v>
      </c>
      <c r="G224" s="20" t="n">
        <v>30</v>
      </c>
      <c r="H224" s="21" t="n">
        <v>5712.75</v>
      </c>
      <c r="I224" s="21" t="n">
        <v>-0.2</v>
      </c>
      <c r="J224" s="21" t="n">
        <v>-490</v>
      </c>
      <c r="K224" s="22" t="n">
        <f aca="false">H224+I224+J224</f>
        <v>5222.55</v>
      </c>
      <c r="L224" s="23" t="n">
        <f aca="false">IF($K$1282=0,0,K224/$K$1282)</f>
        <v>0.000432627882964848</v>
      </c>
      <c r="M224" s="24" t="n">
        <f aca="false">IF(F224&lt;=0,0,K224/F224)</f>
        <v>42.8077868852459</v>
      </c>
      <c r="N224" s="21" t="n">
        <v>32</v>
      </c>
      <c r="O224" s="49" t="n">
        <v>1.06</v>
      </c>
      <c r="P224" s="24" t="n">
        <f aca="false">O224*'Price Groups'!$B$5</f>
        <v>23.85</v>
      </c>
      <c r="Q224" s="26" t="n">
        <f aca="false">IF(OR(N224="",P224=""),"",(N224-P224)/N224)</f>
        <v>0.2546875</v>
      </c>
      <c r="R224" s="27" t="n">
        <v>1</v>
      </c>
      <c r="S224" s="28" t="n">
        <f aca="false">IF(R224="-",0,IFERROR(VLOOKUP(R224,'Price Groups'!$A$13:$C$17,3,FALSE()),0))</f>
        <v>0.22</v>
      </c>
      <c r="T224" s="22" t="n">
        <f aca="false">IF(OR(N224="",R224="-"),"",CEILING(ROUND(N224*(1+S224),2),IF(N224*(1+S224)&lt;100,0.5,IF(N224*(1+S224)&lt;1000,1,5))))</f>
        <v>39.5</v>
      </c>
      <c r="U224" s="26" t="n">
        <f aca="false">IF(OR(T224="",P224=""),"",(T224-P224)/T224)</f>
        <v>0.39620253164557</v>
      </c>
      <c r="V224" s="26" t="n">
        <f aca="false">IF(T224="",0,T224/N224-1)</f>
        <v>0.234375</v>
      </c>
      <c r="W224" s="19" t="s">
        <v>346</v>
      </c>
    </row>
    <row r="225" customFormat="false" ht="15" hidden="false" customHeight="false" outlineLevel="0" collapsed="false">
      <c r="A225" s="38" t="n">
        <v>174</v>
      </c>
      <c r="B225" s="38" t="s">
        <v>347</v>
      </c>
      <c r="C225" s="38" t="s">
        <v>57</v>
      </c>
      <c r="D225" s="38" t="s">
        <v>348</v>
      </c>
      <c r="E225" s="38" t="s">
        <v>58</v>
      </c>
      <c r="F225" s="39" t="n">
        <v>121</v>
      </c>
      <c r="G225" s="39" t="n">
        <v>68</v>
      </c>
      <c r="H225" s="40" t="n">
        <v>1365.14</v>
      </c>
      <c r="I225" s="40" t="n">
        <v>-8.32</v>
      </c>
      <c r="J225" s="40" t="n">
        <v>-81.33</v>
      </c>
      <c r="K225" s="41" t="n">
        <f aca="false">H225+I225+J225</f>
        <v>1275.49</v>
      </c>
      <c r="L225" s="42" t="n">
        <f aca="false">IF($K$1282=0,0,K225/$K$1282)</f>
        <v>0.000105659598939758</v>
      </c>
      <c r="M225" s="43" t="n">
        <f aca="false">IF(F225&lt;=0,0,K225/F225)</f>
        <v>10.5412396694215</v>
      </c>
      <c r="N225" s="40" t="n">
        <v>14.99</v>
      </c>
      <c r="O225" s="44" t="n">
        <v>0.2</v>
      </c>
      <c r="P225" s="43" t="n">
        <f aca="false">O225*'Price Groups'!$B$5</f>
        <v>4.5</v>
      </c>
      <c r="Q225" s="45" t="n">
        <f aca="false">IF(OR(N225="",P225=""),"",(N225-P225)/N225)</f>
        <v>0.699799866577719</v>
      </c>
      <c r="R225" s="46" t="n">
        <v>1</v>
      </c>
      <c r="S225" s="47" t="n">
        <f aca="false">IF(R225="-",0,IFERROR(VLOOKUP(R225,'Price Groups'!$A$13:$C$17,3,FALSE()),0))</f>
        <v>0.22</v>
      </c>
      <c r="T225" s="41" t="n">
        <f aca="false">IF(OR(N225="",R225="-"),"",CEILING(ROUND(N225*(1+S225),2),IF(N225*(1+S225)&lt;100,0.5,IF(N225*(1+S225)&lt;1000,1,5))))</f>
        <v>18.5</v>
      </c>
      <c r="U225" s="45" t="n">
        <f aca="false">IF(OR(T225="",P225=""),"",(T225-P225)/T225)</f>
        <v>0.756756756756757</v>
      </c>
      <c r="V225" s="45" t="n">
        <f aca="false">IF(T225="",0,T225/N225-1)</f>
        <v>0.23415610406938</v>
      </c>
      <c r="W225" s="38" t="s">
        <v>94</v>
      </c>
    </row>
    <row r="226" customFormat="false" ht="15" hidden="false" customHeight="false" outlineLevel="0" collapsed="false">
      <c r="A226" s="19" t="n">
        <v>175</v>
      </c>
      <c r="B226" s="19" t="s">
        <v>349</v>
      </c>
      <c r="C226" s="19" t="s">
        <v>57</v>
      </c>
      <c r="D226" s="19"/>
      <c r="E226" s="19" t="s">
        <v>58</v>
      </c>
      <c r="F226" s="20" t="n">
        <v>121</v>
      </c>
      <c r="G226" s="20" t="n">
        <v>73</v>
      </c>
      <c r="H226" s="21" t="n">
        <v>2364.44</v>
      </c>
      <c r="I226" s="21" t="n">
        <v>-18.47</v>
      </c>
      <c r="J226" s="21" t="n">
        <v>-307.57</v>
      </c>
      <c r="K226" s="22" t="n">
        <f aca="false">H226+I226+J226</f>
        <v>2038.4</v>
      </c>
      <c r="L226" s="23" t="n">
        <f aca="false">IF($K$1282=0,0,K226/$K$1282)</f>
        <v>0.000168857871468066</v>
      </c>
      <c r="M226" s="24" t="n">
        <f aca="false">IF(F226&lt;=0,0,K226/F226)</f>
        <v>16.8462809917355</v>
      </c>
      <c r="N226" s="21" t="n">
        <v>15.38</v>
      </c>
      <c r="O226" s="49" t="n">
        <v>0.48</v>
      </c>
      <c r="P226" s="24" t="n">
        <f aca="false">O226*'Price Groups'!$B$5</f>
        <v>10.8</v>
      </c>
      <c r="Q226" s="26" t="n">
        <f aca="false">IF(OR(N226="",P226=""),"",(N226-P226)/N226)</f>
        <v>0.29778933680104</v>
      </c>
      <c r="R226" s="27" t="n">
        <v>1</v>
      </c>
      <c r="S226" s="28" t="n">
        <f aca="false">IF(R226="-",0,IFERROR(VLOOKUP(R226,'Price Groups'!$A$13:$C$17,3,FALSE()),0))</f>
        <v>0.22</v>
      </c>
      <c r="T226" s="22" t="n">
        <f aca="false">IF(OR(N226="",R226="-"),"",CEILING(ROUND(N226*(1+S226),2),IF(N226*(1+S226)&lt;100,0.5,IF(N226*(1+S226)&lt;1000,1,5))))</f>
        <v>19</v>
      </c>
      <c r="U226" s="26" t="n">
        <f aca="false">IF(OR(T226="",P226=""),"",(T226-P226)/T226)</f>
        <v>0.431578947368421</v>
      </c>
      <c r="V226" s="26" t="n">
        <f aca="false">IF(T226="",0,T226/N226-1)</f>
        <v>0.235370611183355</v>
      </c>
      <c r="W226" s="19" t="s">
        <v>94</v>
      </c>
    </row>
    <row r="227" customFormat="false" ht="15" hidden="false" customHeight="false" outlineLevel="0" collapsed="false">
      <c r="A227" s="38" t="n">
        <v>176</v>
      </c>
      <c r="B227" s="38" t="s">
        <v>350</v>
      </c>
      <c r="C227" s="38" t="s">
        <v>57</v>
      </c>
      <c r="D227" s="38"/>
      <c r="E227" s="38" t="s">
        <v>58</v>
      </c>
      <c r="F227" s="39" t="n">
        <v>121</v>
      </c>
      <c r="G227" s="39" t="n">
        <v>81</v>
      </c>
      <c r="H227" s="40" t="n">
        <v>5985.27</v>
      </c>
      <c r="I227" s="40" t="n">
        <v>-9.95</v>
      </c>
      <c r="J227" s="40" t="n">
        <v>-1424.77</v>
      </c>
      <c r="K227" s="41" t="n">
        <f aca="false">H227+I227+J227</f>
        <v>4550.55</v>
      </c>
      <c r="L227" s="42" t="n">
        <f aca="false">IF($K$1282=0,0,K227/$K$1282)</f>
        <v>0.000376960452810541</v>
      </c>
      <c r="M227" s="43" t="n">
        <f aca="false">IF(F227&lt;=0,0,K227/F227)</f>
        <v>37.6078512396694</v>
      </c>
      <c r="N227" s="40" t="n">
        <v>34.99</v>
      </c>
      <c r="O227" s="44" t="n">
        <v>0.47</v>
      </c>
      <c r="P227" s="43" t="n">
        <f aca="false">O227*'Price Groups'!$B$5</f>
        <v>10.575</v>
      </c>
      <c r="Q227" s="45" t="n">
        <f aca="false">IF(OR(N227="",P227=""),"",(N227-P227)/N227)</f>
        <v>0.697770791654759</v>
      </c>
      <c r="R227" s="46" t="n">
        <v>1</v>
      </c>
      <c r="S227" s="47" t="n">
        <f aca="false">IF(R227="-",0,IFERROR(VLOOKUP(R227,'Price Groups'!$A$13:$C$17,3,FALSE()),0))</f>
        <v>0.22</v>
      </c>
      <c r="T227" s="41" t="n">
        <f aca="false">IF(OR(N227="",R227="-"),"",CEILING(ROUND(N227*(1+S227),2),IF(N227*(1+S227)&lt;100,0.5,IF(N227*(1+S227)&lt;1000,1,5))))</f>
        <v>43</v>
      </c>
      <c r="U227" s="45" t="n">
        <f aca="false">IF(OR(T227="",P227=""),"",(T227-P227)/T227)</f>
        <v>0.75406976744186</v>
      </c>
      <c r="V227" s="45" t="n">
        <f aca="false">IF(T227="",0,T227/N227-1)</f>
        <v>0.2289225492998</v>
      </c>
      <c r="W227" s="38" t="s">
        <v>94</v>
      </c>
    </row>
    <row r="228" customFormat="false" ht="15" hidden="false" customHeight="false" outlineLevel="0" collapsed="false">
      <c r="A228" s="19" t="n">
        <v>177</v>
      </c>
      <c r="B228" s="19" t="s">
        <v>351</v>
      </c>
      <c r="C228" s="19" t="s">
        <v>57</v>
      </c>
      <c r="D228" s="19"/>
      <c r="E228" s="19" t="s">
        <v>58</v>
      </c>
      <c r="F228" s="20" t="n">
        <v>121</v>
      </c>
      <c r="G228" s="20" t="n">
        <v>88</v>
      </c>
      <c r="H228" s="21" t="n">
        <v>32166.6</v>
      </c>
      <c r="I228" s="21" t="n">
        <v>-495.38</v>
      </c>
      <c r="J228" s="21" t="n">
        <v>-3270.78</v>
      </c>
      <c r="K228" s="22" t="n">
        <f aca="false">H228+I228+J228</f>
        <v>28400.44</v>
      </c>
      <c r="L228" s="23" t="n">
        <f aca="false">IF($K$1282=0,0,K228/$K$1282)</f>
        <v>0.00235264808043392</v>
      </c>
      <c r="M228" s="24" t="n">
        <f aca="false">IF(F228&lt;=0,0,K228/F228)</f>
        <v>234.714380165289</v>
      </c>
      <c r="N228" s="21" t="n">
        <v>249.99</v>
      </c>
      <c r="O228" s="49" t="n">
        <v>4.3</v>
      </c>
      <c r="P228" s="24" t="n">
        <f aca="false">O228*'Price Groups'!$B$5</f>
        <v>96.75</v>
      </c>
      <c r="Q228" s="26" t="n">
        <f aca="false">IF(OR(N228="",P228=""),"",(N228-P228)/N228)</f>
        <v>0.612984519380775</v>
      </c>
      <c r="R228" s="27" t="n">
        <v>3</v>
      </c>
      <c r="S228" s="28" t="n">
        <f aca="false">IF(R228="-",0,IFERROR(VLOOKUP(R228,'Price Groups'!$A$13:$C$17,3,FALSE()),0))</f>
        <v>0.16</v>
      </c>
      <c r="T228" s="22" t="n">
        <f aca="false">IF(OR(N228="",R228="-"),"",CEILING(ROUND(N228*(1+S228),2),IF(N228*(1+S228)&lt;100,0.5,IF(N228*(1+S228)&lt;1000,1,5))))</f>
        <v>290</v>
      </c>
      <c r="U228" s="26" t="n">
        <f aca="false">IF(OR(T228="",P228=""),"",(T228-P228)/T228)</f>
        <v>0.666379310344828</v>
      </c>
      <c r="V228" s="26" t="n">
        <f aca="false">IF(T228="",0,T228/N228-1)</f>
        <v>0.160046401856074</v>
      </c>
      <c r="W228" s="19" t="s">
        <v>107</v>
      </c>
    </row>
    <row r="229" customFormat="false" ht="15" hidden="false" customHeight="false" outlineLevel="0" collapsed="false">
      <c r="A229" s="38" t="n">
        <v>178</v>
      </c>
      <c r="B229" s="38" t="s">
        <v>352</v>
      </c>
      <c r="C229" s="38" t="s">
        <v>57</v>
      </c>
      <c r="D229" s="38"/>
      <c r="E229" s="38" t="s">
        <v>58</v>
      </c>
      <c r="F229" s="39" t="n">
        <v>116</v>
      </c>
      <c r="G229" s="39" t="n">
        <v>38</v>
      </c>
      <c r="H229" s="40" t="n">
        <v>2156.52</v>
      </c>
      <c r="I229" s="40" t="n">
        <v>-10.92</v>
      </c>
      <c r="J229" s="40" t="n">
        <v>-114</v>
      </c>
      <c r="K229" s="41" t="n">
        <f aca="false">H229+I229+J229</f>
        <v>2031.6</v>
      </c>
      <c r="L229" s="42" t="n">
        <f aca="false">IF($K$1282=0,0,K229/$K$1282)</f>
        <v>0.000168294570091504</v>
      </c>
      <c r="M229" s="43" t="n">
        <f aca="false">IF(F229&lt;=0,0,K229/F229)</f>
        <v>17.5137931034483</v>
      </c>
      <c r="N229" s="40" t="n">
        <v>24.99</v>
      </c>
      <c r="O229" s="44" t="n">
        <v>0.43</v>
      </c>
      <c r="P229" s="43" t="n">
        <f aca="false">O229*'Price Groups'!$B$5</f>
        <v>9.675</v>
      </c>
      <c r="Q229" s="45" t="n">
        <f aca="false">IF(OR(N229="",P229=""),"",(N229-P229)/N229)</f>
        <v>0.612845138055222</v>
      </c>
      <c r="R229" s="46" t="n">
        <v>1</v>
      </c>
      <c r="S229" s="47" t="n">
        <f aca="false">IF(R229="-",0,IFERROR(VLOOKUP(R229,'Price Groups'!$A$13:$C$17,3,FALSE()),0))</f>
        <v>0.22</v>
      </c>
      <c r="T229" s="41" t="n">
        <f aca="false">IF(OR(N229="",R229="-"),"",CEILING(ROUND(N229*(1+S229),2),IF(N229*(1+S229)&lt;100,0.5,IF(N229*(1+S229)&lt;1000,1,5))))</f>
        <v>30.5</v>
      </c>
      <c r="U229" s="45" t="n">
        <f aca="false">IF(OR(T229="",P229=""),"",(T229-P229)/T229)</f>
        <v>0.682786885245902</v>
      </c>
      <c r="V229" s="45" t="n">
        <f aca="false">IF(T229="",0,T229/N229-1)</f>
        <v>0.220488195278111</v>
      </c>
      <c r="W229" s="38" t="s">
        <v>94</v>
      </c>
    </row>
    <row r="230" customFormat="false" ht="15" hidden="false" customHeight="false" outlineLevel="0" collapsed="false">
      <c r="A230" s="19" t="n">
        <v>179</v>
      </c>
      <c r="B230" s="19" t="s">
        <v>353</v>
      </c>
      <c r="C230" s="19" t="s">
        <v>57</v>
      </c>
      <c r="D230" s="19"/>
      <c r="E230" s="19" t="s">
        <v>58</v>
      </c>
      <c r="F230" s="20" t="n">
        <v>116</v>
      </c>
      <c r="G230" s="20" t="n">
        <v>94</v>
      </c>
      <c r="H230" s="21" t="n">
        <v>19629.37</v>
      </c>
      <c r="I230" s="21" t="n">
        <v>-437.85</v>
      </c>
      <c r="J230" s="21" t="n">
        <v>-5772.86</v>
      </c>
      <c r="K230" s="22" t="n">
        <f aca="false">H230+I230+J230</f>
        <v>13418.66</v>
      </c>
      <c r="L230" s="23" t="n">
        <f aca="false">IF($K$1282=0,0,K230/$K$1282)</f>
        <v>0.001111580830825</v>
      </c>
      <c r="M230" s="24" t="n">
        <f aca="false">IF(F230&lt;=0,0,K230/F230)</f>
        <v>115.678103448276</v>
      </c>
      <c r="N230" s="21" t="n">
        <v>129.99</v>
      </c>
      <c r="O230" s="49" t="n">
        <v>2.9</v>
      </c>
      <c r="P230" s="24" t="n">
        <f aca="false">O230*'Price Groups'!$B$5</f>
        <v>65.25</v>
      </c>
      <c r="Q230" s="26" t="n">
        <f aca="false">IF(OR(N230="",P230=""),"",(N230-P230)/N230)</f>
        <v>0.49803831063928</v>
      </c>
      <c r="R230" s="27" t="n">
        <v>3</v>
      </c>
      <c r="S230" s="28" t="n">
        <f aca="false">IF(R230="-",0,IFERROR(VLOOKUP(R230,'Price Groups'!$A$13:$C$17,3,FALSE()),0))</f>
        <v>0.16</v>
      </c>
      <c r="T230" s="22" t="n">
        <f aca="false">IF(OR(N230="",R230="-"),"",CEILING(ROUND(N230*(1+S230),2),IF(N230*(1+S230)&lt;100,0.5,IF(N230*(1+S230)&lt;1000,1,5))))</f>
        <v>151</v>
      </c>
      <c r="U230" s="26" t="n">
        <f aca="false">IF(OR(T230="",P230=""),"",(T230-P230)/T230)</f>
        <v>0.567880794701987</v>
      </c>
      <c r="V230" s="26" t="n">
        <f aca="false">IF(T230="",0,T230/N230-1)</f>
        <v>0.161627817524425</v>
      </c>
      <c r="W230" s="19" t="s">
        <v>107</v>
      </c>
    </row>
    <row r="231" customFormat="false" ht="15" hidden="false" customHeight="false" outlineLevel="0" collapsed="false">
      <c r="A231" s="38" t="n">
        <v>180</v>
      </c>
      <c r="B231" s="38" t="s">
        <v>354</v>
      </c>
      <c r="C231" s="38" t="s">
        <v>57</v>
      </c>
      <c r="D231" s="38"/>
      <c r="E231" s="38" t="s">
        <v>58</v>
      </c>
      <c r="F231" s="39" t="n">
        <v>115</v>
      </c>
      <c r="G231" s="39" t="n">
        <v>27</v>
      </c>
      <c r="H231" s="40" t="n">
        <v>5954.16</v>
      </c>
      <c r="I231" s="40" t="n">
        <v>-490.2</v>
      </c>
      <c r="J231" s="40" t="n">
        <v>-1180.98</v>
      </c>
      <c r="K231" s="41" t="n">
        <f aca="false">H231+I231+J231</f>
        <v>4282.98</v>
      </c>
      <c r="L231" s="42" t="n">
        <f aca="false">IF($K$1282=0,0,K231/$K$1282)</f>
        <v>0.000354795372027225</v>
      </c>
      <c r="M231" s="43" t="n">
        <f aca="false">IF(F231&lt;=0,0,K231/F231)</f>
        <v>37.2433043478261</v>
      </c>
      <c r="N231" s="40" t="n">
        <v>49.99</v>
      </c>
      <c r="O231" s="44" t="n">
        <v>0.86</v>
      </c>
      <c r="P231" s="43" t="n">
        <f aca="false">O231*'Price Groups'!$B$5</f>
        <v>19.35</v>
      </c>
      <c r="Q231" s="45" t="n">
        <f aca="false">IF(OR(N231="",P231=""),"",(N231-P231)/N231)</f>
        <v>0.612922584516903</v>
      </c>
      <c r="R231" s="46" t="n">
        <v>1</v>
      </c>
      <c r="S231" s="47" t="n">
        <f aca="false">IF(R231="-",0,IFERROR(VLOOKUP(R231,'Price Groups'!$A$13:$C$17,3,FALSE()),0))</f>
        <v>0.22</v>
      </c>
      <c r="T231" s="41" t="n">
        <f aca="false">IF(OR(N231="",R231="-"),"",CEILING(ROUND(N231*(1+S231),2),IF(N231*(1+S231)&lt;100,0.5,IF(N231*(1+S231)&lt;1000,1,5))))</f>
        <v>61</v>
      </c>
      <c r="U231" s="45" t="n">
        <f aca="false">IF(OR(T231="",P231=""),"",(T231-P231)/T231)</f>
        <v>0.682786885245902</v>
      </c>
      <c r="V231" s="45" t="n">
        <f aca="false">IF(T231="",0,T231/N231-1)</f>
        <v>0.220244048809762</v>
      </c>
      <c r="W231" s="38" t="s">
        <v>94</v>
      </c>
    </row>
    <row r="232" customFormat="false" ht="15" hidden="false" customHeight="false" outlineLevel="0" collapsed="false">
      <c r="A232" s="19" t="n">
        <v>181</v>
      </c>
      <c r="B232" s="19" t="s">
        <v>355</v>
      </c>
      <c r="C232" s="19" t="s">
        <v>57</v>
      </c>
      <c r="D232" s="19"/>
      <c r="E232" s="19" t="s">
        <v>58</v>
      </c>
      <c r="F232" s="20" t="n">
        <v>114</v>
      </c>
      <c r="G232" s="20" t="n">
        <v>93</v>
      </c>
      <c r="H232" s="21" t="n">
        <v>46777.5</v>
      </c>
      <c r="I232" s="21" t="n">
        <v>-355.5</v>
      </c>
      <c r="J232" s="21" t="n">
        <v>-8596.5</v>
      </c>
      <c r="K232" s="22" t="n">
        <f aca="false">H232+I232+J232</f>
        <v>37825.5</v>
      </c>
      <c r="L232" s="23" t="n">
        <f aca="false">IF($K$1282=0,0,K232/$K$1282)</f>
        <v>0.00313340532634189</v>
      </c>
      <c r="M232" s="24" t="n">
        <f aca="false">IF(F232&lt;=0,0,K232/F232)</f>
        <v>331.802631578947</v>
      </c>
      <c r="N232" s="21" t="n">
        <v>346.5</v>
      </c>
      <c r="O232" s="49" t="n">
        <v>6.75</v>
      </c>
      <c r="P232" s="24" t="n">
        <f aca="false">O232*'Price Groups'!$B$5</f>
        <v>151.875</v>
      </c>
      <c r="Q232" s="26" t="n">
        <f aca="false">IF(OR(N232="",P232=""),"",(N232-P232)/N232)</f>
        <v>0.561688311688312</v>
      </c>
      <c r="R232" s="27" t="n">
        <v>3</v>
      </c>
      <c r="S232" s="28" t="n">
        <f aca="false">IF(R232="-",0,IFERROR(VLOOKUP(R232,'Price Groups'!$A$13:$C$17,3,FALSE()),0))</f>
        <v>0.16</v>
      </c>
      <c r="T232" s="22" t="n">
        <f aca="false">IF(OR(N232="",R232="-"),"",CEILING(ROUND(N232*(1+S232),2),IF(N232*(1+S232)&lt;100,0.5,IF(N232*(1+S232)&lt;1000,1,5))))</f>
        <v>402</v>
      </c>
      <c r="U232" s="26" t="n">
        <f aca="false">IF(OR(T232="",P232=""),"",(T232-P232)/T232)</f>
        <v>0.622201492537313</v>
      </c>
      <c r="V232" s="26" t="n">
        <f aca="false">IF(T232="",0,T232/N232-1)</f>
        <v>0.16017316017316</v>
      </c>
      <c r="W232" s="19" t="s">
        <v>107</v>
      </c>
    </row>
    <row r="233" customFormat="false" ht="15" hidden="false" customHeight="false" outlineLevel="0" collapsed="false">
      <c r="A233" s="38" t="n">
        <v>182</v>
      </c>
      <c r="B233" s="38" t="s">
        <v>356</v>
      </c>
      <c r="C233" s="38" t="s">
        <v>57</v>
      </c>
      <c r="D233" s="38"/>
      <c r="E233" s="38" t="s">
        <v>58</v>
      </c>
      <c r="F233" s="39" t="n">
        <v>114</v>
      </c>
      <c r="G233" s="39" t="n">
        <v>45</v>
      </c>
      <c r="H233" s="40" t="n">
        <v>15429.15</v>
      </c>
      <c r="I233" s="40" t="n">
        <v>-398.73</v>
      </c>
      <c r="J233" s="40" t="n">
        <v>-389.99</v>
      </c>
      <c r="K233" s="41" t="n">
        <f aca="false">H233+I233+J233</f>
        <v>14640.43</v>
      </c>
      <c r="L233" s="42" t="n">
        <f aca="false">IF($K$1282=0,0,K233/$K$1282)</f>
        <v>0.00121279034888992</v>
      </c>
      <c r="M233" s="43" t="n">
        <f aca="false">IF(F233&lt;=0,0,K233/F233)</f>
        <v>128.424824561404</v>
      </c>
      <c r="N233" s="40" t="n">
        <v>80</v>
      </c>
      <c r="O233" s="44" t="n">
        <v>3.44</v>
      </c>
      <c r="P233" s="43" t="n">
        <f aca="false">O233*'Price Groups'!$B$5</f>
        <v>77.4</v>
      </c>
      <c r="Q233" s="45" t="n">
        <f aca="false">IF(OR(N233="",P233=""),"",(N233-P233)/N233)</f>
        <v>0.0324999999999999</v>
      </c>
      <c r="R233" s="46" t="n">
        <v>1</v>
      </c>
      <c r="S233" s="47" t="n">
        <f aca="false">IF(R233="-",0,IFERROR(VLOOKUP(R233,'Price Groups'!$A$13:$C$17,3,FALSE()),0))</f>
        <v>0.22</v>
      </c>
      <c r="T233" s="41" t="n">
        <f aca="false">IF(OR(N233="",R233="-"),"",CEILING(ROUND(N233*(1+S233),2),IF(N233*(1+S233)&lt;100,0.5,IF(N233*(1+S233)&lt;1000,1,5))))</f>
        <v>98</v>
      </c>
      <c r="U233" s="45" t="n">
        <f aca="false">IF(OR(T233="",P233=""),"",(T233-P233)/T233)</f>
        <v>0.210204081632653</v>
      </c>
      <c r="V233" s="45" t="n">
        <f aca="false">IF(T233="",0,T233/N233-1)</f>
        <v>0.225</v>
      </c>
      <c r="W233" s="38" t="s">
        <v>357</v>
      </c>
    </row>
    <row r="234" customFormat="false" ht="15" hidden="false" customHeight="false" outlineLevel="0" collapsed="false">
      <c r="A234" s="19" t="n">
        <v>183</v>
      </c>
      <c r="B234" s="19" t="s">
        <v>358</v>
      </c>
      <c r="C234" s="19" t="s">
        <v>57</v>
      </c>
      <c r="D234" s="19"/>
      <c r="E234" s="19" t="s">
        <v>58</v>
      </c>
      <c r="F234" s="20" t="n">
        <v>113</v>
      </c>
      <c r="G234" s="20" t="n">
        <v>78</v>
      </c>
      <c r="H234" s="21" t="n">
        <v>2624</v>
      </c>
      <c r="I234" s="21" t="n">
        <v>-23.39</v>
      </c>
      <c r="J234" s="21" t="n">
        <v>-769.06</v>
      </c>
      <c r="K234" s="22" t="n">
        <f aca="false">H234+I234+J234</f>
        <v>1831.55</v>
      </c>
      <c r="L234" s="23" t="n">
        <f aca="false">IF($K$1282=0,0,K234/$K$1282)</f>
        <v>0.000151722740623693</v>
      </c>
      <c r="M234" s="24" t="n">
        <f aca="false">IF(F234&lt;=0,0,K234/F234)</f>
        <v>16.208407079646</v>
      </c>
      <c r="N234" s="21" t="n">
        <v>17.28</v>
      </c>
      <c r="O234" s="49" t="n">
        <v>0.35</v>
      </c>
      <c r="P234" s="24" t="n">
        <f aca="false">O234*'Price Groups'!$B$5</f>
        <v>7.875</v>
      </c>
      <c r="Q234" s="26" t="n">
        <f aca="false">IF(OR(N234="",P234=""),"",(N234-P234)/N234)</f>
        <v>0.544270833333333</v>
      </c>
      <c r="R234" s="27" t="n">
        <v>1</v>
      </c>
      <c r="S234" s="28" t="n">
        <f aca="false">IF(R234="-",0,IFERROR(VLOOKUP(R234,'Price Groups'!$A$13:$C$17,3,FALSE()),0))</f>
        <v>0.22</v>
      </c>
      <c r="T234" s="22" t="n">
        <f aca="false">IF(OR(N234="",R234="-"),"",CEILING(ROUND(N234*(1+S234),2),IF(N234*(1+S234)&lt;100,0.5,IF(N234*(1+S234)&lt;1000,1,5))))</f>
        <v>21.5</v>
      </c>
      <c r="U234" s="26" t="n">
        <f aca="false">IF(OR(T234="",P234=""),"",(T234-P234)/T234)</f>
        <v>0.633720930232558</v>
      </c>
      <c r="V234" s="26" t="n">
        <f aca="false">IF(T234="",0,T234/N234-1)</f>
        <v>0.244212962962963</v>
      </c>
      <c r="W234" s="19" t="s">
        <v>94</v>
      </c>
    </row>
    <row r="235" customFormat="false" ht="15" hidden="false" customHeight="false" outlineLevel="0" collapsed="false">
      <c r="A235" s="38" t="n">
        <v>184</v>
      </c>
      <c r="B235" s="38" t="s">
        <v>165</v>
      </c>
      <c r="C235" s="38" t="s">
        <v>307</v>
      </c>
      <c r="D235" s="38" t="s">
        <v>164</v>
      </c>
      <c r="E235" s="38" t="s">
        <v>58</v>
      </c>
      <c r="F235" s="39" t="n">
        <v>113</v>
      </c>
      <c r="G235" s="39" t="n">
        <v>89</v>
      </c>
      <c r="H235" s="40" t="n">
        <v>40318.61</v>
      </c>
      <c r="I235" s="40" t="n">
        <v>-170.05</v>
      </c>
      <c r="J235" s="40" t="n">
        <v>-1925.96</v>
      </c>
      <c r="K235" s="41" t="n">
        <f aca="false">H235+I235+J235</f>
        <v>38222.6</v>
      </c>
      <c r="L235" s="42" t="n">
        <f aca="false">IF($K$1282=0,0,K235/$K$1282)</f>
        <v>0.00316630046996433</v>
      </c>
      <c r="M235" s="43" t="n">
        <f aca="false">IF(F235&lt;=0,0,K235/F235)</f>
        <v>338.253097345133</v>
      </c>
      <c r="N235" s="40" t="n">
        <v>380</v>
      </c>
      <c r="O235" s="44" t="n">
        <v>5.25</v>
      </c>
      <c r="P235" s="43" t="n">
        <f aca="false">O235*'Price Groups'!$B$5</f>
        <v>118.125</v>
      </c>
      <c r="Q235" s="45" t="n">
        <f aca="false">IF(OR(N235="",P235=""),"",(N235-P235)/N235)</f>
        <v>0.689144736842105</v>
      </c>
      <c r="R235" s="46" t="n">
        <v>4</v>
      </c>
      <c r="S235" s="47" t="n">
        <f aca="false">IF(R235="-",0,IFERROR(VLOOKUP(R235,'Price Groups'!$A$13:$C$17,3,FALSE()),0))</f>
        <v>0.15</v>
      </c>
      <c r="T235" s="41" t="n">
        <f aca="false">IF(OR(N235="",R235="-"),"",CEILING(ROUND(N235*(1+S235),2),IF(N235*(1+S235)&lt;100,0.5,IF(N235*(1+S235)&lt;1000,1,5))))</f>
        <v>437</v>
      </c>
      <c r="U235" s="45" t="n">
        <f aca="false">IF(OR(T235="",P235=""),"",(T235-P235)/T235)</f>
        <v>0.729691075514874</v>
      </c>
      <c r="V235" s="45" t="n">
        <f aca="false">IF(T235="",0,T235/N235-1)</f>
        <v>0.15</v>
      </c>
      <c r="W235" s="38" t="s">
        <v>359</v>
      </c>
    </row>
    <row r="236" customFormat="false" ht="15" hidden="false" customHeight="false" outlineLevel="0" collapsed="false">
      <c r="A236" s="19" t="n">
        <v>185</v>
      </c>
      <c r="B236" s="19" t="s">
        <v>360</v>
      </c>
      <c r="C236" s="19" t="s">
        <v>57</v>
      </c>
      <c r="D236" s="19"/>
      <c r="E236" s="19" t="s">
        <v>58</v>
      </c>
      <c r="F236" s="20" t="n">
        <v>112</v>
      </c>
      <c r="G236" s="20" t="n">
        <v>75</v>
      </c>
      <c r="H236" s="21" t="n">
        <v>2131.16</v>
      </c>
      <c r="I236" s="21" t="n">
        <v>-19.19</v>
      </c>
      <c r="J236" s="21" t="n">
        <v>-235.47</v>
      </c>
      <c r="K236" s="22" t="n">
        <f aca="false">H236+I236+J236</f>
        <v>1876.5</v>
      </c>
      <c r="L236" s="23" t="n">
        <f aca="false">IF($K$1282=0,0,K236/$K$1282)</f>
        <v>0.000155446328399639</v>
      </c>
      <c r="M236" s="24" t="n">
        <f aca="false">IF(F236&lt;=0,0,K236/F236)</f>
        <v>16.7544642857143</v>
      </c>
      <c r="N236" s="21" t="n">
        <v>24.99</v>
      </c>
      <c r="O236" s="49" t="n">
        <v>0.49</v>
      </c>
      <c r="P236" s="24" t="n">
        <f aca="false">O236*'Price Groups'!$B$5</f>
        <v>11.025</v>
      </c>
      <c r="Q236" s="26" t="n">
        <f aca="false">IF(OR(N236="",P236=""),"",(N236-P236)/N236)</f>
        <v>0.558823529411765</v>
      </c>
      <c r="R236" s="27" t="n">
        <v>1</v>
      </c>
      <c r="S236" s="28" t="n">
        <f aca="false">IF(R236="-",0,IFERROR(VLOOKUP(R236,'Price Groups'!$A$13:$C$17,3,FALSE()),0))</f>
        <v>0.22</v>
      </c>
      <c r="T236" s="22" t="n">
        <f aca="false">IF(OR(N236="",R236="-"),"",CEILING(ROUND(N236*(1+S236),2),IF(N236*(1+S236)&lt;100,0.5,IF(N236*(1+S236)&lt;1000,1,5))))</f>
        <v>30.5</v>
      </c>
      <c r="U236" s="26" t="n">
        <f aca="false">IF(OR(T236="",P236=""),"",(T236-P236)/T236)</f>
        <v>0.638524590163935</v>
      </c>
      <c r="V236" s="26" t="n">
        <f aca="false">IF(T236="",0,T236/N236-1)</f>
        <v>0.220488195278111</v>
      </c>
      <c r="W236" s="19" t="s">
        <v>94</v>
      </c>
    </row>
    <row r="237" customFormat="false" ht="15" hidden="false" customHeight="false" outlineLevel="0" collapsed="false">
      <c r="A237" s="38" t="n">
        <v>186</v>
      </c>
      <c r="B237" s="38" t="s">
        <v>361</v>
      </c>
      <c r="C237" s="38" t="s">
        <v>57</v>
      </c>
      <c r="D237" s="38"/>
      <c r="E237" s="38" t="s">
        <v>58</v>
      </c>
      <c r="F237" s="39" t="n">
        <v>110</v>
      </c>
      <c r="G237" s="39" t="n">
        <v>93</v>
      </c>
      <c r="H237" s="40" t="n">
        <v>22669.08</v>
      </c>
      <c r="I237" s="40" t="n">
        <v>-129.95</v>
      </c>
      <c r="J237" s="40" t="n">
        <v>-2744.88</v>
      </c>
      <c r="K237" s="41" t="n">
        <f aca="false">H237+I237+J237</f>
        <v>19794.25</v>
      </c>
      <c r="L237" s="42" t="n">
        <f aca="false">IF($K$1282=0,0,K237/$K$1282)</f>
        <v>0.00163972474602961</v>
      </c>
      <c r="M237" s="43" t="n">
        <f aca="false">IF(F237&lt;=0,0,K237/F237)</f>
        <v>179.947727272727</v>
      </c>
      <c r="N237" s="40" t="n">
        <v>249.99</v>
      </c>
      <c r="O237" s="44" t="n">
        <v>2.3</v>
      </c>
      <c r="P237" s="43" t="n">
        <f aca="false">O237*'Price Groups'!$B$5</f>
        <v>51.75</v>
      </c>
      <c r="Q237" s="45" t="n">
        <f aca="false">IF(OR(N237="",P237=""),"",(N237-P237)/N237)</f>
        <v>0.792991719668787</v>
      </c>
      <c r="R237" s="46" t="n">
        <v>3</v>
      </c>
      <c r="S237" s="47" t="n">
        <f aca="false">IF(R237="-",0,IFERROR(VLOOKUP(R237,'Price Groups'!$A$13:$C$17,3,FALSE()),0))</f>
        <v>0.16</v>
      </c>
      <c r="T237" s="41" t="n">
        <f aca="false">IF(OR(N237="",R237="-"),"",CEILING(ROUND(N237*(1+S237),2),IF(N237*(1+S237)&lt;100,0.5,IF(N237*(1+S237)&lt;1000,1,5))))</f>
        <v>290</v>
      </c>
      <c r="U237" s="45" t="n">
        <f aca="false">IF(OR(T237="",P237=""),"",(T237-P237)/T237)</f>
        <v>0.821551724137931</v>
      </c>
      <c r="V237" s="45" t="n">
        <f aca="false">IF(T237="",0,T237/N237-1)</f>
        <v>0.160046401856074</v>
      </c>
      <c r="W237" s="38" t="s">
        <v>107</v>
      </c>
    </row>
    <row r="238" customFormat="false" ht="15" hidden="false" customHeight="false" outlineLevel="0" collapsed="false">
      <c r="A238" s="19" t="n">
        <v>187</v>
      </c>
      <c r="B238" s="19" t="s">
        <v>362</v>
      </c>
      <c r="C238" s="19" t="s">
        <v>57</v>
      </c>
      <c r="D238" s="19"/>
      <c r="E238" s="19" t="s">
        <v>58</v>
      </c>
      <c r="F238" s="20" t="n">
        <v>110</v>
      </c>
      <c r="G238" s="20" t="n">
        <v>64</v>
      </c>
      <c r="H238" s="21" t="n">
        <v>3222.96</v>
      </c>
      <c r="I238" s="21" t="n">
        <v>-26.78</v>
      </c>
      <c r="J238" s="21" t="n">
        <v>-276.38</v>
      </c>
      <c r="K238" s="22" t="n">
        <f aca="false">H238+I238+J238</f>
        <v>2919.8</v>
      </c>
      <c r="L238" s="23" t="n">
        <f aca="false">IF($K$1282=0,0,K238/$K$1282)</f>
        <v>0.000241871670482956</v>
      </c>
      <c r="M238" s="24" t="n">
        <f aca="false">IF(F238&lt;=0,0,K238/F238)</f>
        <v>26.5436363636364</v>
      </c>
      <c r="N238" s="21" t="n">
        <v>28.34</v>
      </c>
      <c r="O238" s="49" t="n">
        <v>0.48</v>
      </c>
      <c r="P238" s="24" t="n">
        <f aca="false">O238*'Price Groups'!$B$5</f>
        <v>10.8</v>
      </c>
      <c r="Q238" s="26" t="n">
        <f aca="false">IF(OR(N238="",P238=""),"",(N238-P238)/N238)</f>
        <v>0.618913196894848</v>
      </c>
      <c r="R238" s="27" t="n">
        <v>1</v>
      </c>
      <c r="S238" s="28" t="n">
        <f aca="false">IF(R238="-",0,IFERROR(VLOOKUP(R238,'Price Groups'!$A$13:$C$17,3,FALSE()),0))</f>
        <v>0.22</v>
      </c>
      <c r="T238" s="22" t="n">
        <f aca="false">IF(OR(N238="",R238="-"),"",CEILING(ROUND(N238*(1+S238),2),IF(N238*(1+S238)&lt;100,0.5,IF(N238*(1+S238)&lt;1000,1,5))))</f>
        <v>35</v>
      </c>
      <c r="U238" s="26" t="n">
        <f aca="false">IF(OR(T238="",P238=""),"",(T238-P238)/T238)</f>
        <v>0.691428571428572</v>
      </c>
      <c r="V238" s="26" t="n">
        <f aca="false">IF(T238="",0,T238/N238-1)</f>
        <v>0.23500352858151</v>
      </c>
      <c r="W238" s="19" t="s">
        <v>94</v>
      </c>
    </row>
    <row r="239" customFormat="false" ht="15" hidden="false" customHeight="false" outlineLevel="0" collapsed="false">
      <c r="A239" s="38" t="n">
        <v>188</v>
      </c>
      <c r="B239" s="38" t="s">
        <v>363</v>
      </c>
      <c r="C239" s="38" t="s">
        <v>57</v>
      </c>
      <c r="D239" s="38"/>
      <c r="E239" s="38" t="s">
        <v>58</v>
      </c>
      <c r="F239" s="39" t="n">
        <v>109</v>
      </c>
      <c r="G239" s="39" t="n">
        <v>54</v>
      </c>
      <c r="H239" s="40" t="n">
        <v>8317.95</v>
      </c>
      <c r="I239" s="40" t="n">
        <v>-231.99</v>
      </c>
      <c r="J239" s="40" t="n">
        <v>-769.35</v>
      </c>
      <c r="K239" s="41" t="n">
        <f aca="false">H239+I239+J239</f>
        <v>7316.61</v>
      </c>
      <c r="L239" s="42" t="n">
        <f aca="false">IF($K$1282=0,0,K239/$K$1282)</f>
        <v>0.000606096541876944</v>
      </c>
      <c r="M239" s="43" t="n">
        <f aca="false">IF(F239&lt;=0,0,K239/F239)</f>
        <v>67.1248623853211</v>
      </c>
      <c r="N239" s="40" t="n">
        <v>74.99</v>
      </c>
      <c r="O239" s="44" t="n">
        <v>1.5</v>
      </c>
      <c r="P239" s="43" t="n">
        <f aca="false">O239*'Price Groups'!$B$5</f>
        <v>33.75</v>
      </c>
      <c r="Q239" s="45" t="n">
        <f aca="false">IF(OR(N239="",P239=""),"",(N239-P239)/N239)</f>
        <v>0.549939991998933</v>
      </c>
      <c r="R239" s="46" t="n">
        <v>1</v>
      </c>
      <c r="S239" s="47" t="n">
        <f aca="false">IF(R239="-",0,IFERROR(VLOOKUP(R239,'Price Groups'!$A$13:$C$17,3,FALSE()),0))</f>
        <v>0.22</v>
      </c>
      <c r="T239" s="41" t="n">
        <f aca="false">IF(OR(N239="",R239="-"),"",CEILING(ROUND(N239*(1+S239),2),IF(N239*(1+S239)&lt;100,0.5,IF(N239*(1+S239)&lt;1000,1,5))))</f>
        <v>91.5</v>
      </c>
      <c r="U239" s="45" t="n">
        <f aca="false">IF(OR(T239="",P239=""),"",(T239-P239)/T239)</f>
        <v>0.631147540983607</v>
      </c>
      <c r="V239" s="45" t="n">
        <f aca="false">IF(T239="",0,T239/N239-1)</f>
        <v>0.220162688358448</v>
      </c>
      <c r="W239" s="38" t="s">
        <v>94</v>
      </c>
    </row>
    <row r="240" customFormat="false" ht="15" hidden="false" customHeight="false" outlineLevel="0" collapsed="false">
      <c r="A240" s="19" t="n">
        <v>189</v>
      </c>
      <c r="B240" s="19" t="s">
        <v>364</v>
      </c>
      <c r="C240" s="19" t="s">
        <v>57</v>
      </c>
      <c r="D240" s="19"/>
      <c r="E240" s="19" t="s">
        <v>58</v>
      </c>
      <c r="F240" s="20" t="n">
        <v>108</v>
      </c>
      <c r="G240" s="20" t="n">
        <v>60</v>
      </c>
      <c r="H240" s="21" t="n">
        <v>43471</v>
      </c>
      <c r="I240" s="21" t="n">
        <v>-634.1</v>
      </c>
      <c r="J240" s="21" t="n">
        <v>-395</v>
      </c>
      <c r="K240" s="22" t="n">
        <f aca="false">H240+I240+J240</f>
        <v>42441.9</v>
      </c>
      <c r="L240" s="23" t="n">
        <f aca="false">IF($K$1282=0,0,K240/$K$1282)</f>
        <v>0.00351582069027693</v>
      </c>
      <c r="M240" s="24" t="n">
        <f aca="false">IF(F240&lt;=0,0,K240/F240)</f>
        <v>392.980555555556</v>
      </c>
      <c r="N240" s="21" t="n">
        <v>410</v>
      </c>
      <c r="O240" s="49" t="n">
        <v>18.32</v>
      </c>
      <c r="P240" s="24" t="n">
        <f aca="false">O240*'Price Groups'!$B$5</f>
        <v>412.2</v>
      </c>
      <c r="Q240" s="26" t="n">
        <f aca="false">IF(OR(N240="",P240=""),"",(N240-P240)/N240)</f>
        <v>-0.00536585365853656</v>
      </c>
      <c r="R240" s="27" t="n">
        <v>1</v>
      </c>
      <c r="S240" s="28" t="n">
        <f aca="false">IF(R240="-",0,IFERROR(VLOOKUP(R240,'Price Groups'!$A$13:$C$17,3,FALSE()),0))</f>
        <v>0.22</v>
      </c>
      <c r="T240" s="22" t="n">
        <f aca="false">IF(OR(N240="",R240="-"),"",CEILING(ROUND(N240*(1+S240),2),IF(N240*(1+S240)&lt;100,0.5,IF(N240*(1+S240)&lt;1000,1,5))))</f>
        <v>501</v>
      </c>
      <c r="U240" s="26" t="n">
        <f aca="false">IF(OR(T240="",P240=""),"",(T240-P240)/T240)</f>
        <v>0.177245508982036</v>
      </c>
      <c r="V240" s="26" t="n">
        <f aca="false">IF(T240="",0,T240/N240-1)</f>
        <v>0.221951219512195</v>
      </c>
      <c r="W240" s="19" t="s">
        <v>365</v>
      </c>
    </row>
    <row r="241" customFormat="false" ht="15" hidden="false" customHeight="false" outlineLevel="0" collapsed="false">
      <c r="A241" s="38" t="n">
        <v>190</v>
      </c>
      <c r="B241" s="38" t="s">
        <v>366</v>
      </c>
      <c r="C241" s="38" t="s">
        <v>57</v>
      </c>
      <c r="D241" s="38"/>
      <c r="E241" s="38" t="s">
        <v>58</v>
      </c>
      <c r="F241" s="39" t="n">
        <v>108</v>
      </c>
      <c r="G241" s="39" t="n">
        <v>93</v>
      </c>
      <c r="H241" s="40" t="n">
        <v>34444.1</v>
      </c>
      <c r="I241" s="40" t="n">
        <v>-699.53</v>
      </c>
      <c r="J241" s="40" t="n">
        <v>-2119.46</v>
      </c>
      <c r="K241" s="41" t="n">
        <f aca="false">H241+I241+J241</f>
        <v>31625.11</v>
      </c>
      <c r="L241" s="42" t="n">
        <f aca="false">IF($K$1282=0,0,K241/$K$1282)</f>
        <v>0.00261977470542751</v>
      </c>
      <c r="M241" s="43" t="n">
        <f aca="false">IF(F241&lt;=0,0,K241/F241)</f>
        <v>292.825092592593</v>
      </c>
      <c r="N241" s="40" t="n">
        <v>249.99</v>
      </c>
      <c r="O241" s="44" t="n">
        <v>4.92</v>
      </c>
      <c r="P241" s="43" t="n">
        <f aca="false">O241*'Price Groups'!$B$5</f>
        <v>110.7</v>
      </c>
      <c r="Q241" s="45" t="n">
        <f aca="false">IF(OR(N241="",P241=""),"",(N241-P241)/N241)</f>
        <v>0.557182287291492</v>
      </c>
      <c r="R241" s="46" t="n">
        <v>3</v>
      </c>
      <c r="S241" s="47" t="n">
        <f aca="false">IF(R241="-",0,IFERROR(VLOOKUP(R241,'Price Groups'!$A$13:$C$17,3,FALSE()),0))</f>
        <v>0.16</v>
      </c>
      <c r="T241" s="41" t="n">
        <f aca="false">IF(OR(N241="",R241="-"),"",CEILING(ROUND(N241*(1+S241),2),IF(N241*(1+S241)&lt;100,0.5,IF(N241*(1+S241)&lt;1000,1,5))))</f>
        <v>290</v>
      </c>
      <c r="U241" s="45" t="n">
        <f aca="false">IF(OR(T241="",P241=""),"",(T241-P241)/T241)</f>
        <v>0.618275862068966</v>
      </c>
      <c r="V241" s="45" t="n">
        <f aca="false">IF(T241="",0,T241/N241-1)</f>
        <v>0.160046401856074</v>
      </c>
      <c r="W241" s="38" t="s">
        <v>107</v>
      </c>
    </row>
    <row r="242" customFormat="false" ht="15" hidden="false" customHeight="false" outlineLevel="0" collapsed="false">
      <c r="A242" s="19" t="n">
        <v>191</v>
      </c>
      <c r="B242" s="19" t="s">
        <v>367</v>
      </c>
      <c r="C242" s="19" t="s">
        <v>57</v>
      </c>
      <c r="D242" s="19"/>
      <c r="E242" s="19" t="s">
        <v>58</v>
      </c>
      <c r="F242" s="20" t="n">
        <v>108</v>
      </c>
      <c r="G242" s="20" t="n">
        <v>60</v>
      </c>
      <c r="H242" s="21" t="n">
        <v>8537.19</v>
      </c>
      <c r="I242" s="21" t="n">
        <v>-73.49</v>
      </c>
      <c r="J242" s="21" t="n">
        <v>-559.87</v>
      </c>
      <c r="K242" s="22" t="n">
        <f aca="false">H242+I242+J242</f>
        <v>7903.83</v>
      </c>
      <c r="L242" s="23" t="n">
        <f aca="false">IF($K$1282=0,0,K242/$K$1282)</f>
        <v>0.000654740929280534</v>
      </c>
      <c r="M242" s="24" t="n">
        <f aca="false">IF(F242&lt;=0,0,K242/F242)</f>
        <v>73.1836111111111</v>
      </c>
      <c r="N242" s="21" t="n">
        <v>199.99</v>
      </c>
      <c r="O242" s="49" t="n">
        <v>3.4</v>
      </c>
      <c r="P242" s="24" t="n">
        <f aca="false">O242*'Price Groups'!$B$5</f>
        <v>76.5</v>
      </c>
      <c r="Q242" s="26" t="n">
        <f aca="false">IF(OR(N242="",P242=""),"",(N242-P242)/N242)</f>
        <v>0.617480874043702</v>
      </c>
      <c r="R242" s="27" t="n">
        <v>1</v>
      </c>
      <c r="S242" s="28" t="n">
        <f aca="false">IF(R242="-",0,IFERROR(VLOOKUP(R242,'Price Groups'!$A$13:$C$17,3,FALSE()),0))</f>
        <v>0.22</v>
      </c>
      <c r="T242" s="22" t="n">
        <f aca="false">IF(OR(N242="",R242="-"),"",CEILING(ROUND(N242*(1+S242),2),IF(N242*(1+S242)&lt;100,0.5,IF(N242*(1+S242)&lt;1000,1,5))))</f>
        <v>244</v>
      </c>
      <c r="U242" s="26" t="n">
        <f aca="false">IF(OR(T242="",P242=""),"",(T242-P242)/T242)</f>
        <v>0.686475409836066</v>
      </c>
      <c r="V242" s="26" t="n">
        <f aca="false">IF(T242="",0,T242/N242-1)</f>
        <v>0.220061003050152</v>
      </c>
      <c r="W242" s="19" t="s">
        <v>94</v>
      </c>
    </row>
    <row r="243" customFormat="false" ht="15" hidden="false" customHeight="false" outlineLevel="0" collapsed="false">
      <c r="A243" s="38" t="n">
        <v>192</v>
      </c>
      <c r="B243" s="38" t="s">
        <v>368</v>
      </c>
      <c r="C243" s="38" t="s">
        <v>57</v>
      </c>
      <c r="D243" s="38"/>
      <c r="E243" s="38" t="s">
        <v>58</v>
      </c>
      <c r="F243" s="39" t="n">
        <v>107</v>
      </c>
      <c r="G243" s="39" t="n">
        <v>65</v>
      </c>
      <c r="H243" s="40" t="n">
        <v>22774.7</v>
      </c>
      <c r="I243" s="40" t="n">
        <v>-100.52</v>
      </c>
      <c r="J243" s="40" t="n">
        <v>-1665.6</v>
      </c>
      <c r="K243" s="41" t="n">
        <f aca="false">H243+I243+J243</f>
        <v>21008.58</v>
      </c>
      <c r="L243" s="42" t="n">
        <f aca="false">IF($K$1282=0,0,K243/$K$1282)</f>
        <v>0.00174031794611782</v>
      </c>
      <c r="M243" s="43" t="n">
        <f aca="false">IF(F243&lt;=0,0,K243/F243)</f>
        <v>196.341869158879</v>
      </c>
      <c r="N243" s="40" t="n">
        <v>199.99</v>
      </c>
      <c r="O243" s="44" t="n">
        <v>3.33</v>
      </c>
      <c r="P243" s="43" t="n">
        <f aca="false">O243*'Price Groups'!$B$5</f>
        <v>74.925</v>
      </c>
      <c r="Q243" s="45" t="n">
        <f aca="false">IF(OR(N243="",P243=""),"",(N243-P243)/N243)</f>
        <v>0.625356267813391</v>
      </c>
      <c r="R243" s="46" t="n">
        <v>3</v>
      </c>
      <c r="S243" s="47" t="n">
        <f aca="false">IF(R243="-",0,IFERROR(VLOOKUP(R243,'Price Groups'!$A$13:$C$17,3,FALSE()),0))</f>
        <v>0.16</v>
      </c>
      <c r="T243" s="41" t="n">
        <f aca="false">IF(OR(N243="",R243="-"),"",CEILING(ROUND(N243*(1+S243),2),IF(N243*(1+S243)&lt;100,0.5,IF(N243*(1+S243)&lt;1000,1,5))))</f>
        <v>232</v>
      </c>
      <c r="U243" s="45" t="n">
        <f aca="false">IF(OR(T243="",P243=""),"",(T243-P243)/T243)</f>
        <v>0.677047413793103</v>
      </c>
      <c r="V243" s="45" t="n">
        <f aca="false">IF(T243="",0,T243/N243-1)</f>
        <v>0.160058002900145</v>
      </c>
      <c r="W243" s="38" t="s">
        <v>107</v>
      </c>
    </row>
    <row r="244" customFormat="false" ht="15" hidden="false" customHeight="false" outlineLevel="0" collapsed="false">
      <c r="A244" s="19" t="n">
        <v>193</v>
      </c>
      <c r="B244" s="19" t="s">
        <v>369</v>
      </c>
      <c r="C244" s="19" t="s">
        <v>57</v>
      </c>
      <c r="D244" s="19"/>
      <c r="E244" s="19" t="s">
        <v>58</v>
      </c>
      <c r="F244" s="20" t="n">
        <v>107</v>
      </c>
      <c r="G244" s="20" t="n">
        <v>29</v>
      </c>
      <c r="H244" s="21" t="n">
        <v>3456</v>
      </c>
      <c r="I244" s="21" t="n">
        <v>-8.66</v>
      </c>
      <c r="J244" s="21" t="n">
        <v>-32</v>
      </c>
      <c r="K244" s="22" t="n">
        <f aca="false">H244+I244+J244</f>
        <v>3415.34</v>
      </c>
      <c r="L244" s="23" t="n">
        <f aca="false">IF($K$1282=0,0,K244/$K$1282)</f>
        <v>0.000282921429915494</v>
      </c>
      <c r="M244" s="24" t="n">
        <f aca="false">IF(F244&lt;=0,0,K244/F244)</f>
        <v>31.9190654205608</v>
      </c>
      <c r="N244" s="21" t="n">
        <v>32</v>
      </c>
      <c r="O244" s="49" t="n">
        <v>0.56</v>
      </c>
      <c r="P244" s="24" t="n">
        <f aca="false">O244*'Price Groups'!$B$5</f>
        <v>12.6</v>
      </c>
      <c r="Q244" s="26" t="n">
        <f aca="false">IF(OR(N244="",P244=""),"",(N244-P244)/N244)</f>
        <v>0.60625</v>
      </c>
      <c r="R244" s="27" t="n">
        <v>1</v>
      </c>
      <c r="S244" s="28" t="n">
        <f aca="false">IF(R244="-",0,IFERROR(VLOOKUP(R244,'Price Groups'!$A$13:$C$17,3,FALSE()),0))</f>
        <v>0.22</v>
      </c>
      <c r="T244" s="22" t="n">
        <f aca="false">IF(OR(N244="",R244="-"),"",CEILING(ROUND(N244*(1+S244),2),IF(N244*(1+S244)&lt;100,0.5,IF(N244*(1+S244)&lt;1000,1,5))))</f>
        <v>39.5</v>
      </c>
      <c r="U244" s="26" t="n">
        <f aca="false">IF(OR(T244="",P244=""),"",(T244-P244)/T244)</f>
        <v>0.681012658227848</v>
      </c>
      <c r="V244" s="26" t="n">
        <f aca="false">IF(T244="",0,T244/N244-1)</f>
        <v>0.234375</v>
      </c>
      <c r="W244" s="19" t="s">
        <v>94</v>
      </c>
    </row>
    <row r="245" customFormat="false" ht="15" hidden="false" customHeight="false" outlineLevel="0" collapsed="false">
      <c r="A245" s="38" t="n">
        <v>194</v>
      </c>
      <c r="B245" s="38" t="s">
        <v>370</v>
      </c>
      <c r="C245" s="38" t="s">
        <v>57</v>
      </c>
      <c r="D245" s="38"/>
      <c r="E245" s="38" t="s">
        <v>58</v>
      </c>
      <c r="F245" s="39" t="n">
        <v>106</v>
      </c>
      <c r="G245" s="39" t="n">
        <v>33</v>
      </c>
      <c r="H245" s="40" t="n">
        <v>2553</v>
      </c>
      <c r="I245" s="40" t="n">
        <v>-66.76</v>
      </c>
      <c r="J245" s="40" t="n">
        <v>-115</v>
      </c>
      <c r="K245" s="41" t="n">
        <f aca="false">H245+I245+J245</f>
        <v>2371.24</v>
      </c>
      <c r="L245" s="42" t="n">
        <f aca="false">IF($K$1282=0,0,K245/$K$1282)</f>
        <v>0.000196429817081994</v>
      </c>
      <c r="M245" s="43" t="n">
        <f aca="false">IF(F245&lt;=0,0,K245/F245)</f>
        <v>22.3701886792453</v>
      </c>
      <c r="N245" s="40" t="n">
        <v>34.99</v>
      </c>
      <c r="O245" s="44" t="n">
        <v>0.46</v>
      </c>
      <c r="P245" s="43" t="n">
        <f aca="false">O245*'Price Groups'!$B$5</f>
        <v>10.35</v>
      </c>
      <c r="Q245" s="45" t="n">
        <f aca="false">IF(OR(N245="",P245=""),"",(N245-P245)/N245)</f>
        <v>0.704201200342955</v>
      </c>
      <c r="R245" s="46" t="n">
        <v>1</v>
      </c>
      <c r="S245" s="47" t="n">
        <f aca="false">IF(R245="-",0,IFERROR(VLOOKUP(R245,'Price Groups'!$A$13:$C$17,3,FALSE()),0))</f>
        <v>0.22</v>
      </c>
      <c r="T245" s="41" t="n">
        <f aca="false">IF(OR(N245="",R245="-"),"",CEILING(ROUND(N245*(1+S245),2),IF(N245*(1+S245)&lt;100,0.5,IF(N245*(1+S245)&lt;1000,1,5))))</f>
        <v>43</v>
      </c>
      <c r="U245" s="45" t="n">
        <f aca="false">IF(OR(T245="",P245=""),"",(T245-P245)/T245)</f>
        <v>0.759302325581395</v>
      </c>
      <c r="V245" s="45" t="n">
        <f aca="false">IF(T245="",0,T245/N245-1)</f>
        <v>0.2289225492998</v>
      </c>
      <c r="W245" s="38" t="s">
        <v>94</v>
      </c>
    </row>
    <row r="246" customFormat="false" ht="15" hidden="false" customHeight="false" outlineLevel="0" collapsed="false">
      <c r="A246" s="19" t="n">
        <v>195</v>
      </c>
      <c r="B246" s="19" t="s">
        <v>371</v>
      </c>
      <c r="C246" s="19" t="s">
        <v>57</v>
      </c>
      <c r="D246" s="19"/>
      <c r="E246" s="19" t="s">
        <v>58</v>
      </c>
      <c r="F246" s="20" t="n">
        <v>105</v>
      </c>
      <c r="G246" s="20" t="n">
        <v>93</v>
      </c>
      <c r="H246" s="21" t="n">
        <v>47211.51</v>
      </c>
      <c r="I246" s="21" t="n">
        <v>-675.73</v>
      </c>
      <c r="J246" s="21" t="n">
        <v>-7049.35</v>
      </c>
      <c r="K246" s="22" t="n">
        <f aca="false">H246+I246+J246</f>
        <v>39486.43</v>
      </c>
      <c r="L246" s="23" t="n">
        <f aca="false">IF($K$1282=0,0,K246/$K$1282)</f>
        <v>0.00327099417272016</v>
      </c>
      <c r="M246" s="24" t="n">
        <f aca="false">IF(F246&lt;=0,0,K246/F246)</f>
        <v>376.061238095238</v>
      </c>
      <c r="N246" s="21" t="n">
        <v>349.99</v>
      </c>
      <c r="O246" s="49" t="n">
        <v>10.07</v>
      </c>
      <c r="P246" s="24" t="n">
        <f aca="false">O246*'Price Groups'!$B$5</f>
        <v>226.575</v>
      </c>
      <c r="Q246" s="26" t="n">
        <f aca="false">IF(OR(N246="",P246=""),"",(N246-P246)/N246)</f>
        <v>0.35262436069602</v>
      </c>
      <c r="R246" s="27" t="n">
        <v>2</v>
      </c>
      <c r="S246" s="28" t="n">
        <f aca="false">IF(R246="-",0,IFERROR(VLOOKUP(R246,'Price Groups'!$A$13:$C$17,3,FALSE()),0))</f>
        <v>0.18</v>
      </c>
      <c r="T246" s="22" t="n">
        <f aca="false">IF(OR(N246="",R246="-"),"",CEILING(ROUND(N246*(1+S246),2),IF(N246*(1+S246)&lt;100,0.5,IF(N246*(1+S246)&lt;1000,1,5))))</f>
        <v>413</v>
      </c>
      <c r="U246" s="26" t="n">
        <f aca="false">IF(OR(T246="",P246=""),"",(T246-P246)/T246)</f>
        <v>0.451392251815981</v>
      </c>
      <c r="V246" s="26" t="n">
        <f aca="false">IF(T246="",0,T246/N246-1)</f>
        <v>0.180033715249007</v>
      </c>
      <c r="W246" s="19" t="s">
        <v>237</v>
      </c>
    </row>
    <row r="247" customFormat="false" ht="15" hidden="false" customHeight="false" outlineLevel="0" collapsed="false">
      <c r="A247" s="38" t="n">
        <v>196</v>
      </c>
      <c r="B247" s="38" t="s">
        <v>372</v>
      </c>
      <c r="C247" s="38" t="s">
        <v>57</v>
      </c>
      <c r="D247" s="38"/>
      <c r="E247" s="38" t="s">
        <v>58</v>
      </c>
      <c r="F247" s="39" t="n">
        <v>104</v>
      </c>
      <c r="G247" s="39" t="n">
        <v>76</v>
      </c>
      <c r="H247" s="40" t="n">
        <v>2518.34</v>
      </c>
      <c r="I247" s="40" t="n">
        <v>-25.09</v>
      </c>
      <c r="J247" s="40" t="n">
        <v>-456.89</v>
      </c>
      <c r="K247" s="41" t="n">
        <f aca="false">H247+I247+J247</f>
        <v>2036.36</v>
      </c>
      <c r="L247" s="42" t="n">
        <f aca="false">IF($K$1282=0,0,K247/$K$1282)</f>
        <v>0.000168688881055097</v>
      </c>
      <c r="M247" s="43" t="n">
        <f aca="false">IF(F247&lt;=0,0,K247/F247)</f>
        <v>19.5803846153846</v>
      </c>
      <c r="N247" s="40" t="n">
        <v>24.99</v>
      </c>
      <c r="O247" s="44" t="n">
        <v>0.56</v>
      </c>
      <c r="P247" s="43" t="n">
        <f aca="false">O247*'Price Groups'!$B$5</f>
        <v>12.6</v>
      </c>
      <c r="Q247" s="45" t="n">
        <f aca="false">IF(OR(N247="",P247=""),"",(N247-P247)/N247)</f>
        <v>0.495798319327731</v>
      </c>
      <c r="R247" s="46" t="n">
        <v>1</v>
      </c>
      <c r="S247" s="47" t="n">
        <f aca="false">IF(R247="-",0,IFERROR(VLOOKUP(R247,'Price Groups'!$A$13:$C$17,3,FALSE()),0))</f>
        <v>0.22</v>
      </c>
      <c r="T247" s="41" t="n">
        <f aca="false">IF(OR(N247="",R247="-"),"",CEILING(ROUND(N247*(1+S247),2),IF(N247*(1+S247)&lt;100,0.5,IF(N247*(1+S247)&lt;1000,1,5))))</f>
        <v>30.5</v>
      </c>
      <c r="U247" s="45" t="n">
        <f aca="false">IF(OR(T247="",P247=""),"",(T247-P247)/T247)</f>
        <v>0.586885245901639</v>
      </c>
      <c r="V247" s="45" t="n">
        <f aca="false">IF(T247="",0,T247/N247-1)</f>
        <v>0.220488195278111</v>
      </c>
      <c r="W247" s="38" t="s">
        <v>94</v>
      </c>
    </row>
    <row r="248" customFormat="false" ht="15" hidden="false" customHeight="false" outlineLevel="0" collapsed="false">
      <c r="A248" s="19" t="n">
        <v>197</v>
      </c>
      <c r="B248" s="19" t="s">
        <v>373</v>
      </c>
      <c r="C248" s="19" t="s">
        <v>57</v>
      </c>
      <c r="D248" s="19"/>
      <c r="E248" s="19" t="s">
        <v>58</v>
      </c>
      <c r="F248" s="20" t="n">
        <v>104</v>
      </c>
      <c r="G248" s="20" t="n">
        <v>50</v>
      </c>
      <c r="H248" s="21" t="n">
        <v>21143.19</v>
      </c>
      <c r="I248" s="21" t="n">
        <v>-68.31</v>
      </c>
      <c r="J248" s="21" t="n">
        <v>-2321</v>
      </c>
      <c r="K248" s="22" t="n">
        <f aca="false">H248+I248+J248</f>
        <v>18753.88</v>
      </c>
      <c r="L248" s="23" t="n">
        <f aca="false">IF($K$1282=0,0,K248/$K$1282)</f>
        <v>0.00155354212056884</v>
      </c>
      <c r="M248" s="24" t="n">
        <f aca="false">IF(F248&lt;=0,0,K248/F248)</f>
        <v>180.325769230769</v>
      </c>
      <c r="N248" s="21" t="n">
        <v>170</v>
      </c>
      <c r="O248" s="49" t="n">
        <v>5.22</v>
      </c>
      <c r="P248" s="24" t="n">
        <f aca="false">O248*'Price Groups'!$B$5</f>
        <v>117.45</v>
      </c>
      <c r="Q248" s="26" t="n">
        <f aca="false">IF(OR(N248="",P248=""),"",(N248-P248)/N248)</f>
        <v>0.309117647058824</v>
      </c>
      <c r="R248" s="27" t="n">
        <v>2</v>
      </c>
      <c r="S248" s="28" t="n">
        <f aca="false">IF(R248="-",0,IFERROR(VLOOKUP(R248,'Price Groups'!$A$13:$C$17,3,FALSE()),0))</f>
        <v>0.18</v>
      </c>
      <c r="T248" s="22" t="n">
        <f aca="false">IF(OR(N248="",R248="-"),"",CEILING(ROUND(N248*(1+S248),2),IF(N248*(1+S248)&lt;100,0.5,IF(N248*(1+S248)&lt;1000,1,5))))</f>
        <v>201</v>
      </c>
      <c r="U248" s="26" t="n">
        <f aca="false">IF(OR(T248="",P248=""),"",(T248-P248)/T248)</f>
        <v>0.415671641791045</v>
      </c>
      <c r="V248" s="26" t="n">
        <f aca="false">IF(T248="",0,T248/N248-1)</f>
        <v>0.182352941176471</v>
      </c>
      <c r="W248" s="19" t="s">
        <v>313</v>
      </c>
    </row>
    <row r="249" customFormat="false" ht="15" hidden="false" customHeight="false" outlineLevel="0" collapsed="false">
      <c r="A249" s="38" t="n">
        <v>198</v>
      </c>
      <c r="B249" s="38" t="s">
        <v>374</v>
      </c>
      <c r="C249" s="38" t="s">
        <v>57</v>
      </c>
      <c r="D249" s="38"/>
      <c r="E249" s="38" t="s">
        <v>58</v>
      </c>
      <c r="F249" s="39" t="n">
        <v>103</v>
      </c>
      <c r="G249" s="39" t="n">
        <v>67</v>
      </c>
      <c r="H249" s="40" t="n">
        <v>3553.86</v>
      </c>
      <c r="I249" s="40" t="n">
        <v>-483.49</v>
      </c>
      <c r="J249" s="40" t="n">
        <v>-419.95</v>
      </c>
      <c r="K249" s="41" t="n">
        <f aca="false">H249+I249+J249</f>
        <v>2650.42</v>
      </c>
      <c r="L249" s="42" t="n">
        <f aca="false">IF($K$1282=0,0,K249/$K$1282)</f>
        <v>0.00021955665212735</v>
      </c>
      <c r="M249" s="43" t="n">
        <f aca="false">IF(F249&lt;=0,0,K249/F249)</f>
        <v>25.7322330097087</v>
      </c>
      <c r="N249" s="40" t="n">
        <v>27.99</v>
      </c>
      <c r="O249" s="44" t="n">
        <v>0.44</v>
      </c>
      <c r="P249" s="43" t="n">
        <f aca="false">O249*'Price Groups'!$B$5</f>
        <v>9.9</v>
      </c>
      <c r="Q249" s="45" t="n">
        <f aca="false">IF(OR(N249="",P249=""),"",(N249-P249)/N249)</f>
        <v>0.646302250803858</v>
      </c>
      <c r="R249" s="46" t="n">
        <v>1</v>
      </c>
      <c r="S249" s="47" t="n">
        <f aca="false">IF(R249="-",0,IFERROR(VLOOKUP(R249,'Price Groups'!$A$13:$C$17,3,FALSE()),0))</f>
        <v>0.22</v>
      </c>
      <c r="T249" s="41" t="n">
        <f aca="false">IF(OR(N249="",R249="-"),"",CEILING(ROUND(N249*(1+S249),2),IF(N249*(1+S249)&lt;100,0.5,IF(N249*(1+S249)&lt;1000,1,5))))</f>
        <v>34.5</v>
      </c>
      <c r="U249" s="45" t="n">
        <f aca="false">IF(OR(T249="",P249=""),"",(T249-P249)/T249)</f>
        <v>0.71304347826087</v>
      </c>
      <c r="V249" s="45" t="n">
        <f aca="false">IF(T249="",0,T249/N249-1)</f>
        <v>0.232583065380493</v>
      </c>
      <c r="W249" s="38" t="s">
        <v>94</v>
      </c>
    </row>
    <row r="250" customFormat="false" ht="15" hidden="false" customHeight="false" outlineLevel="0" collapsed="false">
      <c r="A250" s="19" t="n">
        <v>199</v>
      </c>
      <c r="B250" s="19" t="s">
        <v>375</v>
      </c>
      <c r="C250" s="19" t="s">
        <v>57</v>
      </c>
      <c r="D250" s="19" t="s">
        <v>376</v>
      </c>
      <c r="E250" s="19" t="s">
        <v>58</v>
      </c>
      <c r="F250" s="20" t="n">
        <v>102</v>
      </c>
      <c r="G250" s="20" t="n">
        <v>49</v>
      </c>
      <c r="H250" s="21" t="n">
        <v>17172</v>
      </c>
      <c r="I250" s="21" t="n">
        <v>-1.25</v>
      </c>
      <c r="J250" s="21" t="n">
        <v>-1105.05</v>
      </c>
      <c r="K250" s="22" t="n">
        <f aca="false">H250+I250+J250</f>
        <v>16065.7</v>
      </c>
      <c r="L250" s="23" t="n">
        <f aca="false">IF($K$1282=0,0,K250/$K$1282)</f>
        <v>0.00133085748903282</v>
      </c>
      <c r="M250" s="24" t="n">
        <f aca="false">IF(F250&lt;=0,0,K250/F250)</f>
        <v>157.506862745098</v>
      </c>
      <c r="N250" s="21" t="n">
        <v>151.05</v>
      </c>
      <c r="O250" s="49" t="n">
        <v>3.57</v>
      </c>
      <c r="P250" s="24" t="n">
        <f aca="false">O250*'Price Groups'!$B$5</f>
        <v>80.325</v>
      </c>
      <c r="Q250" s="26" t="n">
        <f aca="false">IF(OR(N250="",P250=""),"",(N250-P250)/N250)</f>
        <v>0.468222442899702</v>
      </c>
      <c r="R250" s="27" t="n">
        <v>3</v>
      </c>
      <c r="S250" s="28" t="n">
        <f aca="false">IF(R250="-",0,IFERROR(VLOOKUP(R250,'Price Groups'!$A$13:$C$17,3,FALSE()),0))</f>
        <v>0.16</v>
      </c>
      <c r="T250" s="22" t="n">
        <f aca="false">IF(OR(N250="",R250="-"),"",CEILING(ROUND(N250*(1+S250),2),IF(N250*(1+S250)&lt;100,0.5,IF(N250*(1+S250)&lt;1000,1,5))))</f>
        <v>176</v>
      </c>
      <c r="U250" s="26" t="n">
        <f aca="false">IF(OR(T250="",P250=""),"",(T250-P250)/T250)</f>
        <v>0.543607954545455</v>
      </c>
      <c r="V250" s="26" t="n">
        <f aca="false">IF(T250="",0,T250/N250-1)</f>
        <v>0.16517709367759</v>
      </c>
      <c r="W250" s="19" t="s">
        <v>107</v>
      </c>
    </row>
    <row r="251" customFormat="false" ht="15" hidden="false" customHeight="false" outlineLevel="0" collapsed="false">
      <c r="A251" s="38" t="n">
        <v>200</v>
      </c>
      <c r="B251" s="38" t="s">
        <v>377</v>
      </c>
      <c r="C251" s="38" t="s">
        <v>57</v>
      </c>
      <c r="D251" s="38"/>
      <c r="E251" s="38" t="s">
        <v>58</v>
      </c>
      <c r="F251" s="39" t="n">
        <v>102</v>
      </c>
      <c r="G251" s="39" t="n">
        <v>42</v>
      </c>
      <c r="H251" s="40" t="n">
        <v>7475</v>
      </c>
      <c r="I251" s="40" t="n">
        <v>-61.75</v>
      </c>
      <c r="J251" s="40" t="n">
        <v>-845</v>
      </c>
      <c r="K251" s="41" t="n">
        <f aca="false">H251+I251+J251</f>
        <v>6568.25</v>
      </c>
      <c r="L251" s="42" t="n">
        <f aca="false">IF($K$1282=0,0,K251/$K$1282)</f>
        <v>0.000544103568617603</v>
      </c>
      <c r="M251" s="43" t="n">
        <f aca="false">IF(F251&lt;=0,0,K251/F251)</f>
        <v>64.3946078431373</v>
      </c>
      <c r="N251" s="40" t="n">
        <v>65</v>
      </c>
      <c r="O251" s="44" t="n">
        <v>1.29</v>
      </c>
      <c r="P251" s="43" t="n">
        <f aca="false">O251*'Price Groups'!$B$5</f>
        <v>29.025</v>
      </c>
      <c r="Q251" s="45" t="n">
        <f aca="false">IF(OR(N251="",P251=""),"",(N251-P251)/N251)</f>
        <v>0.553461538461538</v>
      </c>
      <c r="R251" s="46" t="n">
        <v>1</v>
      </c>
      <c r="S251" s="47" t="n">
        <f aca="false">IF(R251="-",0,IFERROR(VLOOKUP(R251,'Price Groups'!$A$13:$C$17,3,FALSE()),0))</f>
        <v>0.22</v>
      </c>
      <c r="T251" s="41" t="n">
        <f aca="false">IF(OR(N251="",R251="-"),"",CEILING(ROUND(N251*(1+S251),2),IF(N251*(1+S251)&lt;100,0.5,IF(N251*(1+S251)&lt;1000,1,5))))</f>
        <v>79.5</v>
      </c>
      <c r="U251" s="45" t="n">
        <f aca="false">IF(OR(T251="",P251=""),"",(T251-P251)/T251)</f>
        <v>0.634905660377358</v>
      </c>
      <c r="V251" s="45" t="n">
        <f aca="false">IF(T251="",0,T251/N251-1)</f>
        <v>0.223076923076923</v>
      </c>
      <c r="W251" s="38" t="s">
        <v>94</v>
      </c>
    </row>
    <row r="252" customFormat="false" ht="15" hidden="false" customHeight="false" outlineLevel="0" collapsed="false">
      <c r="A252" s="19" t="n">
        <v>201</v>
      </c>
      <c r="B252" s="19" t="s">
        <v>378</v>
      </c>
      <c r="C252" s="19" t="s">
        <v>57</v>
      </c>
      <c r="D252" s="19"/>
      <c r="E252" s="19" t="s">
        <v>58</v>
      </c>
      <c r="F252" s="20" t="n">
        <v>100</v>
      </c>
      <c r="G252" s="20" t="n">
        <v>80</v>
      </c>
      <c r="H252" s="21" t="n">
        <v>18592</v>
      </c>
      <c r="I252" s="21" t="n">
        <v>-85.68</v>
      </c>
      <c r="J252" s="21" t="n">
        <v>-1992</v>
      </c>
      <c r="K252" s="22" t="n">
        <f aca="false">H252+I252+J252</f>
        <v>16514.32</v>
      </c>
      <c r="L252" s="23" t="n">
        <f aca="false">IF($K$1282=0,0,K252/$K$1282)</f>
        <v>0.00136802046896708</v>
      </c>
      <c r="M252" s="24" t="n">
        <f aca="false">IF(F252&lt;=0,0,K252/F252)</f>
        <v>165.1432</v>
      </c>
      <c r="N252" s="21" t="n">
        <v>166</v>
      </c>
      <c r="O252" s="49" t="n">
        <v>7.41</v>
      </c>
      <c r="P252" s="24" t="n">
        <f aca="false">O252*'Price Groups'!$B$5</f>
        <v>166.725</v>
      </c>
      <c r="Q252" s="26" t="n">
        <f aca="false">IF(OR(N252="",P252=""),"",(N252-P252)/N252)</f>
        <v>-0.00436746987951804</v>
      </c>
      <c r="R252" s="27" t="n">
        <v>1</v>
      </c>
      <c r="S252" s="28" t="n">
        <f aca="false">IF(R252="-",0,IFERROR(VLOOKUP(R252,'Price Groups'!$A$13:$C$17,3,FALSE()),0))</f>
        <v>0.22</v>
      </c>
      <c r="T252" s="22" t="n">
        <f aca="false">IF(OR(N252="",R252="-"),"",CEILING(ROUND(N252*(1+S252),2),IF(N252*(1+S252)&lt;100,0.5,IF(N252*(1+S252)&lt;1000,1,5))))</f>
        <v>203</v>
      </c>
      <c r="U252" s="26" t="n">
        <f aca="false">IF(OR(T252="",P252=""),"",(T252-P252)/T252)</f>
        <v>0.178694581280788</v>
      </c>
      <c r="V252" s="26" t="n">
        <f aca="false">IF(T252="",0,T252/N252-1)</f>
        <v>0.22289156626506</v>
      </c>
      <c r="W252" s="19" t="s">
        <v>379</v>
      </c>
    </row>
    <row r="253" customFormat="false" ht="15" hidden="false" customHeight="false" outlineLevel="0" collapsed="false">
      <c r="A253" s="38" t="n">
        <v>202</v>
      </c>
      <c r="B253" s="38" t="s">
        <v>380</v>
      </c>
      <c r="C253" s="38" t="s">
        <v>57</v>
      </c>
      <c r="D253" s="38"/>
      <c r="E253" s="38" t="s">
        <v>58</v>
      </c>
      <c r="F253" s="39" t="n">
        <v>100</v>
      </c>
      <c r="G253" s="39" t="n">
        <v>89</v>
      </c>
      <c r="H253" s="40" t="n">
        <v>69027.73</v>
      </c>
      <c r="I253" s="40" t="n">
        <v>-708.3</v>
      </c>
      <c r="J253" s="40" t="n">
        <v>-11925</v>
      </c>
      <c r="K253" s="41" t="n">
        <f aca="false">H253+I253+J253</f>
        <v>56394.43</v>
      </c>
      <c r="L253" s="42" t="n">
        <f aca="false">IF($K$1282=0,0,K253/$K$1282)</f>
        <v>0.00467162647785264</v>
      </c>
      <c r="M253" s="43" t="n">
        <f aca="false">IF(F253&lt;=0,0,K253/F253)</f>
        <v>563.9443</v>
      </c>
      <c r="N253" s="40" t="n">
        <v>620</v>
      </c>
      <c r="O253" s="44" t="n">
        <v>19.31</v>
      </c>
      <c r="P253" s="43" t="n">
        <f aca="false">O253*'Price Groups'!$B$5</f>
        <v>434.475</v>
      </c>
      <c r="Q253" s="45" t="n">
        <f aca="false">IF(OR(N253="",P253=""),"",(N253-P253)/N253)</f>
        <v>0.299233870967742</v>
      </c>
      <c r="R253" s="46" t="n">
        <v>2</v>
      </c>
      <c r="S253" s="47" t="n">
        <f aca="false">IF(R253="-",0,IFERROR(VLOOKUP(R253,'Price Groups'!$A$13:$C$17,3,FALSE()),0))</f>
        <v>0.18</v>
      </c>
      <c r="T253" s="41" t="n">
        <f aca="false">IF(OR(N253="",R253="-"),"",CEILING(ROUND(N253*(1+S253),2),IF(N253*(1+S253)&lt;100,0.5,IF(N253*(1+S253)&lt;1000,1,5))))</f>
        <v>732</v>
      </c>
      <c r="U253" s="45" t="n">
        <f aca="false">IF(OR(T253="",P253=""),"",(T253-P253)/T253)</f>
        <v>0.406454918032787</v>
      </c>
      <c r="V253" s="45" t="n">
        <f aca="false">IF(T253="",0,T253/N253-1)</f>
        <v>0.180645161290323</v>
      </c>
      <c r="W253" s="38" t="s">
        <v>381</v>
      </c>
    </row>
    <row r="254" customFormat="false" ht="15" hidden="false" customHeight="false" outlineLevel="0" collapsed="false">
      <c r="A254" s="19" t="n">
        <v>203</v>
      </c>
      <c r="B254" s="19" t="s">
        <v>382</v>
      </c>
      <c r="C254" s="19" t="s">
        <v>57</v>
      </c>
      <c r="D254" s="19"/>
      <c r="E254" s="19" t="s">
        <v>58</v>
      </c>
      <c r="F254" s="20" t="n">
        <v>99</v>
      </c>
      <c r="G254" s="20" t="n">
        <v>63</v>
      </c>
      <c r="H254" s="21" t="n">
        <v>2154.9</v>
      </c>
      <c r="I254" s="21" t="n">
        <v>-17.99</v>
      </c>
      <c r="J254" s="21" t="n">
        <v>-83.2</v>
      </c>
      <c r="K254" s="22" t="n">
        <f aca="false">H254+I254+J254</f>
        <v>2053.71</v>
      </c>
      <c r="L254" s="23" t="n">
        <f aca="false">IF($K$1282=0,0,K254/$K$1282)</f>
        <v>0.000170126127949706</v>
      </c>
      <c r="M254" s="24" t="n">
        <f aca="false">IF(F254&lt;=0,0,K254/F254)</f>
        <v>20.7445454545455</v>
      </c>
      <c r="N254" s="21" t="n">
        <v>21.15</v>
      </c>
      <c r="O254" s="49" t="n">
        <v>0.38</v>
      </c>
      <c r="P254" s="24" t="n">
        <f aca="false">O254*'Price Groups'!$B$5</f>
        <v>8.55</v>
      </c>
      <c r="Q254" s="26" t="n">
        <f aca="false">IF(OR(N254="",P254=""),"",(N254-P254)/N254)</f>
        <v>0.595744680851064</v>
      </c>
      <c r="R254" s="27" t="n">
        <v>1</v>
      </c>
      <c r="S254" s="28" t="n">
        <f aca="false">IF(R254="-",0,IFERROR(VLOOKUP(R254,'Price Groups'!$A$13:$C$17,3,FALSE()),0))</f>
        <v>0.22</v>
      </c>
      <c r="T254" s="22" t="n">
        <f aca="false">IF(OR(N254="",R254="-"),"",CEILING(ROUND(N254*(1+S254),2),IF(N254*(1+S254)&lt;100,0.5,IF(N254*(1+S254)&lt;1000,1,5))))</f>
        <v>26</v>
      </c>
      <c r="U254" s="26" t="n">
        <f aca="false">IF(OR(T254="",P254=""),"",(T254-P254)/T254)</f>
        <v>0.671153846153846</v>
      </c>
      <c r="V254" s="26" t="n">
        <f aca="false">IF(T254="",0,T254/N254-1)</f>
        <v>0.229314420803783</v>
      </c>
      <c r="W254" s="19" t="s">
        <v>94</v>
      </c>
    </row>
    <row r="255" customFormat="false" ht="15" hidden="false" customHeight="false" outlineLevel="0" collapsed="false">
      <c r="A255" s="38" t="n">
        <v>204</v>
      </c>
      <c r="B255" s="38" t="s">
        <v>383</v>
      </c>
      <c r="C255" s="38" t="s">
        <v>57</v>
      </c>
      <c r="D255" s="38"/>
      <c r="E255" s="38" t="s">
        <v>58</v>
      </c>
      <c r="F255" s="39" t="n">
        <v>98</v>
      </c>
      <c r="G255" s="39" t="n">
        <v>52</v>
      </c>
      <c r="H255" s="40" t="n">
        <v>3337.66</v>
      </c>
      <c r="I255" s="40" t="n">
        <v>-7.2</v>
      </c>
      <c r="J255" s="40" t="n">
        <v>-217.96</v>
      </c>
      <c r="K255" s="41" t="n">
        <f aca="false">H255+I255+J255</f>
        <v>3112.5</v>
      </c>
      <c r="L255" s="42" t="n">
        <f aca="false">IF($K$1282=0,0,K255/$K$1282)</f>
        <v>0.000257834637433455</v>
      </c>
      <c r="M255" s="43" t="n">
        <f aca="false">IF(F255&lt;=0,0,K255/F255)</f>
        <v>31.7602040816327</v>
      </c>
      <c r="N255" s="40" t="n">
        <v>44.99</v>
      </c>
      <c r="O255" s="44" t="n">
        <v>0.47</v>
      </c>
      <c r="P255" s="43" t="n">
        <f aca="false">O255*'Price Groups'!$B$5</f>
        <v>10.575</v>
      </c>
      <c r="Q255" s="45" t="n">
        <f aca="false">IF(OR(N255="",P255=""),"",(N255-P255)/N255)</f>
        <v>0.76494776617026</v>
      </c>
      <c r="R255" s="46" t="n">
        <v>1</v>
      </c>
      <c r="S255" s="47" t="n">
        <f aca="false">IF(R255="-",0,IFERROR(VLOOKUP(R255,'Price Groups'!$A$13:$C$17,3,FALSE()),0))</f>
        <v>0.22</v>
      </c>
      <c r="T255" s="41" t="n">
        <f aca="false">IF(OR(N255="",R255="-"),"",CEILING(ROUND(N255*(1+S255),2),IF(N255*(1+S255)&lt;100,0.5,IF(N255*(1+S255)&lt;1000,1,5))))</f>
        <v>55</v>
      </c>
      <c r="U255" s="45" t="n">
        <f aca="false">IF(OR(T255="",P255=""),"",(T255-P255)/T255)</f>
        <v>0.807727272727273</v>
      </c>
      <c r="V255" s="45" t="n">
        <f aca="false">IF(T255="",0,T255/N255-1)</f>
        <v>0.222493887530562</v>
      </c>
      <c r="W255" s="38" t="s">
        <v>94</v>
      </c>
    </row>
    <row r="256" customFormat="false" ht="15" hidden="false" customHeight="false" outlineLevel="0" collapsed="false">
      <c r="A256" s="19" t="n">
        <v>205</v>
      </c>
      <c r="B256" s="19" t="s">
        <v>384</v>
      </c>
      <c r="C256" s="19" t="s">
        <v>57</v>
      </c>
      <c r="D256" s="19"/>
      <c r="E256" s="19" t="s">
        <v>58</v>
      </c>
      <c r="F256" s="20" t="n">
        <v>98</v>
      </c>
      <c r="G256" s="20" t="n">
        <v>13</v>
      </c>
      <c r="H256" s="21" t="n">
        <v>4899.02</v>
      </c>
      <c r="I256" s="21" t="n">
        <v>-350.1</v>
      </c>
      <c r="J256" s="21" t="n">
        <v>0</v>
      </c>
      <c r="K256" s="22" t="n">
        <f aca="false">H256+I256+J256</f>
        <v>4548.92</v>
      </c>
      <c r="L256" s="23" t="n">
        <f aca="false">IF($K$1282=0,0,K256/$K$1282)</f>
        <v>0.000376825426157041</v>
      </c>
      <c r="M256" s="24" t="n">
        <f aca="false">IF(F256&lt;=0,0,K256/F256)</f>
        <v>46.4175510204082</v>
      </c>
      <c r="N256" s="21" t="n">
        <v>59</v>
      </c>
      <c r="O256" s="49" t="n">
        <v>0.88</v>
      </c>
      <c r="P256" s="24" t="n">
        <f aca="false">O256*'Price Groups'!$B$5</f>
        <v>19.8</v>
      </c>
      <c r="Q256" s="26" t="n">
        <f aca="false">IF(OR(N256="",P256=""),"",(N256-P256)/N256)</f>
        <v>0.664406779661017</v>
      </c>
      <c r="R256" s="27" t="n">
        <v>1</v>
      </c>
      <c r="S256" s="28" t="n">
        <f aca="false">IF(R256="-",0,IFERROR(VLOOKUP(R256,'Price Groups'!$A$13:$C$17,3,FALSE()),0))</f>
        <v>0.22</v>
      </c>
      <c r="T256" s="22" t="n">
        <f aca="false">IF(OR(N256="",R256="-"),"",CEILING(ROUND(N256*(1+S256),2),IF(N256*(1+S256)&lt;100,0.5,IF(N256*(1+S256)&lt;1000,1,5))))</f>
        <v>72</v>
      </c>
      <c r="U256" s="26" t="n">
        <f aca="false">IF(OR(T256="",P256=""),"",(T256-P256)/T256)</f>
        <v>0.725</v>
      </c>
      <c r="V256" s="26" t="n">
        <f aca="false">IF(T256="",0,T256/N256-1)</f>
        <v>0.220338983050848</v>
      </c>
      <c r="W256" s="19" t="s">
        <v>94</v>
      </c>
    </row>
    <row r="257" customFormat="false" ht="15" hidden="false" customHeight="false" outlineLevel="0" collapsed="false">
      <c r="A257" s="38" t="n">
        <v>206</v>
      </c>
      <c r="B257" s="38" t="s">
        <v>385</v>
      </c>
      <c r="C257" s="38" t="s">
        <v>57</v>
      </c>
      <c r="D257" s="38"/>
      <c r="E257" s="38" t="s">
        <v>58</v>
      </c>
      <c r="F257" s="39" t="n">
        <v>98</v>
      </c>
      <c r="G257" s="39" t="n">
        <v>58</v>
      </c>
      <c r="H257" s="40" t="n">
        <v>2293.52</v>
      </c>
      <c r="I257" s="40" t="n">
        <v>-28.13</v>
      </c>
      <c r="J257" s="40" t="n">
        <v>-119.46</v>
      </c>
      <c r="K257" s="41" t="n">
        <f aca="false">H257+I257+J257</f>
        <v>2145.93</v>
      </c>
      <c r="L257" s="42" t="n">
        <f aca="false">IF($K$1282=0,0,K257/$K$1282)</f>
        <v>0.000177765488677132</v>
      </c>
      <c r="M257" s="43" t="n">
        <f aca="false">IF(F257&lt;=0,0,K257/F257)</f>
        <v>21.8972448979592</v>
      </c>
      <c r="N257" s="40" t="n">
        <v>25</v>
      </c>
      <c r="O257" s="44" t="n">
        <v>0.4</v>
      </c>
      <c r="P257" s="43" t="n">
        <f aca="false">O257*'Price Groups'!$B$5</f>
        <v>9</v>
      </c>
      <c r="Q257" s="45" t="n">
        <f aca="false">IF(OR(N257="",P257=""),"",(N257-P257)/N257)</f>
        <v>0.64</v>
      </c>
      <c r="R257" s="46" t="n">
        <v>1</v>
      </c>
      <c r="S257" s="47" t="n">
        <f aca="false">IF(R257="-",0,IFERROR(VLOOKUP(R257,'Price Groups'!$A$13:$C$17,3,FALSE()),0))</f>
        <v>0.22</v>
      </c>
      <c r="T257" s="41" t="n">
        <f aca="false">IF(OR(N257="",R257="-"),"",CEILING(ROUND(N257*(1+S257),2),IF(N257*(1+S257)&lt;100,0.5,IF(N257*(1+S257)&lt;1000,1,5))))</f>
        <v>30.5</v>
      </c>
      <c r="U257" s="45" t="n">
        <f aca="false">IF(OR(T257="",P257=""),"",(T257-P257)/T257)</f>
        <v>0.704918032786885</v>
      </c>
      <c r="V257" s="45" t="n">
        <f aca="false">IF(T257="",0,T257/N257-1)</f>
        <v>0.22</v>
      </c>
      <c r="W257" s="38" t="s">
        <v>94</v>
      </c>
    </row>
    <row r="258" customFormat="false" ht="15" hidden="false" customHeight="false" outlineLevel="0" collapsed="false">
      <c r="A258" s="19" t="n">
        <v>207</v>
      </c>
      <c r="B258" s="19" t="s">
        <v>386</v>
      </c>
      <c r="C258" s="19" t="s">
        <v>57</v>
      </c>
      <c r="D258" s="19"/>
      <c r="E258" s="19" t="s">
        <v>58</v>
      </c>
      <c r="F258" s="20" t="n">
        <v>97</v>
      </c>
      <c r="G258" s="20" t="n">
        <v>58</v>
      </c>
      <c r="H258" s="21" t="n">
        <v>20655.81</v>
      </c>
      <c r="I258" s="21" t="n">
        <v>-418.5</v>
      </c>
      <c r="J258" s="21" t="n">
        <v>-1636.74</v>
      </c>
      <c r="K258" s="22" t="n">
        <f aca="false">H258+I258+J258</f>
        <v>18600.57</v>
      </c>
      <c r="L258" s="23" t="n">
        <f aca="false">IF($K$1282=0,0,K258/$K$1282)</f>
        <v>0.00154084215968051</v>
      </c>
      <c r="M258" s="24" t="n">
        <f aca="false">IF(F258&lt;=0,0,K258/F258)</f>
        <v>191.758453608247</v>
      </c>
      <c r="N258" s="21" t="n">
        <v>209.79</v>
      </c>
      <c r="O258" s="49" t="n">
        <v>4.31</v>
      </c>
      <c r="P258" s="24" t="n">
        <f aca="false">O258*'Price Groups'!$B$5</f>
        <v>96.975</v>
      </c>
      <c r="Q258" s="26" t="n">
        <f aca="false">IF(OR(N258="",P258=""),"",(N258-P258)/N258)</f>
        <v>0.537752037752038</v>
      </c>
      <c r="R258" s="27" t="n">
        <v>3</v>
      </c>
      <c r="S258" s="28" t="n">
        <f aca="false">IF(R258="-",0,IFERROR(VLOOKUP(R258,'Price Groups'!$A$13:$C$17,3,FALSE()),0))</f>
        <v>0.16</v>
      </c>
      <c r="T258" s="22" t="n">
        <f aca="false">IF(OR(N258="",R258="-"),"",CEILING(ROUND(N258*(1+S258),2),IF(N258*(1+S258)&lt;100,0.5,IF(N258*(1+S258)&lt;1000,1,5))))</f>
        <v>244</v>
      </c>
      <c r="U258" s="26" t="n">
        <f aca="false">IF(OR(T258="",P258=""),"",(T258-P258)/T258)</f>
        <v>0.602561475409836</v>
      </c>
      <c r="V258" s="26" t="n">
        <f aca="false">IF(T258="",0,T258/N258-1)</f>
        <v>0.163067829734497</v>
      </c>
      <c r="W258" s="19" t="s">
        <v>107</v>
      </c>
    </row>
    <row r="259" customFormat="false" ht="15" hidden="false" customHeight="false" outlineLevel="0" collapsed="false">
      <c r="A259" s="38" t="n">
        <v>208</v>
      </c>
      <c r="B259" s="38" t="s">
        <v>387</v>
      </c>
      <c r="C259" s="38" t="s">
        <v>57</v>
      </c>
      <c r="D259" s="38"/>
      <c r="E259" s="38" t="s">
        <v>58</v>
      </c>
      <c r="F259" s="39" t="n">
        <v>97</v>
      </c>
      <c r="G259" s="39" t="n">
        <v>46</v>
      </c>
      <c r="H259" s="40" t="n">
        <v>3781.71</v>
      </c>
      <c r="I259" s="40" t="n">
        <v>-254.45</v>
      </c>
      <c r="J259" s="40" t="n">
        <v>-370.59</v>
      </c>
      <c r="K259" s="41" t="n">
        <f aca="false">H259+I259+J259</f>
        <v>3156.67</v>
      </c>
      <c r="L259" s="42" t="n">
        <f aca="false">IF($K$1282=0,0,K259/$K$1282)</f>
        <v>0.000261493611227972</v>
      </c>
      <c r="M259" s="43" t="n">
        <f aca="false">IF(F259&lt;=0,0,K259/F259)</f>
        <v>32.5429896907217</v>
      </c>
      <c r="N259" s="40" t="n">
        <v>39.99</v>
      </c>
      <c r="O259" s="44" t="n">
        <v>0.83</v>
      </c>
      <c r="P259" s="43" t="n">
        <f aca="false">O259*'Price Groups'!$B$5</f>
        <v>18.675</v>
      </c>
      <c r="Q259" s="45" t="n">
        <f aca="false">IF(OR(N259="",P259=""),"",(N259-P259)/N259)</f>
        <v>0.533008252063016</v>
      </c>
      <c r="R259" s="46" t="n">
        <v>1</v>
      </c>
      <c r="S259" s="47" t="n">
        <f aca="false">IF(R259="-",0,IFERROR(VLOOKUP(R259,'Price Groups'!$A$13:$C$17,3,FALSE()),0))</f>
        <v>0.22</v>
      </c>
      <c r="T259" s="41" t="n">
        <f aca="false">IF(OR(N259="",R259="-"),"",CEILING(ROUND(N259*(1+S259),2),IF(N259*(1+S259)&lt;100,0.5,IF(N259*(1+S259)&lt;1000,1,5))))</f>
        <v>49</v>
      </c>
      <c r="U259" s="45" t="n">
        <f aca="false">IF(OR(T259="",P259=""),"",(T259-P259)/T259)</f>
        <v>0.618877551020408</v>
      </c>
      <c r="V259" s="45" t="n">
        <f aca="false">IF(T259="",0,T259/N259-1)</f>
        <v>0.225306326581645</v>
      </c>
      <c r="W259" s="38" t="s">
        <v>94</v>
      </c>
    </row>
    <row r="260" customFormat="false" ht="15" hidden="false" customHeight="false" outlineLevel="0" collapsed="false">
      <c r="A260" s="19" t="n">
        <v>209</v>
      </c>
      <c r="B260" s="19" t="s">
        <v>388</v>
      </c>
      <c r="C260" s="19" t="s">
        <v>57</v>
      </c>
      <c r="D260" s="19"/>
      <c r="E260" s="19" t="s">
        <v>58</v>
      </c>
      <c r="F260" s="20" t="n">
        <v>97</v>
      </c>
      <c r="G260" s="20" t="n">
        <v>49</v>
      </c>
      <c r="H260" s="21" t="n">
        <v>2358.15</v>
      </c>
      <c r="I260" s="21" t="n">
        <v>-13.58</v>
      </c>
      <c r="J260" s="21" t="n">
        <v>-191.52</v>
      </c>
      <c r="K260" s="22" t="n">
        <f aca="false">H260+I260+J260</f>
        <v>2153.05</v>
      </c>
      <c r="L260" s="23" t="n">
        <f aca="false">IF($K$1282=0,0,K260/$K$1282)</f>
        <v>0.000178355298353767</v>
      </c>
      <c r="M260" s="24" t="n">
        <f aca="false">IF(F260&lt;=0,0,K260/F260)</f>
        <v>22.1963917525773</v>
      </c>
      <c r="N260" s="21" t="n">
        <v>29.99</v>
      </c>
      <c r="O260" s="49" t="n">
        <v>0.43</v>
      </c>
      <c r="P260" s="24" t="n">
        <f aca="false">O260*'Price Groups'!$B$5</f>
        <v>9.675</v>
      </c>
      <c r="Q260" s="26" t="n">
        <f aca="false">IF(OR(N260="",P260=""),"",(N260-P260)/N260)</f>
        <v>0.677392464154718</v>
      </c>
      <c r="R260" s="27" t="n">
        <v>1</v>
      </c>
      <c r="S260" s="28" t="n">
        <f aca="false">IF(R260="-",0,IFERROR(VLOOKUP(R260,'Price Groups'!$A$13:$C$17,3,FALSE()),0))</f>
        <v>0.22</v>
      </c>
      <c r="T260" s="22" t="n">
        <f aca="false">IF(OR(N260="",R260="-"),"",CEILING(ROUND(N260*(1+S260),2),IF(N260*(1+S260)&lt;100,0.5,IF(N260*(1+S260)&lt;1000,1,5))))</f>
        <v>37</v>
      </c>
      <c r="U260" s="26" t="n">
        <f aca="false">IF(OR(T260="",P260=""),"",(T260-P260)/T260)</f>
        <v>0.738513513513514</v>
      </c>
      <c r="V260" s="26" t="n">
        <f aca="false">IF(T260="",0,T260/N260-1)</f>
        <v>0.233744581527176</v>
      </c>
      <c r="W260" s="19" t="s">
        <v>94</v>
      </c>
    </row>
    <row r="261" customFormat="false" ht="15" hidden="false" customHeight="false" outlineLevel="0" collapsed="false">
      <c r="A261" s="38" t="n">
        <v>210</v>
      </c>
      <c r="B261" s="38" t="s">
        <v>389</v>
      </c>
      <c r="C261" s="38" t="s">
        <v>57</v>
      </c>
      <c r="D261" s="38"/>
      <c r="E261" s="38" t="s">
        <v>58</v>
      </c>
      <c r="F261" s="39" t="n">
        <v>96</v>
      </c>
      <c r="G261" s="39" t="n">
        <v>24</v>
      </c>
      <c r="H261" s="40" t="n">
        <v>999.74</v>
      </c>
      <c r="I261" s="40" t="n">
        <v>0</v>
      </c>
      <c r="J261" s="40" t="n">
        <v>-85.78</v>
      </c>
      <c r="K261" s="41" t="n">
        <f aca="false">H261+I261+J261</f>
        <v>913.96</v>
      </c>
      <c r="L261" s="42" t="n">
        <f aca="false">IF($K$1282=0,0,K261/$K$1282)</f>
        <v>7.57110185473672E-005</v>
      </c>
      <c r="M261" s="43" t="n">
        <f aca="false">IF(F261&lt;=0,0,K261/F261)</f>
        <v>9.52041666666667</v>
      </c>
      <c r="N261" s="40" t="n">
        <v>9.78</v>
      </c>
      <c r="O261" s="44" t="n">
        <v>0.17</v>
      </c>
      <c r="P261" s="43" t="n">
        <f aca="false">O261*'Price Groups'!$B$5</f>
        <v>3.825</v>
      </c>
      <c r="Q261" s="45" t="n">
        <f aca="false">IF(OR(N261="",P261=""),"",(N261-P261)/N261)</f>
        <v>0.608895705521472</v>
      </c>
      <c r="R261" s="46" t="n">
        <v>1</v>
      </c>
      <c r="S261" s="47" t="n">
        <f aca="false">IF(R261="-",0,IFERROR(VLOOKUP(R261,'Price Groups'!$A$13:$C$17,3,FALSE()),0))</f>
        <v>0.22</v>
      </c>
      <c r="T261" s="41" t="n">
        <f aca="false">IF(OR(N261="",R261="-"),"",CEILING(ROUND(N261*(1+S261),2),IF(N261*(1+S261)&lt;100,0.5,IF(N261*(1+S261)&lt;1000,1,5))))</f>
        <v>12</v>
      </c>
      <c r="U261" s="45" t="n">
        <f aca="false">IF(OR(T261="",P261=""),"",(T261-P261)/T261)</f>
        <v>0.68125</v>
      </c>
      <c r="V261" s="45" t="n">
        <f aca="false">IF(T261="",0,T261/N261-1)</f>
        <v>0.226993865030675</v>
      </c>
      <c r="W261" s="38" t="s">
        <v>94</v>
      </c>
    </row>
    <row r="262" customFormat="false" ht="15" hidden="false" customHeight="false" outlineLevel="0" collapsed="false">
      <c r="A262" s="19" t="n">
        <v>211</v>
      </c>
      <c r="B262" s="19" t="s">
        <v>225</v>
      </c>
      <c r="C262" s="19" t="s">
        <v>307</v>
      </c>
      <c r="D262" s="19" t="s">
        <v>224</v>
      </c>
      <c r="E262" s="19" t="s">
        <v>58</v>
      </c>
      <c r="F262" s="20" t="n">
        <v>96</v>
      </c>
      <c r="G262" s="20" t="n">
        <v>60</v>
      </c>
      <c r="H262" s="21" t="n">
        <v>28289.75</v>
      </c>
      <c r="I262" s="21" t="n">
        <v>-256.05</v>
      </c>
      <c r="J262" s="21" t="n">
        <v>-989</v>
      </c>
      <c r="K262" s="22" t="n">
        <f aca="false">H262+I262+J262</f>
        <v>27044.7</v>
      </c>
      <c r="L262" s="23" t="n">
        <f aca="false">IF($K$1282=0,0,K262/$K$1282)</f>
        <v>0.00224034069686636</v>
      </c>
      <c r="M262" s="24" t="n">
        <f aca="false">IF(F262&lt;=0,0,K262/F262)</f>
        <v>281.715625</v>
      </c>
      <c r="N262" s="21" t="n">
        <v>290</v>
      </c>
      <c r="O262" s="49" t="n">
        <v>5.75</v>
      </c>
      <c r="P262" s="24" t="n">
        <f aca="false">O262*'Price Groups'!$B$5</f>
        <v>129.375</v>
      </c>
      <c r="Q262" s="26" t="n">
        <f aca="false">IF(OR(N262="",P262=""),"",(N262-P262)/N262)</f>
        <v>0.553879310344828</v>
      </c>
      <c r="R262" s="27" t="n">
        <v>4</v>
      </c>
      <c r="S262" s="28" t="n">
        <f aca="false">IF(R262="-",0,IFERROR(VLOOKUP(R262,'Price Groups'!$A$13:$C$17,3,FALSE()),0))</f>
        <v>0.15</v>
      </c>
      <c r="T262" s="22" t="n">
        <f aca="false">IF(OR(N262="",R262="-"),"",CEILING(ROUND(N262*(1+S262),2),IF(N262*(1+S262)&lt;100,0.5,IF(N262*(1+S262)&lt;1000,1,5))))</f>
        <v>334</v>
      </c>
      <c r="U262" s="26" t="n">
        <f aca="false">IF(OR(T262="",P262=""),"",(T262-P262)/T262)</f>
        <v>0.612649700598802</v>
      </c>
      <c r="V262" s="26" t="n">
        <f aca="false">IF(T262="",0,T262/N262-1)</f>
        <v>0.151724137931035</v>
      </c>
      <c r="W262" s="19" t="s">
        <v>390</v>
      </c>
    </row>
    <row r="263" customFormat="false" ht="15" hidden="false" customHeight="false" outlineLevel="0" collapsed="false">
      <c r="A263" s="38" t="n">
        <v>212</v>
      </c>
      <c r="B263" s="38" t="s">
        <v>391</v>
      </c>
      <c r="C263" s="38" t="s">
        <v>57</v>
      </c>
      <c r="D263" s="38"/>
      <c r="E263" s="38" t="s">
        <v>58</v>
      </c>
      <c r="F263" s="39" t="n">
        <v>96</v>
      </c>
      <c r="G263" s="39" t="n">
        <v>33</v>
      </c>
      <c r="H263" s="40" t="n">
        <v>3946.85</v>
      </c>
      <c r="I263" s="40" t="n">
        <v>-5.83</v>
      </c>
      <c r="J263" s="40" t="n">
        <v>-1394.61</v>
      </c>
      <c r="K263" s="41" t="n">
        <f aca="false">H263+I263+J263</f>
        <v>2546.41</v>
      </c>
      <c r="L263" s="42" t="n">
        <f aca="false">IF($K$1282=0,0,K263/$K$1282)</f>
        <v>0.000210940626219092</v>
      </c>
      <c r="M263" s="43" t="n">
        <f aca="false">IF(F263&lt;=0,0,K263/F263)</f>
        <v>26.5251041666667</v>
      </c>
      <c r="N263" s="40" t="n">
        <v>28.49</v>
      </c>
      <c r="O263" s="44" t="n">
        <v>0.68</v>
      </c>
      <c r="P263" s="43" t="n">
        <f aca="false">O263*'Price Groups'!$B$5</f>
        <v>15.3</v>
      </c>
      <c r="Q263" s="45" t="n">
        <f aca="false">IF(OR(N263="",P263=""),"",(N263-P263)/N263)</f>
        <v>0.462969462969463</v>
      </c>
      <c r="R263" s="46" t="n">
        <v>1</v>
      </c>
      <c r="S263" s="47" t="n">
        <f aca="false">IF(R263="-",0,IFERROR(VLOOKUP(R263,'Price Groups'!$A$13:$C$17,3,FALSE()),0))</f>
        <v>0.22</v>
      </c>
      <c r="T263" s="41" t="n">
        <f aca="false">IF(OR(N263="",R263="-"),"",CEILING(ROUND(N263*(1+S263),2),IF(N263*(1+S263)&lt;100,0.5,IF(N263*(1+S263)&lt;1000,1,5))))</f>
        <v>35</v>
      </c>
      <c r="U263" s="45" t="n">
        <f aca="false">IF(OR(T263="",P263=""),"",(T263-P263)/T263)</f>
        <v>0.562857142857143</v>
      </c>
      <c r="V263" s="45" t="n">
        <f aca="false">IF(T263="",0,T263/N263-1)</f>
        <v>0.228501228501229</v>
      </c>
      <c r="W263" s="38" t="s">
        <v>94</v>
      </c>
    </row>
    <row r="264" customFormat="false" ht="15" hidden="false" customHeight="false" outlineLevel="0" collapsed="false">
      <c r="A264" s="19" t="n">
        <v>213</v>
      </c>
      <c r="B264" s="19" t="s">
        <v>392</v>
      </c>
      <c r="C264" s="19" t="s">
        <v>57</v>
      </c>
      <c r="D264" s="19"/>
      <c r="E264" s="19" t="s">
        <v>58</v>
      </c>
      <c r="F264" s="20" t="n">
        <v>96</v>
      </c>
      <c r="G264" s="20" t="n">
        <v>69</v>
      </c>
      <c r="H264" s="21" t="n">
        <v>26993.4</v>
      </c>
      <c r="I264" s="21" t="n">
        <v>-88.8</v>
      </c>
      <c r="J264" s="21" t="n">
        <v>-3955.45</v>
      </c>
      <c r="K264" s="22" t="n">
        <f aca="false">H264+I264+J264</f>
        <v>22949.15</v>
      </c>
      <c r="L264" s="23" t="n">
        <f aca="false">IF($K$1282=0,0,K264/$K$1282)</f>
        <v>0.0019010717332228</v>
      </c>
      <c r="M264" s="24" t="n">
        <f aca="false">IF(F264&lt;=0,0,K264/F264)</f>
        <v>239.053645833333</v>
      </c>
      <c r="N264" s="21" t="n">
        <v>250.95</v>
      </c>
      <c r="O264" s="49" t="n">
        <v>5.46</v>
      </c>
      <c r="P264" s="24" t="n">
        <f aca="false">O264*'Price Groups'!$B$5</f>
        <v>122.85</v>
      </c>
      <c r="Q264" s="26" t="n">
        <f aca="false">IF(OR(N264="",P264=""),"",(N264-P264)/N264)</f>
        <v>0.510460251046025</v>
      </c>
      <c r="R264" s="27" t="n">
        <v>3</v>
      </c>
      <c r="S264" s="28" t="n">
        <f aca="false">IF(R264="-",0,IFERROR(VLOOKUP(R264,'Price Groups'!$A$13:$C$17,3,FALSE()),0))</f>
        <v>0.16</v>
      </c>
      <c r="T264" s="22" t="n">
        <f aca="false">IF(OR(N264="",R264="-"),"",CEILING(ROUND(N264*(1+S264),2),IF(N264*(1+S264)&lt;100,0.5,IF(N264*(1+S264)&lt;1000,1,5))))</f>
        <v>292</v>
      </c>
      <c r="U264" s="26" t="n">
        <f aca="false">IF(OR(T264="",P264=""),"",(T264-P264)/T264)</f>
        <v>0.579280821917808</v>
      </c>
      <c r="V264" s="26" t="n">
        <f aca="false">IF(T264="",0,T264/N264-1)</f>
        <v>0.163578402072126</v>
      </c>
      <c r="W264" s="19" t="s">
        <v>107</v>
      </c>
    </row>
    <row r="265" customFormat="false" ht="15" hidden="false" customHeight="false" outlineLevel="0" collapsed="false">
      <c r="A265" s="38" t="n">
        <v>214</v>
      </c>
      <c r="B265" s="38" t="s">
        <v>393</v>
      </c>
      <c r="C265" s="38" t="s">
        <v>57</v>
      </c>
      <c r="D265" s="38"/>
      <c r="E265" s="38" t="s">
        <v>58</v>
      </c>
      <c r="F265" s="39" t="n">
        <v>95</v>
      </c>
      <c r="G265" s="39" t="n">
        <v>47</v>
      </c>
      <c r="H265" s="40" t="n">
        <v>6728.59</v>
      </c>
      <c r="I265" s="40" t="n">
        <v>-1236.95</v>
      </c>
      <c r="J265" s="40" t="n">
        <v>-324.98</v>
      </c>
      <c r="K265" s="41" t="n">
        <f aca="false">H265+I265+J265</f>
        <v>5166.66</v>
      </c>
      <c r="L265" s="42" t="n">
        <f aca="false">IF($K$1282=0,0,K265/$K$1282)</f>
        <v>0.000427998042680139</v>
      </c>
      <c r="M265" s="43" t="n">
        <f aca="false">IF(F265&lt;=0,0,K265/F265)</f>
        <v>54.3858947368421</v>
      </c>
      <c r="N265" s="40" t="n">
        <v>70</v>
      </c>
      <c r="O265" s="44" t="n">
        <v>1.69</v>
      </c>
      <c r="P265" s="43" t="n">
        <f aca="false">O265*'Price Groups'!$B$5</f>
        <v>38.025</v>
      </c>
      <c r="Q265" s="45" t="n">
        <f aca="false">IF(OR(N265="",P265=""),"",(N265-P265)/N265)</f>
        <v>0.456785714285714</v>
      </c>
      <c r="R265" s="46" t="n">
        <v>1</v>
      </c>
      <c r="S265" s="47" t="n">
        <f aca="false">IF(R265="-",0,IFERROR(VLOOKUP(R265,'Price Groups'!$A$13:$C$17,3,FALSE()),0))</f>
        <v>0.22</v>
      </c>
      <c r="T265" s="41" t="n">
        <f aca="false">IF(OR(N265="",R265="-"),"",CEILING(ROUND(N265*(1+S265),2),IF(N265*(1+S265)&lt;100,0.5,IF(N265*(1+S265)&lt;1000,1,5))))</f>
        <v>85.5</v>
      </c>
      <c r="U265" s="45" t="n">
        <f aca="false">IF(OR(T265="",P265=""),"",(T265-P265)/T265)</f>
        <v>0.555263157894737</v>
      </c>
      <c r="V265" s="45" t="n">
        <f aca="false">IF(T265="",0,T265/N265-1)</f>
        <v>0.221428571428572</v>
      </c>
      <c r="W265" s="38" t="s">
        <v>94</v>
      </c>
    </row>
    <row r="266" customFormat="false" ht="15" hidden="false" customHeight="false" outlineLevel="0" collapsed="false">
      <c r="A266" s="19" t="n">
        <v>215</v>
      </c>
      <c r="B266" s="19" t="s">
        <v>394</v>
      </c>
      <c r="C266" s="19" t="s">
        <v>57</v>
      </c>
      <c r="D266" s="19"/>
      <c r="E266" s="19" t="s">
        <v>58</v>
      </c>
      <c r="F266" s="20" t="n">
        <v>95</v>
      </c>
      <c r="G266" s="20" t="n">
        <v>40</v>
      </c>
      <c r="H266" s="21" t="n">
        <v>8428.01</v>
      </c>
      <c r="I266" s="21" t="n">
        <v>-1220.7</v>
      </c>
      <c r="J266" s="21" t="n">
        <v>-574.98</v>
      </c>
      <c r="K266" s="22" t="n">
        <f aca="false">H266+I266+J266</f>
        <v>6632.33</v>
      </c>
      <c r="L266" s="23" t="n">
        <f aca="false">IF($K$1282=0,0,K266/$K$1282)</f>
        <v>0.000549411855707317</v>
      </c>
      <c r="M266" s="24" t="n">
        <f aca="false">IF(F266&lt;=0,0,K266/F266)</f>
        <v>69.814</v>
      </c>
      <c r="N266" s="21" t="n">
        <v>99</v>
      </c>
      <c r="O266" s="49" t="n">
        <v>2.59</v>
      </c>
      <c r="P266" s="24" t="n">
        <f aca="false">O266*'Price Groups'!$B$5</f>
        <v>58.275</v>
      </c>
      <c r="Q266" s="26" t="n">
        <f aca="false">IF(OR(N266="",P266=""),"",(N266-P266)/N266)</f>
        <v>0.411363636363636</v>
      </c>
      <c r="R266" s="27" t="n">
        <v>1</v>
      </c>
      <c r="S266" s="28" t="n">
        <f aca="false">IF(R266="-",0,IFERROR(VLOOKUP(R266,'Price Groups'!$A$13:$C$17,3,FALSE()),0))</f>
        <v>0.22</v>
      </c>
      <c r="T266" s="22" t="n">
        <f aca="false">IF(OR(N266="",R266="-"),"",CEILING(ROUND(N266*(1+S266),2),IF(N266*(1+S266)&lt;100,0.5,IF(N266*(1+S266)&lt;1000,1,5))))</f>
        <v>121</v>
      </c>
      <c r="U266" s="26" t="n">
        <f aca="false">IF(OR(T266="",P266=""),"",(T266-P266)/T266)</f>
        <v>0.518388429752066</v>
      </c>
      <c r="V266" s="26" t="n">
        <f aca="false">IF(T266="",0,T266/N266-1)</f>
        <v>0.222222222222222</v>
      </c>
      <c r="W266" s="19" t="s">
        <v>94</v>
      </c>
    </row>
    <row r="267" customFormat="false" ht="15" hidden="false" customHeight="false" outlineLevel="0" collapsed="false">
      <c r="A267" s="38" t="n">
        <v>216</v>
      </c>
      <c r="B267" s="38" t="s">
        <v>395</v>
      </c>
      <c r="C267" s="38" t="s">
        <v>57</v>
      </c>
      <c r="D267" s="38"/>
      <c r="E267" s="38" t="s">
        <v>58</v>
      </c>
      <c r="F267" s="39" t="n">
        <v>93</v>
      </c>
      <c r="G267" s="39" t="n">
        <v>70</v>
      </c>
      <c r="H267" s="40" t="n">
        <v>66948.97</v>
      </c>
      <c r="I267" s="40" t="n">
        <v>-685.5</v>
      </c>
      <c r="J267" s="40" t="n">
        <v>-6388.39</v>
      </c>
      <c r="K267" s="41" t="n">
        <f aca="false">H267+I267+J267</f>
        <v>59875.08</v>
      </c>
      <c r="L267" s="42" t="n">
        <f aca="false">IF($K$1282=0,0,K267/$K$1282)</f>
        <v>0.00495995808613626</v>
      </c>
      <c r="M267" s="43" t="n">
        <f aca="false">IF(F267&lt;=0,0,K267/F267)</f>
        <v>643.818064516129</v>
      </c>
      <c r="N267" s="40" t="n">
        <v>649.99</v>
      </c>
      <c r="O267" s="44" t="n">
        <v>15.08</v>
      </c>
      <c r="P267" s="43" t="n">
        <f aca="false">O267*'Price Groups'!$B$5</f>
        <v>339.3</v>
      </c>
      <c r="Q267" s="45" t="n">
        <f aca="false">IF(OR(N267="",P267=""),"",(N267-P267)/N267)</f>
        <v>0.477991969107217</v>
      </c>
      <c r="R267" s="46" t="n">
        <v>4</v>
      </c>
      <c r="S267" s="47" t="n">
        <f aca="false">IF(R267="-",0,IFERROR(VLOOKUP(R267,'Price Groups'!$A$13:$C$17,3,FALSE()),0))</f>
        <v>0.15</v>
      </c>
      <c r="T267" s="41" t="n">
        <f aca="false">IF(OR(N267="",R267="-"),"",CEILING(ROUND(N267*(1+S267),2),IF(N267*(1+S267)&lt;100,0.5,IF(N267*(1+S267)&lt;1000,1,5))))</f>
        <v>748</v>
      </c>
      <c r="U267" s="45" t="n">
        <f aca="false">IF(OR(T267="",P267=""),"",(T267-P267)/T267)</f>
        <v>0.546390374331551</v>
      </c>
      <c r="V267" s="45" t="n">
        <f aca="false">IF(T267="",0,T267/N267-1)</f>
        <v>0.150786935183618</v>
      </c>
      <c r="W267" s="38" t="s">
        <v>101</v>
      </c>
    </row>
    <row r="268" customFormat="false" ht="15" hidden="false" customHeight="false" outlineLevel="0" collapsed="false">
      <c r="A268" s="19" t="n">
        <v>217</v>
      </c>
      <c r="B268" s="19" t="s">
        <v>396</v>
      </c>
      <c r="C268" s="19" t="s">
        <v>57</v>
      </c>
      <c r="D268" s="19"/>
      <c r="E268" s="19" t="s">
        <v>58</v>
      </c>
      <c r="F268" s="20" t="n">
        <v>92</v>
      </c>
      <c r="G268" s="20" t="n">
        <v>78</v>
      </c>
      <c r="H268" s="21" t="n">
        <v>3372.81</v>
      </c>
      <c r="I268" s="21" t="n">
        <v>-23.24</v>
      </c>
      <c r="J268" s="21" t="n">
        <v>-527.53</v>
      </c>
      <c r="K268" s="22" t="n">
        <f aca="false">H268+I268+J268</f>
        <v>2822.04</v>
      </c>
      <c r="L268" s="23" t="n">
        <f aca="false">IF($K$1282=0,0,K268/$K$1282)</f>
        <v>0.000233773384810508</v>
      </c>
      <c r="M268" s="24" t="n">
        <f aca="false">IF(F268&lt;=0,0,K268/F268)</f>
        <v>30.674347826087</v>
      </c>
      <c r="N268" s="21" t="n">
        <v>34.99</v>
      </c>
      <c r="O268" s="49" t="n">
        <v>0.46</v>
      </c>
      <c r="P268" s="24" t="n">
        <f aca="false">O268*'Price Groups'!$B$5</f>
        <v>10.35</v>
      </c>
      <c r="Q268" s="26" t="n">
        <f aca="false">IF(OR(N268="",P268=""),"",(N268-P268)/N268)</f>
        <v>0.704201200342955</v>
      </c>
      <c r="R268" s="27" t="n">
        <v>1</v>
      </c>
      <c r="S268" s="28" t="n">
        <f aca="false">IF(R268="-",0,IFERROR(VLOOKUP(R268,'Price Groups'!$A$13:$C$17,3,FALSE()),0))</f>
        <v>0.22</v>
      </c>
      <c r="T268" s="22" t="n">
        <f aca="false">IF(OR(N268="",R268="-"),"",CEILING(ROUND(N268*(1+S268),2),IF(N268*(1+S268)&lt;100,0.5,IF(N268*(1+S268)&lt;1000,1,5))))</f>
        <v>43</v>
      </c>
      <c r="U268" s="26" t="n">
        <f aca="false">IF(OR(T268="",P268=""),"",(T268-P268)/T268)</f>
        <v>0.759302325581395</v>
      </c>
      <c r="V268" s="26" t="n">
        <f aca="false">IF(T268="",0,T268/N268-1)</f>
        <v>0.2289225492998</v>
      </c>
      <c r="W268" s="19" t="s">
        <v>94</v>
      </c>
    </row>
    <row r="269" customFormat="false" ht="15" hidden="false" customHeight="false" outlineLevel="0" collapsed="false">
      <c r="A269" s="38" t="n">
        <v>218</v>
      </c>
      <c r="B269" s="38" t="s">
        <v>397</v>
      </c>
      <c r="C269" s="38" t="s">
        <v>57</v>
      </c>
      <c r="D269" s="38" t="s">
        <v>398</v>
      </c>
      <c r="E269" s="38" t="s">
        <v>58</v>
      </c>
      <c r="F269" s="39" t="n">
        <v>92</v>
      </c>
      <c r="G269" s="39" t="n">
        <v>43</v>
      </c>
      <c r="H269" s="40" t="n">
        <v>6759.18</v>
      </c>
      <c r="I269" s="40" t="n">
        <v>-1.39</v>
      </c>
      <c r="J269" s="40" t="n">
        <v>-660</v>
      </c>
      <c r="K269" s="41" t="n">
        <f aca="false">H269+I269+J269</f>
        <v>6097.79</v>
      </c>
      <c r="L269" s="42" t="n">
        <f aca="false">IF($K$1282=0,0,K269/$K$1282)</f>
        <v>0.000505131397203324</v>
      </c>
      <c r="M269" s="43" t="n">
        <f aca="false">IF(F269&lt;=0,0,K269/F269)</f>
        <v>66.2803260869565</v>
      </c>
      <c r="N269" s="40" t="n">
        <v>67.98</v>
      </c>
      <c r="O269" s="44" t="n">
        <v>1.12</v>
      </c>
      <c r="P269" s="43" t="n">
        <f aca="false">O269*'Price Groups'!$B$5</f>
        <v>25.2</v>
      </c>
      <c r="Q269" s="45" t="n">
        <f aca="false">IF(OR(N269="",P269=""),"",(N269-P269)/N269)</f>
        <v>0.629302736098853</v>
      </c>
      <c r="R269" s="46" t="n">
        <v>3</v>
      </c>
      <c r="S269" s="47" t="n">
        <f aca="false">IF(R269="-",0,IFERROR(VLOOKUP(R269,'Price Groups'!$A$13:$C$17,3,FALSE()),0))</f>
        <v>0.16</v>
      </c>
      <c r="T269" s="41" t="n">
        <f aca="false">IF(OR(N269="",R269="-"),"",CEILING(ROUND(N269*(1+S269),2),IF(N269*(1+S269)&lt;100,0.5,IF(N269*(1+S269)&lt;1000,1,5))))</f>
        <v>79</v>
      </c>
      <c r="U269" s="45" t="n">
        <f aca="false">IF(OR(T269="",P269=""),"",(T269-P269)/T269)</f>
        <v>0.681012658227848</v>
      </c>
      <c r="V269" s="45" t="n">
        <f aca="false">IF(T269="",0,T269/N269-1)</f>
        <v>0.162106501912327</v>
      </c>
      <c r="W269" s="38" t="s">
        <v>107</v>
      </c>
    </row>
    <row r="270" customFormat="false" ht="15" hidden="false" customHeight="false" outlineLevel="0" collapsed="false">
      <c r="A270" s="19" t="n">
        <v>219</v>
      </c>
      <c r="B270" s="19" t="s">
        <v>399</v>
      </c>
      <c r="C270" s="19" t="s">
        <v>57</v>
      </c>
      <c r="D270" s="19"/>
      <c r="E270" s="19" t="s">
        <v>58</v>
      </c>
      <c r="F270" s="20" t="n">
        <v>92</v>
      </c>
      <c r="G270" s="20" t="n">
        <v>29</v>
      </c>
      <c r="H270" s="21" t="n">
        <v>3315.65</v>
      </c>
      <c r="I270" s="21" t="n">
        <v>-32.5</v>
      </c>
      <c r="J270" s="21" t="n">
        <v>-350.66</v>
      </c>
      <c r="K270" s="22" t="n">
        <f aca="false">H270+I270+J270</f>
        <v>2932.49</v>
      </c>
      <c r="L270" s="23" t="n">
        <f aca="false">IF($K$1282=0,0,K270/$K$1282)</f>
        <v>0.000242922890257745</v>
      </c>
      <c r="M270" s="24" t="n">
        <f aca="false">IF(F270&lt;=0,0,K270/F270)</f>
        <v>31.8748913043478</v>
      </c>
      <c r="N270" s="21" t="n">
        <v>39</v>
      </c>
      <c r="O270" s="49" t="n">
        <v>0.66</v>
      </c>
      <c r="P270" s="24" t="n">
        <f aca="false">O270*'Price Groups'!$B$5</f>
        <v>14.85</v>
      </c>
      <c r="Q270" s="26" t="n">
        <f aca="false">IF(OR(N270="",P270=""),"",(N270-P270)/N270)</f>
        <v>0.619230769230769</v>
      </c>
      <c r="R270" s="27" t="n">
        <v>1</v>
      </c>
      <c r="S270" s="28" t="n">
        <f aca="false">IF(R270="-",0,IFERROR(VLOOKUP(R270,'Price Groups'!$A$13:$C$17,3,FALSE()),0))</f>
        <v>0.22</v>
      </c>
      <c r="T270" s="22" t="n">
        <f aca="false">IF(OR(N270="",R270="-"),"",CEILING(ROUND(N270*(1+S270),2),IF(N270*(1+S270)&lt;100,0.5,IF(N270*(1+S270)&lt;1000,1,5))))</f>
        <v>48</v>
      </c>
      <c r="U270" s="26" t="n">
        <f aca="false">IF(OR(T270="",P270=""),"",(T270-P270)/T270)</f>
        <v>0.690625</v>
      </c>
      <c r="V270" s="26" t="n">
        <f aca="false">IF(T270="",0,T270/N270-1)</f>
        <v>0.230769230769231</v>
      </c>
      <c r="W270" s="19" t="s">
        <v>94</v>
      </c>
    </row>
    <row r="271" customFormat="false" ht="15" hidden="false" customHeight="false" outlineLevel="0" collapsed="false">
      <c r="A271" s="38" t="n">
        <v>220</v>
      </c>
      <c r="B271" s="38" t="s">
        <v>400</v>
      </c>
      <c r="C271" s="38" t="s">
        <v>57</v>
      </c>
      <c r="D271" s="38"/>
      <c r="E271" s="38" t="s">
        <v>58</v>
      </c>
      <c r="F271" s="39" t="n">
        <v>92</v>
      </c>
      <c r="G271" s="39" t="n">
        <v>51</v>
      </c>
      <c r="H271" s="40" t="n">
        <v>3759.88</v>
      </c>
      <c r="I271" s="40" t="n">
        <v>-17.5</v>
      </c>
      <c r="J271" s="40" t="n">
        <v>-420</v>
      </c>
      <c r="K271" s="41" t="n">
        <f aca="false">H271+I271+J271</f>
        <v>3322.38</v>
      </c>
      <c r="L271" s="42" t="n">
        <f aca="false">IF($K$1282=0,0,K271/$K$1282)</f>
        <v>0.000275220768744148</v>
      </c>
      <c r="M271" s="43" t="n">
        <f aca="false">IF(F271&lt;=0,0,K271/F271)</f>
        <v>36.1128260869565</v>
      </c>
      <c r="N271" s="40" t="n">
        <v>44.99</v>
      </c>
      <c r="O271" s="44" t="n">
        <v>1.17</v>
      </c>
      <c r="P271" s="43" t="n">
        <f aca="false">O271*'Price Groups'!$B$5</f>
        <v>26.325</v>
      </c>
      <c r="Q271" s="45" t="n">
        <f aca="false">IF(OR(N271="",P271=""),"",(N271-P271)/N271)</f>
        <v>0.41486997110469</v>
      </c>
      <c r="R271" s="46" t="n">
        <v>1</v>
      </c>
      <c r="S271" s="47" t="n">
        <f aca="false">IF(R271="-",0,IFERROR(VLOOKUP(R271,'Price Groups'!$A$13:$C$17,3,FALSE()),0))</f>
        <v>0.22</v>
      </c>
      <c r="T271" s="41" t="n">
        <f aca="false">IF(OR(N271="",R271="-"),"",CEILING(ROUND(N271*(1+S271),2),IF(N271*(1+S271)&lt;100,0.5,IF(N271*(1+S271)&lt;1000,1,5))))</f>
        <v>55</v>
      </c>
      <c r="U271" s="45" t="n">
        <f aca="false">IF(OR(T271="",P271=""),"",(T271-P271)/T271)</f>
        <v>0.521363636363636</v>
      </c>
      <c r="V271" s="45" t="n">
        <f aca="false">IF(T271="",0,T271/N271-1)</f>
        <v>0.222493887530562</v>
      </c>
      <c r="W271" s="38" t="s">
        <v>94</v>
      </c>
    </row>
    <row r="272" customFormat="false" ht="15" hidden="false" customHeight="false" outlineLevel="0" collapsed="false">
      <c r="A272" s="19" t="n">
        <v>221</v>
      </c>
      <c r="B272" s="19" t="s">
        <v>401</v>
      </c>
      <c r="C272" s="19" t="s">
        <v>57</v>
      </c>
      <c r="D272" s="19"/>
      <c r="E272" s="19" t="s">
        <v>58</v>
      </c>
      <c r="F272" s="20" t="n">
        <v>92</v>
      </c>
      <c r="G272" s="20" t="n">
        <v>87</v>
      </c>
      <c r="H272" s="21" t="n">
        <v>18720.5</v>
      </c>
      <c r="I272" s="21" t="n">
        <v>-85.32</v>
      </c>
      <c r="J272" s="21" t="n">
        <v>-2721.24</v>
      </c>
      <c r="K272" s="22" t="n">
        <f aca="false">H272+I272+J272</f>
        <v>15913.94</v>
      </c>
      <c r="L272" s="23" t="n">
        <f aca="false">IF($K$1282=0,0,K272/$K$1282)</f>
        <v>0.00131828592772297</v>
      </c>
      <c r="M272" s="24" t="n">
        <f aca="false">IF(F272&lt;=0,0,K272/F272)</f>
        <v>172.977608695652</v>
      </c>
      <c r="N272" s="21" t="n">
        <v>129</v>
      </c>
      <c r="O272" s="49" t="n">
        <v>2.52</v>
      </c>
      <c r="P272" s="24" t="n">
        <f aca="false">O272*'Price Groups'!$B$5</f>
        <v>56.7</v>
      </c>
      <c r="Q272" s="26" t="n">
        <f aca="false">IF(OR(N272="",P272=""),"",(N272-P272)/N272)</f>
        <v>0.56046511627907</v>
      </c>
      <c r="R272" s="27" t="n">
        <v>3</v>
      </c>
      <c r="S272" s="28" t="n">
        <f aca="false">IF(R272="-",0,IFERROR(VLOOKUP(R272,'Price Groups'!$A$13:$C$17,3,FALSE()),0))</f>
        <v>0.16</v>
      </c>
      <c r="T272" s="22" t="n">
        <f aca="false">IF(OR(N272="",R272="-"),"",CEILING(ROUND(N272*(1+S272),2),IF(N272*(1+S272)&lt;100,0.5,IF(N272*(1+S272)&lt;1000,1,5))))</f>
        <v>150</v>
      </c>
      <c r="U272" s="26" t="n">
        <f aca="false">IF(OR(T272="",P272=""),"",(T272-P272)/T272)</f>
        <v>0.622</v>
      </c>
      <c r="V272" s="26" t="n">
        <f aca="false">IF(T272="",0,T272/N272-1)</f>
        <v>0.162790697674419</v>
      </c>
      <c r="W272" s="19" t="s">
        <v>107</v>
      </c>
    </row>
    <row r="273" customFormat="false" ht="15" hidden="false" customHeight="false" outlineLevel="0" collapsed="false">
      <c r="A273" s="38" t="n">
        <v>222</v>
      </c>
      <c r="B273" s="38" t="s">
        <v>210</v>
      </c>
      <c r="C273" s="38" t="s">
        <v>307</v>
      </c>
      <c r="D273" s="38" t="s">
        <v>209</v>
      </c>
      <c r="E273" s="38" t="s">
        <v>58</v>
      </c>
      <c r="F273" s="39" t="n">
        <v>92</v>
      </c>
      <c r="G273" s="39" t="n">
        <v>72</v>
      </c>
      <c r="H273" s="40" t="n">
        <v>32901.38</v>
      </c>
      <c r="I273" s="40" t="n">
        <v>-178.21</v>
      </c>
      <c r="J273" s="40" t="n">
        <v>-1565.96</v>
      </c>
      <c r="K273" s="41" t="n">
        <f aca="false">H273+I273+J273</f>
        <v>31157.21</v>
      </c>
      <c r="L273" s="42" t="n">
        <f aca="false">IF($K$1282=0,0,K273/$K$1282)</f>
        <v>0.00258101460041382</v>
      </c>
      <c r="M273" s="43" t="n">
        <f aca="false">IF(F273&lt;=0,0,K273/F273)</f>
        <v>338.665326086957</v>
      </c>
      <c r="N273" s="40" t="n">
        <v>399.99</v>
      </c>
      <c r="O273" s="44" t="n">
        <v>6.6</v>
      </c>
      <c r="P273" s="43" t="n">
        <f aca="false">O273*'Price Groups'!$B$5</f>
        <v>148.5</v>
      </c>
      <c r="Q273" s="45" t="n">
        <f aca="false">IF(OR(N273="",P273=""),"",(N273-P273)/N273)</f>
        <v>0.628740718517963</v>
      </c>
      <c r="R273" s="46" t="n">
        <v>4</v>
      </c>
      <c r="S273" s="47" t="n">
        <f aca="false">IF(R273="-",0,IFERROR(VLOOKUP(R273,'Price Groups'!$A$13:$C$17,3,FALSE()),0))</f>
        <v>0.15</v>
      </c>
      <c r="T273" s="41" t="n">
        <f aca="false">IF(OR(N273="",R273="-"),"",CEILING(ROUND(N273*(1+S273),2),IF(N273*(1+S273)&lt;100,0.5,IF(N273*(1+S273)&lt;1000,1,5))))</f>
        <v>460</v>
      </c>
      <c r="U273" s="45" t="n">
        <f aca="false">IF(OR(T273="",P273=""),"",(T273-P273)/T273)</f>
        <v>0.677173913043478</v>
      </c>
      <c r="V273" s="45" t="n">
        <f aca="false">IF(T273="",0,T273/N273-1)</f>
        <v>0.150028750718768</v>
      </c>
      <c r="W273" s="38" t="s">
        <v>402</v>
      </c>
    </row>
    <row r="274" customFormat="false" ht="15" hidden="false" customHeight="false" outlineLevel="0" collapsed="false">
      <c r="A274" s="19" t="n">
        <v>223</v>
      </c>
      <c r="B274" s="19" t="s">
        <v>403</v>
      </c>
      <c r="C274" s="19" t="s">
        <v>57</v>
      </c>
      <c r="D274" s="19"/>
      <c r="E274" s="19" t="s">
        <v>58</v>
      </c>
      <c r="F274" s="20" t="n">
        <v>92</v>
      </c>
      <c r="G274" s="20" t="n">
        <v>66</v>
      </c>
      <c r="H274" s="21" t="n">
        <v>1441.35</v>
      </c>
      <c r="I274" s="21" t="n">
        <v>-23.77</v>
      </c>
      <c r="J274" s="21" t="n">
        <v>-377.7</v>
      </c>
      <c r="K274" s="22" t="n">
        <f aca="false">H274+I274+J274</f>
        <v>1039.88</v>
      </c>
      <c r="L274" s="23" t="n">
        <f aca="false">IF($K$1282=0,0,K274/$K$1282)</f>
        <v>8.61420346262814E-005</v>
      </c>
      <c r="M274" s="24" t="n">
        <f aca="false">IF(F274&lt;=0,0,K274/F274)</f>
        <v>11.3030434782609</v>
      </c>
      <c r="N274" s="21" t="n">
        <v>15</v>
      </c>
      <c r="O274" s="49" t="n">
        <v>0.33</v>
      </c>
      <c r="P274" s="24" t="n">
        <f aca="false">O274*'Price Groups'!$B$5</f>
        <v>7.425</v>
      </c>
      <c r="Q274" s="26" t="n">
        <f aca="false">IF(OR(N274="",P274=""),"",(N274-P274)/N274)</f>
        <v>0.505</v>
      </c>
      <c r="R274" s="27" t="n">
        <v>1</v>
      </c>
      <c r="S274" s="28" t="n">
        <f aca="false">IF(R274="-",0,IFERROR(VLOOKUP(R274,'Price Groups'!$A$13:$C$17,3,FALSE()),0))</f>
        <v>0.22</v>
      </c>
      <c r="T274" s="22" t="n">
        <f aca="false">IF(OR(N274="",R274="-"),"",CEILING(ROUND(N274*(1+S274),2),IF(N274*(1+S274)&lt;100,0.5,IF(N274*(1+S274)&lt;1000,1,5))))</f>
        <v>18.5</v>
      </c>
      <c r="U274" s="26" t="n">
        <f aca="false">IF(OR(T274="",P274=""),"",(T274-P274)/T274)</f>
        <v>0.598648648648649</v>
      </c>
      <c r="V274" s="26" t="n">
        <f aca="false">IF(T274="",0,T274/N274-1)</f>
        <v>0.233333333333333</v>
      </c>
      <c r="W274" s="19" t="s">
        <v>94</v>
      </c>
    </row>
    <row r="275" customFormat="false" ht="15" hidden="false" customHeight="false" outlineLevel="0" collapsed="false">
      <c r="A275" s="38" t="n">
        <v>224</v>
      </c>
      <c r="B275" s="38" t="s">
        <v>404</v>
      </c>
      <c r="C275" s="38" t="s">
        <v>57</v>
      </c>
      <c r="D275" s="38"/>
      <c r="E275" s="38" t="s">
        <v>58</v>
      </c>
      <c r="F275" s="39" t="n">
        <v>92</v>
      </c>
      <c r="G275" s="39" t="n">
        <v>13</v>
      </c>
      <c r="H275" s="40" t="n">
        <v>1974.45</v>
      </c>
      <c r="I275" s="40" t="n">
        <v>-2.52</v>
      </c>
      <c r="J275" s="40" t="n">
        <v>-74.97</v>
      </c>
      <c r="K275" s="41" t="n">
        <f aca="false">H275+I275+J275</f>
        <v>1896.96</v>
      </c>
      <c r="L275" s="42" t="n">
        <f aca="false">IF($K$1282=0,0,K275/$K$1282)</f>
        <v>0.000157141202835588</v>
      </c>
      <c r="M275" s="43" t="n">
        <f aca="false">IF(F275&lt;=0,0,K275/F275)</f>
        <v>20.6191304347826</v>
      </c>
      <c r="N275" s="40" t="n">
        <v>24.99</v>
      </c>
      <c r="O275" s="44" t="n">
        <v>0.42</v>
      </c>
      <c r="P275" s="43" t="n">
        <f aca="false">O275*'Price Groups'!$B$5</f>
        <v>9.45</v>
      </c>
      <c r="Q275" s="45" t="n">
        <f aca="false">IF(OR(N275="",P275=""),"",(N275-P275)/N275)</f>
        <v>0.621848739495798</v>
      </c>
      <c r="R275" s="46" t="n">
        <v>1</v>
      </c>
      <c r="S275" s="47" t="n">
        <f aca="false">IF(R275="-",0,IFERROR(VLOOKUP(R275,'Price Groups'!$A$13:$C$17,3,FALSE()),0))</f>
        <v>0.22</v>
      </c>
      <c r="T275" s="41" t="n">
        <f aca="false">IF(OR(N275="",R275="-"),"",CEILING(ROUND(N275*(1+S275),2),IF(N275*(1+S275)&lt;100,0.5,IF(N275*(1+S275)&lt;1000,1,5))))</f>
        <v>30.5</v>
      </c>
      <c r="U275" s="45" t="n">
        <f aca="false">IF(OR(T275="",P275=""),"",(T275-P275)/T275)</f>
        <v>0.69016393442623</v>
      </c>
      <c r="V275" s="45" t="n">
        <f aca="false">IF(T275="",0,T275/N275-1)</f>
        <v>0.220488195278111</v>
      </c>
      <c r="W275" s="38" t="s">
        <v>94</v>
      </c>
    </row>
    <row r="276" customFormat="false" ht="15" hidden="false" customHeight="false" outlineLevel="0" collapsed="false">
      <c r="A276" s="19" t="n">
        <v>225</v>
      </c>
      <c r="B276" s="19" t="s">
        <v>405</v>
      </c>
      <c r="C276" s="19" t="s">
        <v>57</v>
      </c>
      <c r="D276" s="19"/>
      <c r="E276" s="19" t="s">
        <v>58</v>
      </c>
      <c r="F276" s="20" t="n">
        <v>91</v>
      </c>
      <c r="G276" s="20" t="n">
        <v>53</v>
      </c>
      <c r="H276" s="21" t="n">
        <v>3506.4</v>
      </c>
      <c r="I276" s="21" t="n">
        <v>-51.19</v>
      </c>
      <c r="J276" s="21" t="n">
        <v>-426.17</v>
      </c>
      <c r="K276" s="22" t="n">
        <f aca="false">H276+I276+J276</f>
        <v>3029.04</v>
      </c>
      <c r="L276" s="23" t="n">
        <f aca="false">IF($K$1282=0,0,K276/$K$1282)</f>
        <v>0.00025092094142054</v>
      </c>
      <c r="M276" s="24" t="n">
        <f aca="false">IF(F276&lt;=0,0,K276/F276)</f>
        <v>33.2861538461538</v>
      </c>
      <c r="N276" s="21" t="n">
        <v>34.99</v>
      </c>
      <c r="O276" s="49" t="n">
        <v>0.67</v>
      </c>
      <c r="P276" s="24" t="n">
        <f aca="false">O276*'Price Groups'!$B$5</f>
        <v>15.075</v>
      </c>
      <c r="Q276" s="26" t="n">
        <f aca="false">IF(OR(N276="",P276=""),"",(N276-P276)/N276)</f>
        <v>0.569162617890826</v>
      </c>
      <c r="R276" s="27" t="n">
        <v>1</v>
      </c>
      <c r="S276" s="28" t="n">
        <f aca="false">IF(R276="-",0,IFERROR(VLOOKUP(R276,'Price Groups'!$A$13:$C$17,3,FALSE()),0))</f>
        <v>0.22</v>
      </c>
      <c r="T276" s="22" t="n">
        <f aca="false">IF(OR(N276="",R276="-"),"",CEILING(ROUND(N276*(1+S276),2),IF(N276*(1+S276)&lt;100,0.5,IF(N276*(1+S276)&lt;1000,1,5))))</f>
        <v>43</v>
      </c>
      <c r="U276" s="26" t="n">
        <f aca="false">IF(OR(T276="",P276=""),"",(T276-P276)/T276)</f>
        <v>0.649418604651163</v>
      </c>
      <c r="V276" s="26" t="n">
        <f aca="false">IF(T276="",0,T276/N276-1)</f>
        <v>0.2289225492998</v>
      </c>
      <c r="W276" s="19" t="s">
        <v>94</v>
      </c>
    </row>
    <row r="277" customFormat="false" ht="15" hidden="false" customHeight="false" outlineLevel="0" collapsed="false">
      <c r="A277" s="38" t="n">
        <v>226</v>
      </c>
      <c r="B277" s="38" t="s">
        <v>406</v>
      </c>
      <c r="C277" s="38" t="s">
        <v>57</v>
      </c>
      <c r="D277" s="38" t="s">
        <v>407</v>
      </c>
      <c r="E277" s="38" t="s">
        <v>58</v>
      </c>
      <c r="F277" s="39" t="n">
        <v>91</v>
      </c>
      <c r="G277" s="39" t="n">
        <v>25</v>
      </c>
      <c r="H277" s="40" t="n">
        <v>6812.43</v>
      </c>
      <c r="I277" s="40" t="n">
        <v>-690.58</v>
      </c>
      <c r="J277" s="40" t="n">
        <v>-603.93</v>
      </c>
      <c r="K277" s="41" t="n">
        <f aca="false">H277+I277+J277</f>
        <v>5517.92</v>
      </c>
      <c r="L277" s="42" t="n">
        <f aca="false">IF($K$1282=0,0,K277/$K$1282)</f>
        <v>0.000457095872317047</v>
      </c>
      <c r="M277" s="43" t="n">
        <f aca="false">IF(F277&lt;=0,0,K277/F277)</f>
        <v>60.6364835164835</v>
      </c>
      <c r="N277" s="40" t="n">
        <v>69.99</v>
      </c>
      <c r="O277" s="44" t="n">
        <v>1.12</v>
      </c>
      <c r="P277" s="43" t="n">
        <f aca="false">O277*'Price Groups'!$B$5</f>
        <v>25.2</v>
      </c>
      <c r="Q277" s="45" t="n">
        <f aca="false">IF(OR(N277="",P277=""),"",(N277-P277)/N277)</f>
        <v>0.639948564080583</v>
      </c>
      <c r="R277" s="46" t="n">
        <v>1</v>
      </c>
      <c r="S277" s="47" t="n">
        <f aca="false">IF(R277="-",0,IFERROR(VLOOKUP(R277,'Price Groups'!$A$13:$C$17,3,FALSE()),0))</f>
        <v>0.22</v>
      </c>
      <c r="T277" s="41" t="n">
        <f aca="false">IF(OR(N277="",R277="-"),"",CEILING(ROUND(N277*(1+S277),2),IF(N277*(1+S277)&lt;100,0.5,IF(N277*(1+S277)&lt;1000,1,5))))</f>
        <v>85.5</v>
      </c>
      <c r="U277" s="45" t="n">
        <f aca="false">IF(OR(T277="",P277=""),"",(T277-P277)/T277)</f>
        <v>0.705263157894737</v>
      </c>
      <c r="V277" s="45" t="n">
        <f aca="false">IF(T277="",0,T277/N277-1)</f>
        <v>0.221603086155165</v>
      </c>
      <c r="W277" s="38" t="s">
        <v>94</v>
      </c>
    </row>
    <row r="278" customFormat="false" ht="15" hidden="false" customHeight="false" outlineLevel="0" collapsed="false">
      <c r="A278" s="19" t="n">
        <v>227</v>
      </c>
      <c r="B278" s="19" t="s">
        <v>408</v>
      </c>
      <c r="C278" s="19" t="s">
        <v>57</v>
      </c>
      <c r="D278" s="19"/>
      <c r="E278" s="19" t="s">
        <v>58</v>
      </c>
      <c r="F278" s="20" t="n">
        <v>91</v>
      </c>
      <c r="G278" s="20" t="n">
        <v>38</v>
      </c>
      <c r="H278" s="21" t="n">
        <v>879.29</v>
      </c>
      <c r="I278" s="21" t="n">
        <v>-17.01</v>
      </c>
      <c r="J278" s="21" t="n">
        <v>-80.86</v>
      </c>
      <c r="K278" s="22" t="n">
        <f aca="false">H278+I278+J278</f>
        <v>781.42</v>
      </c>
      <c r="L278" s="23" t="n">
        <f aca="false">IF($K$1282=0,0,K278/$K$1282)</f>
        <v>6.47316120106828E-005</v>
      </c>
      <c r="M278" s="24" t="n">
        <f aca="false">IF(F278&lt;=0,0,K278/F278)</f>
        <v>8.58703296703297</v>
      </c>
      <c r="N278" s="21" t="n">
        <v>6.22</v>
      </c>
      <c r="O278" s="49" t="n">
        <v>0.21</v>
      </c>
      <c r="P278" s="24" t="n">
        <f aca="false">O278*'Price Groups'!$B$5</f>
        <v>4.725</v>
      </c>
      <c r="Q278" s="26" t="n">
        <f aca="false">IF(OR(N278="",P278=""),"",(N278-P278)/N278)</f>
        <v>0.240353697749196</v>
      </c>
      <c r="R278" s="27" t="n">
        <v>1</v>
      </c>
      <c r="S278" s="28" t="n">
        <f aca="false">IF(R278="-",0,IFERROR(VLOOKUP(R278,'Price Groups'!$A$13:$C$17,3,FALSE()),0))</f>
        <v>0.22</v>
      </c>
      <c r="T278" s="22" t="n">
        <f aca="false">IF(OR(N278="",R278="-"),"",CEILING(ROUND(N278*(1+S278),2),IF(N278*(1+S278)&lt;100,0.5,IF(N278*(1+S278)&lt;1000,1,5))))</f>
        <v>8</v>
      </c>
      <c r="U278" s="26" t="n">
        <f aca="false">IF(OR(T278="",P278=""),"",(T278-P278)/T278)</f>
        <v>0.409375</v>
      </c>
      <c r="V278" s="26" t="n">
        <f aca="false">IF(T278="",0,T278/N278-1)</f>
        <v>0.286173633440515</v>
      </c>
      <c r="W278" s="19" t="s">
        <v>244</v>
      </c>
    </row>
    <row r="279" customFormat="false" ht="15" hidden="false" customHeight="false" outlineLevel="0" collapsed="false">
      <c r="A279" s="38" t="n">
        <v>228</v>
      </c>
      <c r="B279" s="38" t="s">
        <v>409</v>
      </c>
      <c r="C279" s="38" t="s">
        <v>57</v>
      </c>
      <c r="D279" s="38"/>
      <c r="E279" s="38" t="s">
        <v>58</v>
      </c>
      <c r="F279" s="39" t="n">
        <v>89</v>
      </c>
      <c r="G279" s="39" t="n">
        <v>70</v>
      </c>
      <c r="H279" s="40" t="n">
        <v>22904.21</v>
      </c>
      <c r="I279" s="40" t="n">
        <v>-129.75</v>
      </c>
      <c r="J279" s="40" t="n">
        <v>-3985.54</v>
      </c>
      <c r="K279" s="41" t="n">
        <f aca="false">H279+I279+J279</f>
        <v>18788.92</v>
      </c>
      <c r="L279" s="42" t="n">
        <f aca="false">IF($K$1282=0,0,K279/$K$1282)</f>
        <v>0.00155644477942689</v>
      </c>
      <c r="M279" s="43" t="n">
        <f aca="false">IF(F279&lt;=0,0,K279/F279)</f>
        <v>211.111460674157</v>
      </c>
      <c r="N279" s="40" t="n">
        <v>100</v>
      </c>
      <c r="O279" s="44" t="n">
        <v>5.23</v>
      </c>
      <c r="P279" s="43" t="n">
        <f aca="false">O279*'Price Groups'!$B$5</f>
        <v>117.675</v>
      </c>
      <c r="Q279" s="45" t="n">
        <f aca="false">IF(OR(N279="",P279=""),"",(N279-P279)/N279)</f>
        <v>-0.17675</v>
      </c>
      <c r="R279" s="46" t="n">
        <v>1</v>
      </c>
      <c r="S279" s="47" t="n">
        <f aca="false">IF(R279="-",0,IFERROR(VLOOKUP(R279,'Price Groups'!$A$13:$C$17,3,FALSE()),0))</f>
        <v>0.22</v>
      </c>
      <c r="T279" s="41" t="n">
        <f aca="false">IF(OR(N279="",R279="-"),"",CEILING(ROUND(N279*(1+S279),2),IF(N279*(1+S279)&lt;100,0.5,IF(N279*(1+S279)&lt;1000,1,5))))</f>
        <v>122</v>
      </c>
      <c r="U279" s="45" t="n">
        <f aca="false">IF(OR(T279="",P279=""),"",(T279-P279)/T279)</f>
        <v>0.0354508196721311</v>
      </c>
      <c r="V279" s="45" t="n">
        <f aca="false">IF(T279="",0,T279/N279-1)</f>
        <v>0.22</v>
      </c>
      <c r="W279" s="38" t="s">
        <v>410</v>
      </c>
    </row>
    <row r="280" customFormat="false" ht="15" hidden="false" customHeight="false" outlineLevel="0" collapsed="false">
      <c r="A280" s="19" t="n">
        <v>229</v>
      </c>
      <c r="B280" s="19" t="s">
        <v>411</v>
      </c>
      <c r="C280" s="19" t="s">
        <v>57</v>
      </c>
      <c r="D280" s="19"/>
      <c r="E280" s="19" t="s">
        <v>58</v>
      </c>
      <c r="F280" s="20" t="n">
        <v>89</v>
      </c>
      <c r="G280" s="20" t="n">
        <v>55</v>
      </c>
      <c r="H280" s="21" t="n">
        <v>23400.56</v>
      </c>
      <c r="I280" s="21" t="n">
        <v>-269.04</v>
      </c>
      <c r="J280" s="21" t="n">
        <v>-1663.12</v>
      </c>
      <c r="K280" s="22" t="n">
        <f aca="false">H280+I280+J280</f>
        <v>21468.4</v>
      </c>
      <c r="L280" s="23" t="n">
        <f aca="false">IF($K$1282=0,0,K280/$K$1282)</f>
        <v>0.00177840871655466</v>
      </c>
      <c r="M280" s="24" t="n">
        <f aca="false">IF(F280&lt;=0,0,K280/F280)</f>
        <v>241.21797752809</v>
      </c>
      <c r="N280" s="21" t="n">
        <v>299.99</v>
      </c>
      <c r="O280" s="49" t="n">
        <v>8.14</v>
      </c>
      <c r="P280" s="24" t="n">
        <f aca="false">O280*'Price Groups'!$B$5</f>
        <v>183.15</v>
      </c>
      <c r="Q280" s="26" t="n">
        <f aca="false">IF(OR(N280="",P280=""),"",(N280-P280)/N280)</f>
        <v>0.389479649321644</v>
      </c>
      <c r="R280" s="27" t="n">
        <v>2</v>
      </c>
      <c r="S280" s="28" t="n">
        <f aca="false">IF(R280="-",0,IFERROR(VLOOKUP(R280,'Price Groups'!$A$13:$C$17,3,FALSE()),0))</f>
        <v>0.18</v>
      </c>
      <c r="T280" s="22" t="n">
        <f aca="false">IF(OR(N280="",R280="-"),"",CEILING(ROUND(N280*(1+S280),2),IF(N280*(1+S280)&lt;100,0.5,IF(N280*(1+S280)&lt;1000,1,5))))</f>
        <v>354</v>
      </c>
      <c r="U280" s="26" t="n">
        <f aca="false">IF(OR(T280="",P280=""),"",(T280-P280)/T280)</f>
        <v>0.482627118644068</v>
      </c>
      <c r="V280" s="26" t="n">
        <f aca="false">IF(T280="",0,T280/N280-1)</f>
        <v>0.180039334644488</v>
      </c>
      <c r="W280" s="19" t="s">
        <v>412</v>
      </c>
    </row>
    <row r="281" customFormat="false" ht="15" hidden="false" customHeight="false" outlineLevel="0" collapsed="false">
      <c r="A281" s="38" t="n">
        <v>230</v>
      </c>
      <c r="B281" s="38" t="s">
        <v>413</v>
      </c>
      <c r="C281" s="38" t="s">
        <v>57</v>
      </c>
      <c r="D281" s="38"/>
      <c r="E281" s="38" t="s">
        <v>58</v>
      </c>
      <c r="F281" s="39" t="n">
        <v>89</v>
      </c>
      <c r="G281" s="39" t="n">
        <v>54</v>
      </c>
      <c r="H281" s="40" t="n">
        <v>3026.86</v>
      </c>
      <c r="I281" s="40" t="n">
        <v>-52.06</v>
      </c>
      <c r="J281" s="40" t="n">
        <v>-145.03</v>
      </c>
      <c r="K281" s="41" t="n">
        <f aca="false">H281+I281+J281</f>
        <v>2829.77</v>
      </c>
      <c r="L281" s="42" t="n">
        <f aca="false">IF($K$1282=0,0,K281/$K$1282)</f>
        <v>0.000234413725934158</v>
      </c>
      <c r="M281" s="43" t="n">
        <f aca="false">IF(F281&lt;=0,0,K281/F281)</f>
        <v>31.7951685393258</v>
      </c>
      <c r="N281" s="40" t="n">
        <v>34.99</v>
      </c>
      <c r="O281" s="44" t="n">
        <v>0.83</v>
      </c>
      <c r="P281" s="43" t="n">
        <f aca="false">O281*'Price Groups'!$B$5</f>
        <v>18.675</v>
      </c>
      <c r="Q281" s="45" t="n">
        <f aca="false">IF(OR(N281="",P281=""),"",(N281-P281)/N281)</f>
        <v>0.46627607887968</v>
      </c>
      <c r="R281" s="46" t="n">
        <v>1</v>
      </c>
      <c r="S281" s="47" t="n">
        <f aca="false">IF(R281="-",0,IFERROR(VLOOKUP(R281,'Price Groups'!$A$13:$C$17,3,FALSE()),0))</f>
        <v>0.22</v>
      </c>
      <c r="T281" s="41" t="n">
        <f aca="false">IF(OR(N281="",R281="-"),"",CEILING(ROUND(N281*(1+S281),2),IF(N281*(1+S281)&lt;100,0.5,IF(N281*(1+S281)&lt;1000,1,5))))</f>
        <v>43</v>
      </c>
      <c r="U281" s="45" t="n">
        <f aca="false">IF(OR(T281="",P281=""),"",(T281-P281)/T281)</f>
        <v>0.565697674418605</v>
      </c>
      <c r="V281" s="45" t="n">
        <f aca="false">IF(T281="",0,T281/N281-1)</f>
        <v>0.2289225492998</v>
      </c>
      <c r="W281" s="38" t="s">
        <v>94</v>
      </c>
    </row>
    <row r="282" customFormat="false" ht="15" hidden="false" customHeight="false" outlineLevel="0" collapsed="false">
      <c r="A282" s="19" t="n">
        <v>231</v>
      </c>
      <c r="B282" s="19" t="s">
        <v>414</v>
      </c>
      <c r="C282" s="19" t="s">
        <v>57</v>
      </c>
      <c r="D282" s="19"/>
      <c r="E282" s="19" t="s">
        <v>58</v>
      </c>
      <c r="F282" s="20" t="n">
        <v>89</v>
      </c>
      <c r="G282" s="20" t="n">
        <v>68</v>
      </c>
      <c r="H282" s="21" t="n">
        <v>1808</v>
      </c>
      <c r="I282" s="21" t="n">
        <v>-19.24</v>
      </c>
      <c r="J282" s="21" t="n">
        <v>-133.91</v>
      </c>
      <c r="K282" s="22" t="n">
        <f aca="false">H282+I282+J282</f>
        <v>1654.85</v>
      </c>
      <c r="L282" s="23" t="n">
        <f aca="false">IF($K$1282=0,0,K282/$K$1282)</f>
        <v>0.000137085188676868</v>
      </c>
      <c r="M282" s="24" t="n">
        <f aca="false">IF(F282&lt;=0,0,K282/F282)</f>
        <v>18.5938202247191</v>
      </c>
      <c r="N282" s="21" t="n">
        <v>22</v>
      </c>
      <c r="O282" s="49" t="n">
        <v>0.38</v>
      </c>
      <c r="P282" s="24" t="n">
        <f aca="false">O282*'Price Groups'!$B$5</f>
        <v>8.55</v>
      </c>
      <c r="Q282" s="26" t="n">
        <f aca="false">IF(OR(N282="",P282=""),"",(N282-P282)/N282)</f>
        <v>0.611363636363636</v>
      </c>
      <c r="R282" s="27" t="n">
        <v>1</v>
      </c>
      <c r="S282" s="28" t="n">
        <f aca="false">IF(R282="-",0,IFERROR(VLOOKUP(R282,'Price Groups'!$A$13:$C$17,3,FALSE()),0))</f>
        <v>0.22</v>
      </c>
      <c r="T282" s="22" t="n">
        <f aca="false">IF(OR(N282="",R282="-"),"",CEILING(ROUND(N282*(1+S282),2),IF(N282*(1+S282)&lt;100,0.5,IF(N282*(1+S282)&lt;1000,1,5))))</f>
        <v>27</v>
      </c>
      <c r="U282" s="26" t="n">
        <f aca="false">IF(OR(T282="",P282=""),"",(T282-P282)/T282)</f>
        <v>0.683333333333333</v>
      </c>
      <c r="V282" s="26" t="n">
        <f aca="false">IF(T282="",0,T282/N282-1)</f>
        <v>0.227272727272727</v>
      </c>
      <c r="W282" s="19" t="s">
        <v>94</v>
      </c>
    </row>
    <row r="283" customFormat="false" ht="15" hidden="false" customHeight="false" outlineLevel="0" collapsed="false">
      <c r="A283" s="38" t="n">
        <v>232</v>
      </c>
      <c r="B283" s="38" t="s">
        <v>415</v>
      </c>
      <c r="C283" s="38" t="s">
        <v>57</v>
      </c>
      <c r="D283" s="38"/>
      <c r="E283" s="38" t="s">
        <v>58</v>
      </c>
      <c r="F283" s="39" t="n">
        <v>89</v>
      </c>
      <c r="G283" s="39" t="n">
        <v>64</v>
      </c>
      <c r="H283" s="40" t="n">
        <v>1886.4</v>
      </c>
      <c r="I283" s="40" t="n">
        <v>-32.21</v>
      </c>
      <c r="J283" s="40" t="n">
        <v>-213.84</v>
      </c>
      <c r="K283" s="41" t="n">
        <f aca="false">H283+I283+J283</f>
        <v>1640.35</v>
      </c>
      <c r="L283" s="42" t="n">
        <f aca="false">IF($K$1282=0,0,K283/$K$1282)</f>
        <v>0.000135884031329789</v>
      </c>
      <c r="M283" s="43" t="n">
        <f aca="false">IF(F283&lt;=0,0,K283/F283)</f>
        <v>18.4308988764045</v>
      </c>
      <c r="N283" s="40" t="n">
        <v>19.44</v>
      </c>
      <c r="O283" s="44" t="n">
        <v>0.38</v>
      </c>
      <c r="P283" s="43" t="n">
        <f aca="false">O283*'Price Groups'!$B$5</f>
        <v>8.55</v>
      </c>
      <c r="Q283" s="45" t="n">
        <f aca="false">IF(OR(N283="",P283=""),"",(N283-P283)/N283)</f>
        <v>0.560185185185185</v>
      </c>
      <c r="R283" s="46" t="n">
        <v>1</v>
      </c>
      <c r="S283" s="47" t="n">
        <f aca="false">IF(R283="-",0,IFERROR(VLOOKUP(R283,'Price Groups'!$A$13:$C$17,3,FALSE()),0))</f>
        <v>0.22</v>
      </c>
      <c r="T283" s="41" t="n">
        <f aca="false">IF(OR(N283="",R283="-"),"",CEILING(ROUND(N283*(1+S283),2),IF(N283*(1+S283)&lt;100,0.5,IF(N283*(1+S283)&lt;1000,1,5))))</f>
        <v>24</v>
      </c>
      <c r="U283" s="45" t="n">
        <f aca="false">IF(OR(T283="",P283=""),"",(T283-P283)/T283)</f>
        <v>0.64375</v>
      </c>
      <c r="V283" s="45" t="n">
        <f aca="false">IF(T283="",0,T283/N283-1)</f>
        <v>0.234567901234568</v>
      </c>
      <c r="W283" s="38" t="s">
        <v>94</v>
      </c>
    </row>
    <row r="284" customFormat="false" ht="15" hidden="false" customHeight="false" outlineLevel="0" collapsed="false">
      <c r="A284" s="19" t="n">
        <v>233</v>
      </c>
      <c r="B284" s="19" t="s">
        <v>416</v>
      </c>
      <c r="C284" s="19" t="s">
        <v>57</v>
      </c>
      <c r="D284" s="19"/>
      <c r="E284" s="19" t="s">
        <v>58</v>
      </c>
      <c r="F284" s="20" t="n">
        <v>88</v>
      </c>
      <c r="G284" s="20" t="n">
        <v>48</v>
      </c>
      <c r="H284" s="21" t="n">
        <v>7285.94</v>
      </c>
      <c r="I284" s="21" t="n">
        <v>-31.19</v>
      </c>
      <c r="J284" s="21" t="n">
        <v>-237</v>
      </c>
      <c r="K284" s="22" t="n">
        <f aca="false">H284+I284+J284</f>
        <v>7017.75</v>
      </c>
      <c r="L284" s="23" t="n">
        <f aca="false">IF($K$1282=0,0,K284/$K$1282)</f>
        <v>0.000581339446377069</v>
      </c>
      <c r="M284" s="24" t="n">
        <f aca="false">IF(F284&lt;=0,0,K284/F284)</f>
        <v>79.7471590909091</v>
      </c>
      <c r="N284" s="21" t="n">
        <v>74.99</v>
      </c>
      <c r="O284" s="49" t="n">
        <v>1.59</v>
      </c>
      <c r="P284" s="24" t="n">
        <f aca="false">O284*'Price Groups'!$B$5</f>
        <v>35.775</v>
      </c>
      <c r="Q284" s="26" t="n">
        <f aca="false">IF(OR(N284="",P284=""),"",(N284-P284)/N284)</f>
        <v>0.522936391518869</v>
      </c>
      <c r="R284" s="27" t="n">
        <v>1</v>
      </c>
      <c r="S284" s="28" t="n">
        <f aca="false">IF(R284="-",0,IFERROR(VLOOKUP(R284,'Price Groups'!$A$13:$C$17,3,FALSE()),0))</f>
        <v>0.22</v>
      </c>
      <c r="T284" s="22" t="n">
        <f aca="false">IF(OR(N284="",R284="-"),"",CEILING(ROUND(N284*(1+S284),2),IF(N284*(1+S284)&lt;100,0.5,IF(N284*(1+S284)&lt;1000,1,5))))</f>
        <v>91.5</v>
      </c>
      <c r="U284" s="26" t="n">
        <f aca="false">IF(OR(T284="",P284=""),"",(T284-P284)/T284)</f>
        <v>0.609016393442623</v>
      </c>
      <c r="V284" s="26" t="n">
        <f aca="false">IF(T284="",0,T284/N284-1)</f>
        <v>0.220162688358448</v>
      </c>
      <c r="W284" s="19" t="s">
        <v>94</v>
      </c>
    </row>
    <row r="285" customFormat="false" ht="15" hidden="false" customHeight="false" outlineLevel="0" collapsed="false">
      <c r="A285" s="38" t="n">
        <v>234</v>
      </c>
      <c r="B285" s="38" t="s">
        <v>417</v>
      </c>
      <c r="C285" s="38" t="s">
        <v>57</v>
      </c>
      <c r="D285" s="38"/>
      <c r="E285" s="38" t="s">
        <v>58</v>
      </c>
      <c r="F285" s="39" t="n">
        <v>88</v>
      </c>
      <c r="G285" s="39" t="n">
        <v>49</v>
      </c>
      <c r="H285" s="40" t="n">
        <v>7760.3</v>
      </c>
      <c r="I285" s="40" t="n">
        <v>-154.86</v>
      </c>
      <c r="J285" s="40" t="n">
        <v>-646.12</v>
      </c>
      <c r="K285" s="41" t="n">
        <f aca="false">H285+I285+J285</f>
        <v>6959.32</v>
      </c>
      <c r="L285" s="42" t="n">
        <f aca="false">IF($K$1282=0,0,K285/$K$1282)</f>
        <v>0.000576499196460527</v>
      </c>
      <c r="M285" s="43" t="n">
        <f aca="false">IF(F285&lt;=0,0,K285/F285)</f>
        <v>79.0831818181818</v>
      </c>
      <c r="N285" s="40" t="n">
        <v>89.99</v>
      </c>
      <c r="O285" s="44" t="n">
        <v>1.65</v>
      </c>
      <c r="P285" s="43" t="n">
        <f aca="false">O285*'Price Groups'!$B$5</f>
        <v>37.125</v>
      </c>
      <c r="Q285" s="45" t="n">
        <f aca="false">IF(OR(N285="",P285=""),"",(N285-P285)/N285)</f>
        <v>0.587454161573508</v>
      </c>
      <c r="R285" s="46" t="n">
        <v>1</v>
      </c>
      <c r="S285" s="47" t="n">
        <f aca="false">IF(R285="-",0,IFERROR(VLOOKUP(R285,'Price Groups'!$A$13:$C$17,3,FALSE()),0))</f>
        <v>0.22</v>
      </c>
      <c r="T285" s="41" t="n">
        <f aca="false">IF(OR(N285="",R285="-"),"",CEILING(ROUND(N285*(1+S285),2),IF(N285*(1+S285)&lt;100,0.5,IF(N285*(1+S285)&lt;1000,1,5))))</f>
        <v>110</v>
      </c>
      <c r="U285" s="45" t="n">
        <f aca="false">IF(OR(T285="",P285=""),"",(T285-P285)/T285)</f>
        <v>0.6625</v>
      </c>
      <c r="V285" s="45" t="n">
        <f aca="false">IF(T285="",0,T285/N285-1)</f>
        <v>0.222358039782198</v>
      </c>
      <c r="W285" s="38" t="s">
        <v>94</v>
      </c>
    </row>
    <row r="286" customFormat="false" ht="15" hidden="false" customHeight="false" outlineLevel="0" collapsed="false">
      <c r="A286" s="19" t="n">
        <v>235</v>
      </c>
      <c r="B286" s="19" t="s">
        <v>418</v>
      </c>
      <c r="C286" s="19" t="s">
        <v>57</v>
      </c>
      <c r="D286" s="19" t="s">
        <v>419</v>
      </c>
      <c r="E286" s="19" t="s">
        <v>58</v>
      </c>
      <c r="F286" s="20" t="n">
        <v>88</v>
      </c>
      <c r="G286" s="20" t="n">
        <v>51</v>
      </c>
      <c r="H286" s="21" t="n">
        <v>4893.49</v>
      </c>
      <c r="I286" s="21" t="n">
        <v>-92.63</v>
      </c>
      <c r="J286" s="21" t="n">
        <v>-270.9</v>
      </c>
      <c r="K286" s="22" t="n">
        <f aca="false">H286+I286+J286</f>
        <v>4529.96</v>
      </c>
      <c r="L286" s="23" t="n">
        <f aca="false">IF($K$1282=0,0,K286/$K$1282)</f>
        <v>0.000375254809377688</v>
      </c>
      <c r="M286" s="24" t="n">
        <f aca="false">IF(F286&lt;=0,0,K286/F286)</f>
        <v>51.4768181818182</v>
      </c>
      <c r="N286" s="21" t="n">
        <v>59.99</v>
      </c>
      <c r="O286" s="49" t="n">
        <v>1.12</v>
      </c>
      <c r="P286" s="24" t="n">
        <f aca="false">O286*'Price Groups'!$B$5</f>
        <v>25.2</v>
      </c>
      <c r="Q286" s="26" t="n">
        <f aca="false">IF(OR(N286="",P286=""),"",(N286-P286)/N286)</f>
        <v>0.579929988331389</v>
      </c>
      <c r="R286" s="27" t="n">
        <v>1</v>
      </c>
      <c r="S286" s="28" t="n">
        <f aca="false">IF(R286="-",0,IFERROR(VLOOKUP(R286,'Price Groups'!$A$13:$C$17,3,FALSE()),0))</f>
        <v>0.22</v>
      </c>
      <c r="T286" s="22" t="n">
        <f aca="false">IF(OR(N286="",R286="-"),"",CEILING(ROUND(N286*(1+S286),2),IF(N286*(1+S286)&lt;100,0.5,IF(N286*(1+S286)&lt;1000,1,5))))</f>
        <v>73.5</v>
      </c>
      <c r="U286" s="26" t="n">
        <f aca="false">IF(OR(T286="",P286=""),"",(T286-P286)/T286)</f>
        <v>0.657142857142857</v>
      </c>
      <c r="V286" s="26" t="n">
        <f aca="false">IF(T286="",0,T286/N286-1)</f>
        <v>0.225204200700117</v>
      </c>
      <c r="W286" s="19" t="s">
        <v>94</v>
      </c>
    </row>
    <row r="287" customFormat="false" ht="15" hidden="false" customHeight="false" outlineLevel="0" collapsed="false">
      <c r="A287" s="38" t="n">
        <v>236</v>
      </c>
      <c r="B287" s="38" t="s">
        <v>420</v>
      </c>
      <c r="C287" s="38" t="s">
        <v>57</v>
      </c>
      <c r="D287" s="38"/>
      <c r="E287" s="38" t="s">
        <v>58</v>
      </c>
      <c r="F287" s="39" t="n">
        <v>88</v>
      </c>
      <c r="G287" s="39" t="n">
        <v>69</v>
      </c>
      <c r="H287" s="40" t="n">
        <v>16009.09</v>
      </c>
      <c r="I287" s="40" t="n">
        <v>-198.61</v>
      </c>
      <c r="J287" s="40" t="n">
        <v>-519.97</v>
      </c>
      <c r="K287" s="41" t="n">
        <f aca="false">H287+I287+J287</f>
        <v>15290.51</v>
      </c>
      <c r="L287" s="42" t="n">
        <f aca="false">IF($K$1282=0,0,K287/$K$1282)</f>
        <v>0.00126664196048919</v>
      </c>
      <c r="M287" s="43" t="n">
        <f aca="false">IF(F287&lt;=0,0,K287/F287)</f>
        <v>173.755795454545</v>
      </c>
      <c r="N287" s="40" t="n">
        <v>194.99</v>
      </c>
      <c r="O287" s="44" t="n">
        <v>5.35</v>
      </c>
      <c r="P287" s="43" t="n">
        <f aca="false">O287*'Price Groups'!$B$5</f>
        <v>120.375</v>
      </c>
      <c r="Q287" s="45" t="n">
        <f aca="false">IF(OR(N287="",P287=""),"",(N287-P287)/N287)</f>
        <v>0.382660649264065</v>
      </c>
      <c r="R287" s="46" t="n">
        <v>2</v>
      </c>
      <c r="S287" s="47" t="n">
        <f aca="false">IF(R287="-",0,IFERROR(VLOOKUP(R287,'Price Groups'!$A$13:$C$17,3,FALSE()),0))</f>
        <v>0.18</v>
      </c>
      <c r="T287" s="41" t="n">
        <f aca="false">IF(OR(N287="",R287="-"),"",CEILING(ROUND(N287*(1+S287),2),IF(N287*(1+S287)&lt;100,0.5,IF(N287*(1+S287)&lt;1000,1,5))))</f>
        <v>231</v>
      </c>
      <c r="U287" s="45" t="n">
        <f aca="false">IF(OR(T287="",P287=""),"",(T287-P287)/T287)</f>
        <v>0.478896103896104</v>
      </c>
      <c r="V287" s="45" t="n">
        <f aca="false">IF(T287="",0,T287/N287-1)</f>
        <v>0.184676137237807</v>
      </c>
      <c r="W287" s="38" t="s">
        <v>195</v>
      </c>
    </row>
    <row r="288" customFormat="false" ht="15" hidden="false" customHeight="false" outlineLevel="0" collapsed="false">
      <c r="A288" s="19" t="n">
        <v>237</v>
      </c>
      <c r="B288" s="19" t="s">
        <v>421</v>
      </c>
      <c r="C288" s="19" t="s">
        <v>57</v>
      </c>
      <c r="D288" s="19"/>
      <c r="E288" s="19" t="s">
        <v>58</v>
      </c>
      <c r="F288" s="20" t="n">
        <v>87</v>
      </c>
      <c r="G288" s="20" t="n">
        <v>69</v>
      </c>
      <c r="H288" s="21" t="n">
        <v>11708.65</v>
      </c>
      <c r="I288" s="21" t="n">
        <v>-64.08</v>
      </c>
      <c r="J288" s="21" t="n">
        <v>-774</v>
      </c>
      <c r="K288" s="22" t="n">
        <f aca="false">H288+I288+J288</f>
        <v>10870.57</v>
      </c>
      <c r="L288" s="23" t="n">
        <f aca="false">IF($K$1282=0,0,K288/$K$1282)</f>
        <v>0.000900501036030519</v>
      </c>
      <c r="M288" s="24" t="n">
        <f aca="false">IF(F288&lt;=0,0,K288/F288)</f>
        <v>124.94908045977</v>
      </c>
      <c r="N288" s="21" t="n">
        <v>149.99</v>
      </c>
      <c r="O288" s="49" t="n">
        <v>3.45</v>
      </c>
      <c r="P288" s="24" t="n">
        <f aca="false">O288*'Price Groups'!$B$5</f>
        <v>77.625</v>
      </c>
      <c r="Q288" s="26" t="n">
        <f aca="false">IF(OR(N288="",P288=""),"",(N288-P288)/N288)</f>
        <v>0.482465497699847</v>
      </c>
      <c r="R288" s="27" t="n">
        <v>3</v>
      </c>
      <c r="S288" s="28" t="n">
        <f aca="false">IF(R288="-",0,IFERROR(VLOOKUP(R288,'Price Groups'!$A$13:$C$17,3,FALSE()),0))</f>
        <v>0.16</v>
      </c>
      <c r="T288" s="22" t="n">
        <f aca="false">IF(OR(N288="",R288="-"),"",CEILING(ROUND(N288*(1+S288),2),IF(N288*(1+S288)&lt;100,0.5,IF(N288*(1+S288)&lt;1000,1,5))))</f>
        <v>174</v>
      </c>
      <c r="U288" s="26" t="n">
        <f aca="false">IF(OR(T288="",P288=""),"",(T288-P288)/T288)</f>
        <v>0.553879310344828</v>
      </c>
      <c r="V288" s="26" t="n">
        <f aca="false">IF(T288="",0,T288/N288-1)</f>
        <v>0.160077338489232</v>
      </c>
      <c r="W288" s="19" t="s">
        <v>107</v>
      </c>
    </row>
    <row r="289" customFormat="false" ht="15" hidden="false" customHeight="false" outlineLevel="0" collapsed="false">
      <c r="A289" s="38" t="n">
        <v>238</v>
      </c>
      <c r="B289" s="38" t="s">
        <v>422</v>
      </c>
      <c r="C289" s="38" t="s">
        <v>57</v>
      </c>
      <c r="D289" s="38"/>
      <c r="E289" s="38" t="s">
        <v>58</v>
      </c>
      <c r="F289" s="39" t="n">
        <v>87</v>
      </c>
      <c r="G289" s="39" t="n">
        <v>36</v>
      </c>
      <c r="H289" s="40" t="n">
        <v>1075.8</v>
      </c>
      <c r="I289" s="40" t="n">
        <v>-6.89</v>
      </c>
      <c r="J289" s="40" t="n">
        <v>-165.6</v>
      </c>
      <c r="K289" s="41" t="n">
        <f aca="false">H289+I289+J289</f>
        <v>903.31</v>
      </c>
      <c r="L289" s="42" t="n">
        <f aca="false">IF($K$1282=0,0,K289/$K$1282)</f>
        <v>7.48287891855467E-005</v>
      </c>
      <c r="M289" s="43" t="n">
        <f aca="false">IF(F289&lt;=0,0,K289/F289)</f>
        <v>10.3828735632184</v>
      </c>
      <c r="N289" s="40" t="n">
        <v>7.2</v>
      </c>
      <c r="O289" s="44" t="n">
        <v>0.25</v>
      </c>
      <c r="P289" s="43" t="n">
        <f aca="false">O289*'Price Groups'!$B$5</f>
        <v>5.625</v>
      </c>
      <c r="Q289" s="45" t="n">
        <f aca="false">IF(OR(N289="",P289=""),"",(N289-P289)/N289)</f>
        <v>0.21875</v>
      </c>
      <c r="R289" s="46" t="n">
        <v>1</v>
      </c>
      <c r="S289" s="47" t="n">
        <f aca="false">IF(R289="-",0,IFERROR(VLOOKUP(R289,'Price Groups'!$A$13:$C$17,3,FALSE()),0))</f>
        <v>0.22</v>
      </c>
      <c r="T289" s="41" t="n">
        <f aca="false">IF(OR(N289="",R289="-"),"",CEILING(ROUND(N289*(1+S289),2),IF(N289*(1+S289)&lt;100,0.5,IF(N289*(1+S289)&lt;1000,1,5))))</f>
        <v>9</v>
      </c>
      <c r="U289" s="45" t="n">
        <f aca="false">IF(OR(T289="",P289=""),"",(T289-P289)/T289)</f>
        <v>0.375</v>
      </c>
      <c r="V289" s="45" t="n">
        <f aca="false">IF(T289="",0,T289/N289-1)</f>
        <v>0.25</v>
      </c>
      <c r="W289" s="38" t="s">
        <v>423</v>
      </c>
    </row>
    <row r="290" customFormat="false" ht="15" hidden="false" customHeight="false" outlineLevel="0" collapsed="false">
      <c r="A290" s="19" t="n">
        <v>239</v>
      </c>
      <c r="B290" s="19" t="s">
        <v>424</v>
      </c>
      <c r="C290" s="19" t="s">
        <v>57</v>
      </c>
      <c r="D290" s="19"/>
      <c r="E290" s="19" t="s">
        <v>58</v>
      </c>
      <c r="F290" s="20" t="n">
        <v>87</v>
      </c>
      <c r="G290" s="20" t="n">
        <v>29</v>
      </c>
      <c r="H290" s="21" t="n">
        <v>3088.66</v>
      </c>
      <c r="I290" s="21" t="n">
        <v>-2.99</v>
      </c>
      <c r="J290" s="21" t="n">
        <v>-79.97</v>
      </c>
      <c r="K290" s="22" t="n">
        <f aca="false">H290+I290+J290</f>
        <v>3005.7</v>
      </c>
      <c r="L290" s="23" t="n">
        <f aca="false">IF($K$1282=0,0,K290/$K$1282)</f>
        <v>0.000248987492283931</v>
      </c>
      <c r="M290" s="24" t="n">
        <f aca="false">IF(F290&lt;=0,0,K290/F290)</f>
        <v>34.548275862069</v>
      </c>
      <c r="N290" s="21" t="n">
        <v>39</v>
      </c>
      <c r="O290" s="49" t="n">
        <v>0.71</v>
      </c>
      <c r="P290" s="24" t="n">
        <f aca="false">O290*'Price Groups'!$B$5</f>
        <v>15.975</v>
      </c>
      <c r="Q290" s="26" t="n">
        <f aca="false">IF(OR(N290="",P290=""),"",(N290-P290)/N290)</f>
        <v>0.590384615384615</v>
      </c>
      <c r="R290" s="27" t="n">
        <v>1</v>
      </c>
      <c r="S290" s="28" t="n">
        <f aca="false">IF(R290="-",0,IFERROR(VLOOKUP(R290,'Price Groups'!$A$13:$C$17,3,FALSE()),0))</f>
        <v>0.22</v>
      </c>
      <c r="T290" s="22" t="n">
        <f aca="false">IF(OR(N290="",R290="-"),"",CEILING(ROUND(N290*(1+S290),2),IF(N290*(1+S290)&lt;100,0.5,IF(N290*(1+S290)&lt;1000,1,5))))</f>
        <v>48</v>
      </c>
      <c r="U290" s="26" t="n">
        <f aca="false">IF(OR(T290="",P290=""),"",(T290-P290)/T290)</f>
        <v>0.6671875</v>
      </c>
      <c r="V290" s="26" t="n">
        <f aca="false">IF(T290="",0,T290/N290-1)</f>
        <v>0.230769230769231</v>
      </c>
      <c r="W290" s="19" t="s">
        <v>94</v>
      </c>
    </row>
    <row r="291" customFormat="false" ht="15" hidden="false" customHeight="false" outlineLevel="0" collapsed="false">
      <c r="A291" s="38" t="n">
        <v>240</v>
      </c>
      <c r="B291" s="38" t="s">
        <v>425</v>
      </c>
      <c r="C291" s="38" t="s">
        <v>57</v>
      </c>
      <c r="D291" s="38"/>
      <c r="E291" s="38" t="s">
        <v>58</v>
      </c>
      <c r="F291" s="39" t="n">
        <v>86</v>
      </c>
      <c r="G291" s="39" t="n">
        <v>63</v>
      </c>
      <c r="H291" s="40" t="n">
        <v>18581.12</v>
      </c>
      <c r="I291" s="40" t="n">
        <v>-101.42</v>
      </c>
      <c r="J291" s="40" t="n">
        <v>-2886.4</v>
      </c>
      <c r="K291" s="41" t="n">
        <f aca="false">H291+I291+J291</f>
        <v>15593.3</v>
      </c>
      <c r="L291" s="42" t="n">
        <f aca="false">IF($K$1282=0,0,K291/$K$1282)</f>
        <v>0.00129172461104935</v>
      </c>
      <c r="M291" s="43" t="n">
        <f aca="false">IF(F291&lt;=0,0,K291/F291)</f>
        <v>181.317441860465</v>
      </c>
      <c r="N291" s="40" t="n">
        <v>266</v>
      </c>
      <c r="O291" s="44" t="n">
        <v>6.1</v>
      </c>
      <c r="P291" s="43" t="n">
        <f aca="false">O291*'Price Groups'!$B$5</f>
        <v>137.25</v>
      </c>
      <c r="Q291" s="45" t="n">
        <f aca="false">IF(OR(N291="",P291=""),"",(N291-P291)/N291)</f>
        <v>0.484022556390977</v>
      </c>
      <c r="R291" s="46" t="n">
        <v>3</v>
      </c>
      <c r="S291" s="47" t="n">
        <f aca="false">IF(R291="-",0,IFERROR(VLOOKUP(R291,'Price Groups'!$A$13:$C$17,3,FALSE()),0))</f>
        <v>0.16</v>
      </c>
      <c r="T291" s="41" t="n">
        <f aca="false">IF(OR(N291="",R291="-"),"",CEILING(ROUND(N291*(1+S291),2),IF(N291*(1+S291)&lt;100,0.5,IF(N291*(1+S291)&lt;1000,1,5))))</f>
        <v>309</v>
      </c>
      <c r="U291" s="45" t="n">
        <f aca="false">IF(OR(T291="",P291=""),"",(T291-P291)/T291)</f>
        <v>0.555825242718447</v>
      </c>
      <c r="V291" s="45" t="n">
        <f aca="false">IF(T291="",0,T291/N291-1)</f>
        <v>0.161654135338346</v>
      </c>
      <c r="W291" s="38" t="s">
        <v>107</v>
      </c>
    </row>
    <row r="292" customFormat="false" ht="15" hidden="false" customHeight="false" outlineLevel="0" collapsed="false">
      <c r="A292" s="19" t="n">
        <v>241</v>
      </c>
      <c r="B292" s="19" t="s">
        <v>426</v>
      </c>
      <c r="C292" s="19" t="s">
        <v>57</v>
      </c>
      <c r="D292" s="19"/>
      <c r="E292" s="19" t="s">
        <v>58</v>
      </c>
      <c r="F292" s="20" t="n">
        <v>86</v>
      </c>
      <c r="G292" s="20" t="n">
        <v>36</v>
      </c>
      <c r="H292" s="21" t="n">
        <v>7298.81</v>
      </c>
      <c r="I292" s="21" t="n">
        <v>-103.1</v>
      </c>
      <c r="J292" s="21" t="n">
        <v>-349.07</v>
      </c>
      <c r="K292" s="22" t="n">
        <f aca="false">H292+I292+J292</f>
        <v>6846.64</v>
      </c>
      <c r="L292" s="23" t="n">
        <f aca="false">IF($K$1282=0,0,K292/$K$1282)</f>
        <v>0.000567164961297153</v>
      </c>
      <c r="M292" s="24" t="n">
        <f aca="false">IF(F292&lt;=0,0,K292/F292)</f>
        <v>79.6120930232558</v>
      </c>
      <c r="N292" s="21" t="n">
        <v>99.99</v>
      </c>
      <c r="O292" s="49" t="n">
        <v>2.47</v>
      </c>
      <c r="P292" s="24" t="n">
        <f aca="false">O292*'Price Groups'!$B$5</f>
        <v>55.575</v>
      </c>
      <c r="Q292" s="26" t="n">
        <f aca="false">IF(OR(N292="",P292=""),"",(N292-P292)/N292)</f>
        <v>0.444194419441944</v>
      </c>
      <c r="R292" s="27" t="n">
        <v>1</v>
      </c>
      <c r="S292" s="28" t="n">
        <f aca="false">IF(R292="-",0,IFERROR(VLOOKUP(R292,'Price Groups'!$A$13:$C$17,3,FALSE()),0))</f>
        <v>0.22</v>
      </c>
      <c r="T292" s="22" t="n">
        <f aca="false">IF(OR(N292="",R292="-"),"",CEILING(ROUND(N292*(1+S292),2),IF(N292*(1+S292)&lt;100,0.5,IF(N292*(1+S292)&lt;1000,1,5))))</f>
        <v>122</v>
      </c>
      <c r="U292" s="26" t="n">
        <f aca="false">IF(OR(T292="",P292=""),"",(T292-P292)/T292)</f>
        <v>0.544467213114754</v>
      </c>
      <c r="V292" s="26" t="n">
        <f aca="false">IF(T292="",0,T292/N292-1)</f>
        <v>0.22012201220122</v>
      </c>
      <c r="W292" s="19" t="s">
        <v>94</v>
      </c>
    </row>
    <row r="293" customFormat="false" ht="15" hidden="false" customHeight="false" outlineLevel="0" collapsed="false">
      <c r="A293" s="38" t="n">
        <v>242</v>
      </c>
      <c r="B293" s="38" t="s">
        <v>427</v>
      </c>
      <c r="C293" s="38" t="s">
        <v>57</v>
      </c>
      <c r="D293" s="38"/>
      <c r="E293" s="38" t="s">
        <v>58</v>
      </c>
      <c r="F293" s="39" t="n">
        <v>86</v>
      </c>
      <c r="G293" s="39" t="n">
        <v>49</v>
      </c>
      <c r="H293" s="40" t="n">
        <v>3407.59</v>
      </c>
      <c r="I293" s="40" t="n">
        <v>-248.46</v>
      </c>
      <c r="J293" s="40" t="n">
        <v>-192.7</v>
      </c>
      <c r="K293" s="41" t="n">
        <f aca="false">H293+I293+J293</f>
        <v>2966.43</v>
      </c>
      <c r="L293" s="42" t="n">
        <f aca="false">IF($K$1282=0,0,K293/$K$1282)</f>
        <v>0.000245734426834289</v>
      </c>
      <c r="M293" s="43" t="n">
        <f aca="false">IF(F293&lt;=0,0,K293/F293)</f>
        <v>34.4933720930233</v>
      </c>
      <c r="N293" s="40" t="n">
        <v>37</v>
      </c>
      <c r="O293" s="44" t="n">
        <v>0.83</v>
      </c>
      <c r="P293" s="43" t="n">
        <f aca="false">O293*'Price Groups'!$B$5</f>
        <v>18.675</v>
      </c>
      <c r="Q293" s="45" t="n">
        <f aca="false">IF(OR(N293="",P293=""),"",(N293-P293)/N293)</f>
        <v>0.49527027027027</v>
      </c>
      <c r="R293" s="46" t="n">
        <v>1</v>
      </c>
      <c r="S293" s="47" t="n">
        <f aca="false">IF(R293="-",0,IFERROR(VLOOKUP(R293,'Price Groups'!$A$13:$C$17,3,FALSE()),0))</f>
        <v>0.22</v>
      </c>
      <c r="T293" s="41" t="n">
        <f aca="false">IF(OR(N293="",R293="-"),"",CEILING(ROUND(N293*(1+S293),2),IF(N293*(1+S293)&lt;100,0.5,IF(N293*(1+S293)&lt;1000,1,5))))</f>
        <v>45.5</v>
      </c>
      <c r="U293" s="45" t="n">
        <f aca="false">IF(OR(T293="",P293=""),"",(T293-P293)/T293)</f>
        <v>0.58956043956044</v>
      </c>
      <c r="V293" s="45" t="n">
        <f aca="false">IF(T293="",0,T293/N293-1)</f>
        <v>0.22972972972973</v>
      </c>
      <c r="W293" s="38" t="s">
        <v>94</v>
      </c>
    </row>
    <row r="294" customFormat="false" ht="15" hidden="false" customHeight="false" outlineLevel="0" collapsed="false">
      <c r="A294" s="19" t="n">
        <v>243</v>
      </c>
      <c r="B294" s="19" t="s">
        <v>428</v>
      </c>
      <c r="C294" s="19" t="s">
        <v>57</v>
      </c>
      <c r="D294" s="19"/>
      <c r="E294" s="19" t="s">
        <v>58</v>
      </c>
      <c r="F294" s="20" t="n">
        <v>86</v>
      </c>
      <c r="G294" s="20" t="n">
        <v>21</v>
      </c>
      <c r="H294" s="21" t="n">
        <v>7235.12</v>
      </c>
      <c r="I294" s="21" t="n">
        <v>-40.81</v>
      </c>
      <c r="J294" s="21" t="n">
        <v>-499.91</v>
      </c>
      <c r="K294" s="22" t="n">
        <f aca="false">H294+I294+J294</f>
        <v>6694.4</v>
      </c>
      <c r="L294" s="23" t="n">
        <f aca="false">IF($K$1282=0,0,K294/$K$1282)</f>
        <v>0.000554553637537195</v>
      </c>
      <c r="M294" s="24" t="n">
        <f aca="false">IF(F294&lt;=0,0,K294/F294)</f>
        <v>77.8418604651163</v>
      </c>
      <c r="N294" s="21" t="n">
        <v>80</v>
      </c>
      <c r="O294" s="49" t="n">
        <v>1.46</v>
      </c>
      <c r="P294" s="24" t="n">
        <f aca="false">O294*'Price Groups'!$B$5</f>
        <v>32.85</v>
      </c>
      <c r="Q294" s="26" t="n">
        <f aca="false">IF(OR(N294="",P294=""),"",(N294-P294)/N294)</f>
        <v>0.589375</v>
      </c>
      <c r="R294" s="27" t="n">
        <v>1</v>
      </c>
      <c r="S294" s="28" t="n">
        <f aca="false">IF(R294="-",0,IFERROR(VLOOKUP(R294,'Price Groups'!$A$13:$C$17,3,FALSE()),0))</f>
        <v>0.22</v>
      </c>
      <c r="T294" s="22" t="n">
        <f aca="false">IF(OR(N294="",R294="-"),"",CEILING(ROUND(N294*(1+S294),2),IF(N294*(1+S294)&lt;100,0.5,IF(N294*(1+S294)&lt;1000,1,5))))</f>
        <v>98</v>
      </c>
      <c r="U294" s="26" t="n">
        <f aca="false">IF(OR(T294="",P294=""),"",(T294-P294)/T294)</f>
        <v>0.664795918367347</v>
      </c>
      <c r="V294" s="26" t="n">
        <f aca="false">IF(T294="",0,T294/N294-1)</f>
        <v>0.225</v>
      </c>
      <c r="W294" s="19" t="s">
        <v>94</v>
      </c>
    </row>
    <row r="295" customFormat="false" ht="15" hidden="false" customHeight="false" outlineLevel="0" collapsed="false">
      <c r="A295" s="38" t="n">
        <v>244</v>
      </c>
      <c r="B295" s="38" t="s">
        <v>429</v>
      </c>
      <c r="C295" s="38" t="s">
        <v>57</v>
      </c>
      <c r="D295" s="38"/>
      <c r="E295" s="38" t="s">
        <v>58</v>
      </c>
      <c r="F295" s="39" t="n">
        <v>85</v>
      </c>
      <c r="G295" s="39" t="n">
        <v>68</v>
      </c>
      <c r="H295" s="40" t="n">
        <v>20036.4</v>
      </c>
      <c r="I295" s="40" t="n">
        <v>-127.93</v>
      </c>
      <c r="J295" s="40" t="n">
        <v>-1099.35</v>
      </c>
      <c r="K295" s="41" t="n">
        <f aca="false">H295+I295+J295</f>
        <v>18809.12</v>
      </c>
      <c r="L295" s="42" t="n">
        <f aca="false">IF($K$1282=0,0,K295/$K$1282)</f>
        <v>0.00155811811586903</v>
      </c>
      <c r="M295" s="43" t="n">
        <f aca="false">IF(F295&lt;=0,0,K295/F295)</f>
        <v>221.283764705882</v>
      </c>
      <c r="N295" s="40" t="n">
        <v>270</v>
      </c>
      <c r="O295" s="44" t="n">
        <v>6.5</v>
      </c>
      <c r="P295" s="43" t="n">
        <f aca="false">O295*'Price Groups'!$B$5</f>
        <v>146.25</v>
      </c>
      <c r="Q295" s="45" t="n">
        <f aca="false">IF(OR(N295="",P295=""),"",(N295-P295)/N295)</f>
        <v>0.458333333333333</v>
      </c>
      <c r="R295" s="46" t="n">
        <v>3</v>
      </c>
      <c r="S295" s="47" t="n">
        <f aca="false">IF(R295="-",0,IFERROR(VLOOKUP(R295,'Price Groups'!$A$13:$C$17,3,FALSE()),0))</f>
        <v>0.16</v>
      </c>
      <c r="T295" s="41" t="n">
        <f aca="false">IF(OR(N295="",R295="-"),"",CEILING(ROUND(N295*(1+S295),2),IF(N295*(1+S295)&lt;100,0.5,IF(N295*(1+S295)&lt;1000,1,5))))</f>
        <v>314</v>
      </c>
      <c r="U295" s="45" t="n">
        <f aca="false">IF(OR(T295="",P295=""),"",(T295-P295)/T295)</f>
        <v>0.534235668789809</v>
      </c>
      <c r="V295" s="45" t="n">
        <f aca="false">IF(T295="",0,T295/N295-1)</f>
        <v>0.162962962962963</v>
      </c>
      <c r="W295" s="38" t="s">
        <v>107</v>
      </c>
    </row>
    <row r="296" customFormat="false" ht="15" hidden="false" customHeight="false" outlineLevel="0" collapsed="false">
      <c r="A296" s="19" t="n">
        <v>245</v>
      </c>
      <c r="B296" s="19" t="s">
        <v>430</v>
      </c>
      <c r="C296" s="19" t="s">
        <v>57</v>
      </c>
      <c r="D296" s="19"/>
      <c r="E296" s="19" t="s">
        <v>58</v>
      </c>
      <c r="F296" s="20" t="n">
        <v>84</v>
      </c>
      <c r="G296" s="20" t="n">
        <v>47</v>
      </c>
      <c r="H296" s="21" t="n">
        <v>713.02</v>
      </c>
      <c r="I296" s="21" t="n">
        <v>-9.62</v>
      </c>
      <c r="J296" s="21" t="n">
        <v>-124.66</v>
      </c>
      <c r="K296" s="22" t="n">
        <f aca="false">H296+I296+J296</f>
        <v>578.74</v>
      </c>
      <c r="L296" s="23" t="n">
        <f aca="false">IF($K$1282=0,0,K296/$K$1282)</f>
        <v>4.79419174516426E-005</v>
      </c>
      <c r="M296" s="24" t="n">
        <f aca="false">IF(F296&lt;=0,0,K296/F296)</f>
        <v>6.8897619047619</v>
      </c>
      <c r="N296" s="21" t="n">
        <v>9</v>
      </c>
      <c r="O296" s="49" t="n">
        <v>0.19</v>
      </c>
      <c r="P296" s="24" t="n">
        <f aca="false">O296*'Price Groups'!$B$5</f>
        <v>4.275</v>
      </c>
      <c r="Q296" s="26" t="n">
        <f aca="false">IF(OR(N296="",P296=""),"",(N296-P296)/N296)</f>
        <v>0.525</v>
      </c>
      <c r="R296" s="27" t="n">
        <v>1</v>
      </c>
      <c r="S296" s="28" t="n">
        <f aca="false">IF(R296="-",0,IFERROR(VLOOKUP(R296,'Price Groups'!$A$13:$C$17,3,FALSE()),0))</f>
        <v>0.22</v>
      </c>
      <c r="T296" s="22" t="n">
        <f aca="false">IF(OR(N296="",R296="-"),"",CEILING(ROUND(N296*(1+S296),2),IF(N296*(1+S296)&lt;100,0.5,IF(N296*(1+S296)&lt;1000,1,5))))</f>
        <v>11</v>
      </c>
      <c r="U296" s="26" t="n">
        <f aca="false">IF(OR(T296="",P296=""),"",(T296-P296)/T296)</f>
        <v>0.611363636363636</v>
      </c>
      <c r="V296" s="26" t="n">
        <f aca="false">IF(T296="",0,T296/N296-1)</f>
        <v>0.222222222222222</v>
      </c>
      <c r="W296" s="19" t="s">
        <v>94</v>
      </c>
    </row>
    <row r="297" customFormat="false" ht="15" hidden="false" customHeight="false" outlineLevel="0" collapsed="false">
      <c r="A297" s="38" t="n">
        <v>246</v>
      </c>
      <c r="B297" s="38" t="s">
        <v>431</v>
      </c>
      <c r="C297" s="38" t="s">
        <v>57</v>
      </c>
      <c r="D297" s="38"/>
      <c r="E297" s="38" t="s">
        <v>58</v>
      </c>
      <c r="F297" s="39" t="n">
        <v>84</v>
      </c>
      <c r="G297" s="39" t="n">
        <v>35</v>
      </c>
      <c r="H297" s="40" t="n">
        <v>3504.57</v>
      </c>
      <c r="I297" s="40" t="n">
        <v>-18.5</v>
      </c>
      <c r="J297" s="40" t="n">
        <v>-179</v>
      </c>
      <c r="K297" s="41" t="n">
        <f aca="false">H297+I297+J297</f>
        <v>3307.07</v>
      </c>
      <c r="L297" s="42" t="n">
        <f aca="false">IF($K$1282=0,0,K297/$K$1282)</f>
        <v>0.000273952512262508</v>
      </c>
      <c r="M297" s="43" t="n">
        <f aca="false">IF(F297&lt;=0,0,K297/F297)</f>
        <v>39.369880952381</v>
      </c>
      <c r="N297" s="40" t="n">
        <v>35</v>
      </c>
      <c r="O297" s="44" t="n">
        <v>1.1</v>
      </c>
      <c r="P297" s="43" t="n">
        <f aca="false">O297*'Price Groups'!$B$5</f>
        <v>24.75</v>
      </c>
      <c r="Q297" s="45" t="n">
        <f aca="false">IF(OR(N297="",P297=""),"",(N297-P297)/N297)</f>
        <v>0.292857142857143</v>
      </c>
      <c r="R297" s="46" t="n">
        <v>1</v>
      </c>
      <c r="S297" s="47" t="n">
        <f aca="false">IF(R297="-",0,IFERROR(VLOOKUP(R297,'Price Groups'!$A$13:$C$17,3,FALSE()),0))</f>
        <v>0.22</v>
      </c>
      <c r="T297" s="41" t="n">
        <f aca="false">IF(OR(N297="",R297="-"),"",CEILING(ROUND(N297*(1+S297),2),IF(N297*(1+S297)&lt;100,0.5,IF(N297*(1+S297)&lt;1000,1,5))))</f>
        <v>43</v>
      </c>
      <c r="U297" s="45" t="n">
        <f aca="false">IF(OR(T297="",P297=""),"",(T297-P297)/T297)</f>
        <v>0.424418604651163</v>
      </c>
      <c r="V297" s="45" t="n">
        <f aca="false">IF(T297="",0,T297/N297-1)</f>
        <v>0.228571428571429</v>
      </c>
      <c r="W297" s="38" t="s">
        <v>94</v>
      </c>
    </row>
    <row r="298" customFormat="false" ht="15" hidden="false" customHeight="false" outlineLevel="0" collapsed="false">
      <c r="A298" s="19" t="n">
        <v>247</v>
      </c>
      <c r="B298" s="19" t="s">
        <v>432</v>
      </c>
      <c r="C298" s="19" t="s">
        <v>57</v>
      </c>
      <c r="D298" s="19"/>
      <c r="E298" s="19" t="s">
        <v>58</v>
      </c>
      <c r="F298" s="20" t="n">
        <v>84</v>
      </c>
      <c r="G298" s="20" t="n">
        <v>76</v>
      </c>
      <c r="H298" s="21" t="n">
        <v>23255.02</v>
      </c>
      <c r="I298" s="21" t="n">
        <v>-137.39</v>
      </c>
      <c r="J298" s="21" t="n">
        <v>-3389.71</v>
      </c>
      <c r="K298" s="22" t="n">
        <f aca="false">H298+I298+J298</f>
        <v>19727.92</v>
      </c>
      <c r="L298" s="23" t="n">
        <f aca="false">IF($K$1282=0,0,K298/$K$1282)</f>
        <v>0.001634230072455</v>
      </c>
      <c r="M298" s="24" t="n">
        <f aca="false">IF(F298&lt;=0,0,K298/F298)</f>
        <v>234.856190476191</v>
      </c>
      <c r="N298" s="21" t="n">
        <v>242.99</v>
      </c>
      <c r="O298" s="49" t="n">
        <v>5.5</v>
      </c>
      <c r="P298" s="24" t="n">
        <f aca="false">O298*'Price Groups'!$B$5</f>
        <v>123.75</v>
      </c>
      <c r="Q298" s="26" t="n">
        <f aca="false">IF(OR(N298="",P298=""),"",(N298-P298)/N298)</f>
        <v>0.490719782707107</v>
      </c>
      <c r="R298" s="27" t="n">
        <v>3</v>
      </c>
      <c r="S298" s="28" t="n">
        <f aca="false">IF(R298="-",0,IFERROR(VLOOKUP(R298,'Price Groups'!$A$13:$C$17,3,FALSE()),0))</f>
        <v>0.16</v>
      </c>
      <c r="T298" s="22" t="n">
        <f aca="false">IF(OR(N298="",R298="-"),"",CEILING(ROUND(N298*(1+S298),2),IF(N298*(1+S298)&lt;100,0.5,IF(N298*(1+S298)&lt;1000,1,5))))</f>
        <v>282</v>
      </c>
      <c r="U298" s="26" t="n">
        <f aca="false">IF(OR(T298="",P298=""),"",(T298-P298)/T298)</f>
        <v>0.561170212765958</v>
      </c>
      <c r="V298" s="26" t="n">
        <f aca="false">IF(T298="",0,T298/N298-1)</f>
        <v>0.160541586073501</v>
      </c>
      <c r="W298" s="19" t="s">
        <v>107</v>
      </c>
    </row>
    <row r="299" customFormat="false" ht="15" hidden="false" customHeight="false" outlineLevel="0" collapsed="false">
      <c r="A299" s="38" t="n">
        <v>248</v>
      </c>
      <c r="B299" s="38" t="s">
        <v>433</v>
      </c>
      <c r="C299" s="38" t="s">
        <v>57</v>
      </c>
      <c r="D299" s="38" t="s">
        <v>434</v>
      </c>
      <c r="E299" s="38" t="s">
        <v>58</v>
      </c>
      <c r="F299" s="39" t="n">
        <v>83</v>
      </c>
      <c r="G299" s="39" t="n">
        <v>45</v>
      </c>
      <c r="H299" s="40" t="n">
        <v>2621.1</v>
      </c>
      <c r="I299" s="40" t="n">
        <v>-6.07</v>
      </c>
      <c r="J299" s="40" t="n">
        <v>-226.87</v>
      </c>
      <c r="K299" s="41" t="n">
        <f aca="false">H299+I299+J299</f>
        <v>2388.16</v>
      </c>
      <c r="L299" s="42" t="n">
        <f aca="false">IF($K$1282=0,0,K299/$K$1282)</f>
        <v>0.000197831443448379</v>
      </c>
      <c r="M299" s="43" t="n">
        <f aca="false">IF(F299&lt;=0,0,K299/F299)</f>
        <v>28.7730120481928</v>
      </c>
      <c r="N299" s="40" t="n">
        <v>29.99</v>
      </c>
      <c r="O299" s="44" t="n">
        <v>0.62</v>
      </c>
      <c r="P299" s="43" t="n">
        <f aca="false">O299*'Price Groups'!$B$5</f>
        <v>13.95</v>
      </c>
      <c r="Q299" s="45" t="n">
        <f aca="false">IF(OR(N299="",P299=""),"",(N299-P299)/N299)</f>
        <v>0.534844948316105</v>
      </c>
      <c r="R299" s="46" t="n">
        <v>1</v>
      </c>
      <c r="S299" s="47" t="n">
        <f aca="false">IF(R299="-",0,IFERROR(VLOOKUP(R299,'Price Groups'!$A$13:$C$17,3,FALSE()),0))</f>
        <v>0.22</v>
      </c>
      <c r="T299" s="41" t="n">
        <f aca="false">IF(OR(N299="",R299="-"),"",CEILING(ROUND(N299*(1+S299),2),IF(N299*(1+S299)&lt;100,0.5,IF(N299*(1+S299)&lt;1000,1,5))))</f>
        <v>37</v>
      </c>
      <c r="U299" s="45" t="n">
        <f aca="false">IF(OR(T299="",P299=""),"",(T299-P299)/T299)</f>
        <v>0.622972972972973</v>
      </c>
      <c r="V299" s="45" t="n">
        <f aca="false">IF(T299="",0,T299/N299-1)</f>
        <v>0.233744581527176</v>
      </c>
      <c r="W299" s="38" t="s">
        <v>94</v>
      </c>
    </row>
    <row r="300" customFormat="false" ht="15" hidden="false" customHeight="false" outlineLevel="0" collapsed="false">
      <c r="A300" s="19" t="n">
        <v>249</v>
      </c>
      <c r="B300" s="19" t="s">
        <v>435</v>
      </c>
      <c r="C300" s="19" t="s">
        <v>57</v>
      </c>
      <c r="D300" s="19"/>
      <c r="E300" s="19" t="s">
        <v>58</v>
      </c>
      <c r="F300" s="20" t="n">
        <v>83</v>
      </c>
      <c r="G300" s="20" t="n">
        <v>65</v>
      </c>
      <c r="H300" s="21" t="n">
        <v>11120.37</v>
      </c>
      <c r="I300" s="21" t="n">
        <v>-224.42</v>
      </c>
      <c r="J300" s="21" t="n">
        <v>0</v>
      </c>
      <c r="K300" s="22" t="n">
        <f aca="false">H300+I300+J300</f>
        <v>10895.95</v>
      </c>
      <c r="L300" s="23" t="n">
        <f aca="false">IF($K$1282=0,0,K300/$K$1282)</f>
        <v>0.000902603475580097</v>
      </c>
      <c r="M300" s="24" t="n">
        <f aca="false">IF(F300&lt;=0,0,K300/F300)</f>
        <v>131.276506024096</v>
      </c>
      <c r="N300" s="21" t="n">
        <v>149.99</v>
      </c>
      <c r="O300" s="49" t="n">
        <v>1.76</v>
      </c>
      <c r="P300" s="24" t="n">
        <f aca="false">O300*'Price Groups'!$B$5</f>
        <v>39.6</v>
      </c>
      <c r="Q300" s="26" t="n">
        <f aca="false">IF(OR(N300="",P300=""),"",(N300-P300)/N300)</f>
        <v>0.735982398826588</v>
      </c>
      <c r="R300" s="27" t="n">
        <v>3</v>
      </c>
      <c r="S300" s="28" t="n">
        <f aca="false">IF(R300="-",0,IFERROR(VLOOKUP(R300,'Price Groups'!$A$13:$C$17,3,FALSE()),0))</f>
        <v>0.16</v>
      </c>
      <c r="T300" s="22" t="n">
        <f aca="false">IF(OR(N300="",R300="-"),"",CEILING(ROUND(N300*(1+S300),2),IF(N300*(1+S300)&lt;100,0.5,IF(N300*(1+S300)&lt;1000,1,5))))</f>
        <v>174</v>
      </c>
      <c r="U300" s="26" t="n">
        <f aca="false">IF(OR(T300="",P300=""),"",(T300-P300)/T300)</f>
        <v>0.772413793103448</v>
      </c>
      <c r="V300" s="26" t="n">
        <f aca="false">IF(T300="",0,T300/N300-1)</f>
        <v>0.160077338489232</v>
      </c>
      <c r="W300" s="19" t="s">
        <v>107</v>
      </c>
    </row>
    <row r="301" customFormat="false" ht="15" hidden="false" customHeight="false" outlineLevel="0" collapsed="false">
      <c r="A301" s="38" t="n">
        <v>250</v>
      </c>
      <c r="B301" s="38" t="s">
        <v>436</v>
      </c>
      <c r="C301" s="38" t="s">
        <v>57</v>
      </c>
      <c r="D301" s="38"/>
      <c r="E301" s="38" t="s">
        <v>58</v>
      </c>
      <c r="F301" s="39" t="n">
        <v>83</v>
      </c>
      <c r="G301" s="39" t="n">
        <v>52</v>
      </c>
      <c r="H301" s="40" t="n">
        <v>2130.48</v>
      </c>
      <c r="I301" s="40" t="n">
        <v>-16.43</v>
      </c>
      <c r="J301" s="40" t="n">
        <v>-228.8</v>
      </c>
      <c r="K301" s="41" t="n">
        <f aca="false">H301+I301+J301</f>
        <v>1885.25</v>
      </c>
      <c r="L301" s="42" t="n">
        <f aca="false">IF($K$1282=0,0,K301/$K$1282)</f>
        <v>0.000156171164729774</v>
      </c>
      <c r="M301" s="43" t="n">
        <f aca="false">IF(F301&lt;=0,0,K301/F301)</f>
        <v>22.7138554216868</v>
      </c>
      <c r="N301" s="40" t="n">
        <v>23.76</v>
      </c>
      <c r="O301" s="44" t="n">
        <v>0.49</v>
      </c>
      <c r="P301" s="43" t="n">
        <f aca="false">O301*'Price Groups'!$B$5</f>
        <v>11.025</v>
      </c>
      <c r="Q301" s="45" t="n">
        <f aca="false">IF(OR(N301="",P301=""),"",(N301-P301)/N301)</f>
        <v>0.535984848484849</v>
      </c>
      <c r="R301" s="46" t="n">
        <v>1</v>
      </c>
      <c r="S301" s="47" t="n">
        <f aca="false">IF(R301="-",0,IFERROR(VLOOKUP(R301,'Price Groups'!$A$13:$C$17,3,FALSE()),0))</f>
        <v>0.22</v>
      </c>
      <c r="T301" s="41" t="n">
        <f aca="false">IF(OR(N301="",R301="-"),"",CEILING(ROUND(N301*(1+S301),2),IF(N301*(1+S301)&lt;100,0.5,IF(N301*(1+S301)&lt;1000,1,5))))</f>
        <v>29</v>
      </c>
      <c r="U301" s="45" t="n">
        <f aca="false">IF(OR(T301="",P301=""),"",(T301-P301)/T301)</f>
        <v>0.619827586206897</v>
      </c>
      <c r="V301" s="45" t="n">
        <f aca="false">IF(T301="",0,T301/N301-1)</f>
        <v>0.22053872053872</v>
      </c>
      <c r="W301" s="38" t="s">
        <v>94</v>
      </c>
    </row>
    <row r="302" customFormat="false" ht="15" hidden="false" customHeight="false" outlineLevel="0" collapsed="false">
      <c r="A302" s="19" t="n">
        <v>251</v>
      </c>
      <c r="B302" s="19" t="s">
        <v>437</v>
      </c>
      <c r="C302" s="19" t="s">
        <v>57</v>
      </c>
      <c r="D302" s="19"/>
      <c r="E302" s="19" t="s">
        <v>58</v>
      </c>
      <c r="F302" s="20" t="n">
        <v>83</v>
      </c>
      <c r="G302" s="20" t="n">
        <v>53</v>
      </c>
      <c r="H302" s="21" t="n">
        <v>2630.81</v>
      </c>
      <c r="I302" s="21" t="n">
        <v>-2.71</v>
      </c>
      <c r="J302" s="21" t="n">
        <v>-280.35</v>
      </c>
      <c r="K302" s="22" t="n">
        <f aca="false">H302+I302+J302</f>
        <v>2347.75</v>
      </c>
      <c r="L302" s="23" t="n">
        <f aca="false">IF($K$1282=0,0,K302/$K$1282)</f>
        <v>0.000194483942179725</v>
      </c>
      <c r="M302" s="24" t="n">
        <f aca="false">IF(F302&lt;=0,0,K302/F302)</f>
        <v>28.2861445783133</v>
      </c>
      <c r="N302" s="21" t="n">
        <v>33</v>
      </c>
      <c r="O302" s="49" t="n">
        <v>0.77</v>
      </c>
      <c r="P302" s="24" t="n">
        <f aca="false">O302*'Price Groups'!$B$5</f>
        <v>17.325</v>
      </c>
      <c r="Q302" s="26" t="n">
        <f aca="false">IF(OR(N302="",P302=""),"",(N302-P302)/N302)</f>
        <v>0.475</v>
      </c>
      <c r="R302" s="27" t="n">
        <v>1</v>
      </c>
      <c r="S302" s="28" t="n">
        <f aca="false">IF(R302="-",0,IFERROR(VLOOKUP(R302,'Price Groups'!$A$13:$C$17,3,FALSE()),0))</f>
        <v>0.22</v>
      </c>
      <c r="T302" s="22" t="n">
        <f aca="false">IF(OR(N302="",R302="-"),"",CEILING(ROUND(N302*(1+S302),2),IF(N302*(1+S302)&lt;100,0.5,IF(N302*(1+S302)&lt;1000,1,5))))</f>
        <v>40.5</v>
      </c>
      <c r="U302" s="26" t="n">
        <f aca="false">IF(OR(T302="",P302=""),"",(T302-P302)/T302)</f>
        <v>0.572222222222222</v>
      </c>
      <c r="V302" s="26" t="n">
        <f aca="false">IF(T302="",0,T302/N302-1)</f>
        <v>0.227272727272727</v>
      </c>
      <c r="W302" s="19" t="s">
        <v>94</v>
      </c>
    </row>
    <row r="303" customFormat="false" ht="15" hidden="false" customHeight="false" outlineLevel="0" collapsed="false">
      <c r="A303" s="38" t="n">
        <v>252</v>
      </c>
      <c r="B303" s="38" t="s">
        <v>438</v>
      </c>
      <c r="C303" s="38" t="s">
        <v>57</v>
      </c>
      <c r="D303" s="38"/>
      <c r="E303" s="38" t="s">
        <v>58</v>
      </c>
      <c r="F303" s="39" t="n">
        <v>83</v>
      </c>
      <c r="G303" s="39" t="n">
        <v>50</v>
      </c>
      <c r="H303" s="40" t="n">
        <v>18634.36</v>
      </c>
      <c r="I303" s="40" t="n">
        <v>-124.16</v>
      </c>
      <c r="J303" s="40" t="n">
        <v>-1615.88</v>
      </c>
      <c r="K303" s="41" t="n">
        <f aca="false">H303+I303+J303</f>
        <v>16894.32</v>
      </c>
      <c r="L303" s="42" t="n">
        <f aca="false">IF($K$1282=0,0,K303/$K$1282)</f>
        <v>0.00139949907530434</v>
      </c>
      <c r="M303" s="43" t="n">
        <f aca="false">IF(F303&lt;=0,0,K303/F303)</f>
        <v>203.546024096386</v>
      </c>
      <c r="N303" s="40" t="n">
        <v>210.94</v>
      </c>
      <c r="O303" s="44" t="n">
        <v>4.5</v>
      </c>
      <c r="P303" s="43" t="n">
        <f aca="false">O303*'Price Groups'!$B$5</f>
        <v>101.25</v>
      </c>
      <c r="Q303" s="45" t="n">
        <f aca="false">IF(OR(N303="",P303=""),"",(N303-P303)/N303)</f>
        <v>0.520005688821466</v>
      </c>
      <c r="R303" s="46" t="n">
        <v>3</v>
      </c>
      <c r="S303" s="47" t="n">
        <f aca="false">IF(R303="-",0,IFERROR(VLOOKUP(R303,'Price Groups'!$A$13:$C$17,3,FALSE()),0))</f>
        <v>0.16</v>
      </c>
      <c r="T303" s="41" t="n">
        <f aca="false">IF(OR(N303="",R303="-"),"",CEILING(ROUND(N303*(1+S303),2),IF(N303*(1+S303)&lt;100,0.5,IF(N303*(1+S303)&lt;1000,1,5))))</f>
        <v>245</v>
      </c>
      <c r="U303" s="45" t="n">
        <f aca="false">IF(OR(T303="",P303=""),"",(T303-P303)/T303)</f>
        <v>0.586734693877551</v>
      </c>
      <c r="V303" s="45" t="n">
        <f aca="false">IF(T303="",0,T303/N303-1)</f>
        <v>0.161467715938181</v>
      </c>
      <c r="W303" s="38" t="s">
        <v>107</v>
      </c>
    </row>
    <row r="304" customFormat="false" ht="15" hidden="false" customHeight="false" outlineLevel="0" collapsed="false">
      <c r="A304" s="19" t="n">
        <v>253</v>
      </c>
      <c r="B304" s="19" t="s">
        <v>439</v>
      </c>
      <c r="C304" s="19" t="s">
        <v>57</v>
      </c>
      <c r="D304" s="19"/>
      <c r="E304" s="19" t="s">
        <v>58</v>
      </c>
      <c r="F304" s="20" t="n">
        <v>82</v>
      </c>
      <c r="G304" s="20" t="n">
        <v>74</v>
      </c>
      <c r="H304" s="21" t="n">
        <v>17293.23</v>
      </c>
      <c r="I304" s="21" t="n">
        <v>-225.55</v>
      </c>
      <c r="J304" s="21" t="n">
        <v>-3107.64</v>
      </c>
      <c r="K304" s="22" t="n">
        <f aca="false">H304+I304+J304</f>
        <v>13960.04</v>
      </c>
      <c r="L304" s="23" t="n">
        <f aca="false">IF($K$1282=0,0,K304/$K$1282)</f>
        <v>0.00115642790424306</v>
      </c>
      <c r="M304" s="24" t="n">
        <f aca="false">IF(F304&lt;=0,0,K304/F304)</f>
        <v>170.244390243902</v>
      </c>
      <c r="N304" s="21" t="n">
        <v>174.99</v>
      </c>
      <c r="O304" s="49" t="n">
        <v>3.09</v>
      </c>
      <c r="P304" s="24" t="n">
        <f aca="false">O304*'Price Groups'!$B$5</f>
        <v>69.525</v>
      </c>
      <c r="Q304" s="26" t="n">
        <f aca="false">IF(OR(N304="",P304=""),"",(N304-P304)/N304)</f>
        <v>0.602691582376136</v>
      </c>
      <c r="R304" s="27" t="n">
        <v>3</v>
      </c>
      <c r="S304" s="28" t="n">
        <f aca="false">IF(R304="-",0,IFERROR(VLOOKUP(R304,'Price Groups'!$A$13:$C$17,3,FALSE()),0))</f>
        <v>0.16</v>
      </c>
      <c r="T304" s="22" t="n">
        <f aca="false">IF(OR(N304="",R304="-"),"",CEILING(ROUND(N304*(1+S304),2),IF(N304*(1+S304)&lt;100,0.5,IF(N304*(1+S304)&lt;1000,1,5))))</f>
        <v>203</v>
      </c>
      <c r="U304" s="26" t="n">
        <f aca="false">IF(OR(T304="",P304=""),"",(T304-P304)/T304)</f>
        <v>0.657512315270936</v>
      </c>
      <c r="V304" s="26" t="n">
        <f aca="false">IF(T304="",0,T304/N304-1)</f>
        <v>0.160066289502257</v>
      </c>
      <c r="W304" s="19" t="s">
        <v>107</v>
      </c>
    </row>
    <row r="305" customFormat="false" ht="15" hidden="false" customHeight="false" outlineLevel="0" collapsed="false">
      <c r="A305" s="38" t="n">
        <v>254</v>
      </c>
      <c r="B305" s="38" t="s">
        <v>440</v>
      </c>
      <c r="C305" s="38" t="s">
        <v>57</v>
      </c>
      <c r="D305" s="38"/>
      <c r="E305" s="38" t="s">
        <v>58</v>
      </c>
      <c r="F305" s="39" t="n">
        <v>82</v>
      </c>
      <c r="G305" s="39" t="n">
        <v>62</v>
      </c>
      <c r="H305" s="40" t="n">
        <v>2687.51</v>
      </c>
      <c r="I305" s="40" t="n">
        <v>-15.72</v>
      </c>
      <c r="J305" s="40" t="n">
        <v>-169.38</v>
      </c>
      <c r="K305" s="41" t="n">
        <f aca="false">H305+I305+J305</f>
        <v>2502.41</v>
      </c>
      <c r="L305" s="42" t="n">
        <f aca="false">IF($K$1282=0,0,K305/$K$1282)</f>
        <v>0.000207295734958988</v>
      </c>
      <c r="M305" s="43" t="n">
        <f aca="false">IF(F305&lt;=0,0,K305/F305)</f>
        <v>30.5171951219512</v>
      </c>
      <c r="N305" s="40" t="n">
        <v>44.99</v>
      </c>
      <c r="O305" s="44" t="n">
        <v>0.74</v>
      </c>
      <c r="P305" s="43" t="n">
        <f aca="false">O305*'Price Groups'!$B$5</f>
        <v>16.65</v>
      </c>
      <c r="Q305" s="45" t="n">
        <f aca="false">IF(OR(N305="",P305=""),"",(N305-P305)/N305)</f>
        <v>0.629917759502112</v>
      </c>
      <c r="R305" s="46" t="n">
        <v>1</v>
      </c>
      <c r="S305" s="47" t="n">
        <f aca="false">IF(R305="-",0,IFERROR(VLOOKUP(R305,'Price Groups'!$A$13:$C$17,3,FALSE()),0))</f>
        <v>0.22</v>
      </c>
      <c r="T305" s="41" t="n">
        <f aca="false">IF(OR(N305="",R305="-"),"",CEILING(ROUND(N305*(1+S305),2),IF(N305*(1+S305)&lt;100,0.5,IF(N305*(1+S305)&lt;1000,1,5))))</f>
        <v>55</v>
      </c>
      <c r="U305" s="45" t="n">
        <f aca="false">IF(OR(T305="",P305=""),"",(T305-P305)/T305)</f>
        <v>0.697272727272727</v>
      </c>
      <c r="V305" s="45" t="n">
        <f aca="false">IF(T305="",0,T305/N305-1)</f>
        <v>0.222493887530562</v>
      </c>
      <c r="W305" s="38" t="s">
        <v>94</v>
      </c>
    </row>
    <row r="306" customFormat="false" ht="15" hidden="false" customHeight="false" outlineLevel="0" collapsed="false">
      <c r="A306" s="19" t="n">
        <v>255</v>
      </c>
      <c r="B306" s="19" t="s">
        <v>441</v>
      </c>
      <c r="C306" s="19" t="s">
        <v>57</v>
      </c>
      <c r="D306" s="19"/>
      <c r="E306" s="19" t="s">
        <v>58</v>
      </c>
      <c r="F306" s="20" t="n">
        <v>82</v>
      </c>
      <c r="G306" s="20" t="n">
        <v>22</v>
      </c>
      <c r="H306" s="21" t="n">
        <v>1582.4</v>
      </c>
      <c r="I306" s="21" t="n">
        <v>-11.4</v>
      </c>
      <c r="J306" s="21" t="n">
        <v>-218.5</v>
      </c>
      <c r="K306" s="22" t="n">
        <f aca="false">H306+I306+J306</f>
        <v>1352.5</v>
      </c>
      <c r="L306" s="23" t="n">
        <f aca="false">IF($K$1282=0,0,K306/$K$1282)</f>
        <v>0.000112038987029316</v>
      </c>
      <c r="M306" s="24" t="n">
        <f aca="false">IF(F306&lt;=0,0,K306/F306)</f>
        <v>16.4939024390244</v>
      </c>
      <c r="N306" s="21" t="n">
        <v>24.99</v>
      </c>
      <c r="O306" s="49" t="n">
        <v>0.47</v>
      </c>
      <c r="P306" s="24" t="n">
        <f aca="false">O306*'Price Groups'!$B$5</f>
        <v>10.575</v>
      </c>
      <c r="Q306" s="26" t="n">
        <f aca="false">IF(OR(N306="",P306=""),"",(N306-P306)/N306)</f>
        <v>0.576830732292917</v>
      </c>
      <c r="R306" s="27" t="n">
        <v>1</v>
      </c>
      <c r="S306" s="28" t="n">
        <f aca="false">IF(R306="-",0,IFERROR(VLOOKUP(R306,'Price Groups'!$A$13:$C$17,3,FALSE()),0))</f>
        <v>0.22</v>
      </c>
      <c r="T306" s="22" t="n">
        <f aca="false">IF(OR(N306="",R306="-"),"",CEILING(ROUND(N306*(1+S306),2),IF(N306*(1+S306)&lt;100,0.5,IF(N306*(1+S306)&lt;1000,1,5))))</f>
        <v>30.5</v>
      </c>
      <c r="U306" s="26" t="n">
        <f aca="false">IF(OR(T306="",P306=""),"",(T306-P306)/T306)</f>
        <v>0.65327868852459</v>
      </c>
      <c r="V306" s="26" t="n">
        <f aca="false">IF(T306="",0,T306/N306-1)</f>
        <v>0.220488195278111</v>
      </c>
      <c r="W306" s="19" t="s">
        <v>94</v>
      </c>
    </row>
    <row r="307" customFormat="false" ht="15" hidden="false" customHeight="false" outlineLevel="0" collapsed="false">
      <c r="A307" s="38" t="n">
        <v>256</v>
      </c>
      <c r="B307" s="38" t="s">
        <v>442</v>
      </c>
      <c r="C307" s="38" t="s">
        <v>57</v>
      </c>
      <c r="D307" s="38"/>
      <c r="E307" s="38" t="s">
        <v>58</v>
      </c>
      <c r="F307" s="39" t="n">
        <v>82</v>
      </c>
      <c r="G307" s="39" t="n">
        <v>5</v>
      </c>
      <c r="H307" s="40" t="n">
        <v>820</v>
      </c>
      <c r="I307" s="40" t="n">
        <v>0</v>
      </c>
      <c r="J307" s="40" t="n">
        <v>0</v>
      </c>
      <c r="K307" s="41" t="n">
        <f aca="false">H307+I307+J307</f>
        <v>820</v>
      </c>
      <c r="L307" s="42" t="n">
        <f aca="false">IF($K$1282=0,0,K307/$K$1282)</f>
        <v>6.79275189382917E-005</v>
      </c>
      <c r="M307" s="43" t="n">
        <f aca="false">IF(F307&lt;=0,0,K307/F307)</f>
        <v>10</v>
      </c>
      <c r="N307" s="40" t="n">
        <v>10</v>
      </c>
      <c r="O307" s="50"/>
      <c r="P307" s="43"/>
      <c r="Q307" s="45" t="str">
        <f aca="false">IF(OR(N307="",P307=""),"",(N307-P307)/N307)</f>
        <v/>
      </c>
      <c r="R307" s="46" t="n">
        <v>2</v>
      </c>
      <c r="S307" s="47" t="n">
        <f aca="false">IF(R307="-",0,IFERROR(VLOOKUP(R307,'Price Groups'!$A$13:$C$17,3,FALSE()),0))</f>
        <v>0.18</v>
      </c>
      <c r="T307" s="41" t="n">
        <f aca="false">IF(OR(N307="",R307="-"),"",CEILING(ROUND(N307*(1+S307),2),IF(N307*(1+S307)&lt;100,0.5,IF(N307*(1+S307)&lt;1000,1,5))))</f>
        <v>12</v>
      </c>
      <c r="U307" s="45" t="str">
        <f aca="false">IF(OR(T307="",P307=""),"",(T307-P307)/T307)</f>
        <v/>
      </c>
      <c r="V307" s="45" t="n">
        <f aca="false">IF(T307="",0,T307/N307-1)</f>
        <v>0.2</v>
      </c>
      <c r="W307" s="38" t="s">
        <v>129</v>
      </c>
    </row>
    <row r="308" customFormat="false" ht="15" hidden="false" customHeight="false" outlineLevel="0" collapsed="false">
      <c r="A308" s="19" t="n">
        <v>257</v>
      </c>
      <c r="B308" s="19" t="s">
        <v>443</v>
      </c>
      <c r="C308" s="19" t="s">
        <v>57</v>
      </c>
      <c r="D308" s="19"/>
      <c r="E308" s="19" t="s">
        <v>58</v>
      </c>
      <c r="F308" s="20" t="n">
        <v>81</v>
      </c>
      <c r="G308" s="20" t="n">
        <v>47</v>
      </c>
      <c r="H308" s="21" t="n">
        <v>2334.33</v>
      </c>
      <c r="I308" s="21" t="n">
        <v>-14.7</v>
      </c>
      <c r="J308" s="21" t="n">
        <v>-324.86</v>
      </c>
      <c r="K308" s="22" t="n">
        <f aca="false">H308+I308+J308</f>
        <v>1994.77</v>
      </c>
      <c r="L308" s="23" t="n">
        <f aca="false">IF($K$1282=0,0,K308/$K$1282)</f>
        <v>0.000165243630429922</v>
      </c>
      <c r="M308" s="24" t="n">
        <f aca="false">IF(F308&lt;=0,0,K308/F308)</f>
        <v>24.6267901234568</v>
      </c>
      <c r="N308" s="21" t="n">
        <v>18</v>
      </c>
      <c r="O308" s="49" t="n">
        <v>0.54</v>
      </c>
      <c r="P308" s="24" t="n">
        <f aca="false">O308*'Price Groups'!$B$5</f>
        <v>12.15</v>
      </c>
      <c r="Q308" s="26" t="n">
        <f aca="false">IF(OR(N308="",P308=""),"",(N308-P308)/N308)</f>
        <v>0.325</v>
      </c>
      <c r="R308" s="27" t="n">
        <v>1</v>
      </c>
      <c r="S308" s="28" t="n">
        <f aca="false">IF(R308="-",0,IFERROR(VLOOKUP(R308,'Price Groups'!$A$13:$C$17,3,FALSE()),0))</f>
        <v>0.22</v>
      </c>
      <c r="T308" s="22" t="n">
        <f aca="false">IF(OR(N308="",R308="-"),"",CEILING(ROUND(N308*(1+S308),2),IF(N308*(1+S308)&lt;100,0.5,IF(N308*(1+S308)&lt;1000,1,5))))</f>
        <v>22</v>
      </c>
      <c r="U308" s="26" t="n">
        <f aca="false">IF(OR(T308="",P308=""),"",(T308-P308)/T308)</f>
        <v>0.447727272727273</v>
      </c>
      <c r="V308" s="26" t="n">
        <f aca="false">IF(T308="",0,T308/N308-1)</f>
        <v>0.222222222222222</v>
      </c>
      <c r="W308" s="19" t="s">
        <v>94</v>
      </c>
    </row>
    <row r="309" customFormat="false" ht="15" hidden="false" customHeight="false" outlineLevel="0" collapsed="false">
      <c r="A309" s="38" t="n">
        <v>258</v>
      </c>
      <c r="B309" s="38" t="s">
        <v>444</v>
      </c>
      <c r="C309" s="38" t="s">
        <v>57</v>
      </c>
      <c r="D309" s="38"/>
      <c r="E309" s="38" t="s">
        <v>58</v>
      </c>
      <c r="F309" s="39" t="n">
        <v>81</v>
      </c>
      <c r="G309" s="39" t="n">
        <v>56</v>
      </c>
      <c r="H309" s="40" t="n">
        <v>21108.91</v>
      </c>
      <c r="I309" s="40" t="n">
        <v>-179</v>
      </c>
      <c r="J309" s="40" t="n">
        <v>-1020.53</v>
      </c>
      <c r="K309" s="41" t="n">
        <f aca="false">H309+I309+J309</f>
        <v>19909.38</v>
      </c>
      <c r="L309" s="42" t="n">
        <f aca="false">IF($K$1282=0,0,K309/$K$1282)</f>
        <v>0.00164926193536542</v>
      </c>
      <c r="M309" s="43" t="n">
        <f aca="false">IF(F309&lt;=0,0,K309/F309)</f>
        <v>245.794814814815</v>
      </c>
      <c r="N309" s="40" t="n">
        <v>260.51</v>
      </c>
      <c r="O309" s="44" t="n">
        <v>4.5</v>
      </c>
      <c r="P309" s="43" t="n">
        <f aca="false">O309*'Price Groups'!$B$5</f>
        <v>101.25</v>
      </c>
      <c r="Q309" s="45" t="n">
        <f aca="false">IF(OR(N309="",P309=""),"",(N309-P309)/N309)</f>
        <v>0.611339295996315</v>
      </c>
      <c r="R309" s="46" t="n">
        <v>3</v>
      </c>
      <c r="S309" s="47" t="n">
        <f aca="false">IF(R309="-",0,IFERROR(VLOOKUP(R309,'Price Groups'!$A$13:$C$17,3,FALSE()),0))</f>
        <v>0.16</v>
      </c>
      <c r="T309" s="41" t="n">
        <f aca="false">IF(OR(N309="",R309="-"),"",CEILING(ROUND(N309*(1+S309),2),IF(N309*(1+S309)&lt;100,0.5,IF(N309*(1+S309)&lt;1000,1,5))))</f>
        <v>303</v>
      </c>
      <c r="U309" s="45" t="n">
        <f aca="false">IF(OR(T309="",P309=""),"",(T309-P309)/T309)</f>
        <v>0.665841584158416</v>
      </c>
      <c r="V309" s="45" t="n">
        <f aca="false">IF(T309="",0,T309/N309-1)</f>
        <v>0.16310314383325</v>
      </c>
      <c r="W309" s="38" t="s">
        <v>107</v>
      </c>
    </row>
    <row r="310" customFormat="false" ht="15" hidden="false" customHeight="false" outlineLevel="0" collapsed="false">
      <c r="A310" s="19" t="n">
        <v>259</v>
      </c>
      <c r="B310" s="19" t="s">
        <v>445</v>
      </c>
      <c r="C310" s="19" t="s">
        <v>57</v>
      </c>
      <c r="D310" s="19"/>
      <c r="E310" s="19" t="s">
        <v>58</v>
      </c>
      <c r="F310" s="20" t="n">
        <v>80</v>
      </c>
      <c r="G310" s="20" t="n">
        <v>60</v>
      </c>
      <c r="H310" s="21" t="n">
        <v>31656.75</v>
      </c>
      <c r="I310" s="21" t="n">
        <v>-422.39</v>
      </c>
      <c r="J310" s="21" t="n">
        <v>0</v>
      </c>
      <c r="K310" s="22" t="n">
        <f aca="false">H310+I310+J310</f>
        <v>31234.36</v>
      </c>
      <c r="L310" s="23" t="n">
        <f aca="false">IF($K$1282=0,0,K310/$K$1282)</f>
        <v>0.00258740558588466</v>
      </c>
      <c r="M310" s="24" t="n">
        <f aca="false">IF(F310&lt;=0,0,K310/F310)</f>
        <v>390.4295</v>
      </c>
      <c r="N310" s="21" t="n">
        <v>410</v>
      </c>
      <c r="O310" s="49" t="n">
        <v>18.38</v>
      </c>
      <c r="P310" s="24" t="n">
        <f aca="false">O310*'Price Groups'!$B$5</f>
        <v>413.55</v>
      </c>
      <c r="Q310" s="26" t="n">
        <f aca="false">IF(OR(N310="",P310=""),"",(N310-P310)/N310)</f>
        <v>-0.00865853658536574</v>
      </c>
      <c r="R310" s="27" t="n">
        <v>1</v>
      </c>
      <c r="S310" s="28" t="n">
        <f aca="false">IF(R310="-",0,IFERROR(VLOOKUP(R310,'Price Groups'!$A$13:$C$17,3,FALSE()),0))</f>
        <v>0.22</v>
      </c>
      <c r="T310" s="22" t="n">
        <f aca="false">IF(OR(N310="",R310="-"),"",CEILING(ROUND(N310*(1+S310),2),IF(N310*(1+S310)&lt;100,0.5,IF(N310*(1+S310)&lt;1000,1,5))))</f>
        <v>501</v>
      </c>
      <c r="U310" s="26" t="n">
        <f aca="false">IF(OR(T310="",P310=""),"",(T310-P310)/T310)</f>
        <v>0.174550898203593</v>
      </c>
      <c r="V310" s="26" t="n">
        <f aca="false">IF(T310="",0,T310/N310-1)</f>
        <v>0.221951219512195</v>
      </c>
      <c r="W310" s="19" t="s">
        <v>365</v>
      </c>
    </row>
    <row r="311" customFormat="false" ht="15" hidden="false" customHeight="false" outlineLevel="0" collapsed="false">
      <c r="A311" s="38" t="n">
        <v>260</v>
      </c>
      <c r="B311" s="38" t="s">
        <v>446</v>
      </c>
      <c r="C311" s="38" t="s">
        <v>57</v>
      </c>
      <c r="D311" s="38"/>
      <c r="E311" s="38" t="s">
        <v>58</v>
      </c>
      <c r="F311" s="39" t="n">
        <v>80</v>
      </c>
      <c r="G311" s="39" t="n">
        <v>1</v>
      </c>
      <c r="H311" s="40" t="n">
        <v>1920</v>
      </c>
      <c r="I311" s="40" t="n">
        <v>0</v>
      </c>
      <c r="J311" s="40" t="n">
        <v>0</v>
      </c>
      <c r="K311" s="41" t="n">
        <f aca="false">H311+I311+J311</f>
        <v>1920</v>
      </c>
      <c r="L311" s="42" t="n">
        <f aca="false">IF($K$1282=0,0,K311/$K$1282)</f>
        <v>0.000159049800440878</v>
      </c>
      <c r="M311" s="43" t="n">
        <f aca="false">IF(F311&lt;=0,0,K311/F311)</f>
        <v>24</v>
      </c>
      <c r="N311" s="40" t="n">
        <v>12.72</v>
      </c>
      <c r="O311" s="44" t="n">
        <v>0.43</v>
      </c>
      <c r="P311" s="43" t="n">
        <f aca="false">O311*'Price Groups'!$B$5</f>
        <v>9.675</v>
      </c>
      <c r="Q311" s="45" t="n">
        <f aca="false">IF(OR(N311="",P311=""),"",(N311-P311)/N311)</f>
        <v>0.23938679245283</v>
      </c>
      <c r="R311" s="46" t="n">
        <v>1</v>
      </c>
      <c r="S311" s="47" t="n">
        <f aca="false">IF(R311="-",0,IFERROR(VLOOKUP(R311,'Price Groups'!$A$13:$C$17,3,FALSE()),0))</f>
        <v>0.22</v>
      </c>
      <c r="T311" s="41" t="n">
        <f aca="false">IF(OR(N311="",R311="-"),"",CEILING(ROUND(N311*(1+S311),2),IF(N311*(1+S311)&lt;100,0.5,IF(N311*(1+S311)&lt;1000,1,5))))</f>
        <v>16</v>
      </c>
      <c r="U311" s="45" t="n">
        <f aca="false">IF(OR(T311="",P311=""),"",(T311-P311)/T311)</f>
        <v>0.3953125</v>
      </c>
      <c r="V311" s="45" t="n">
        <f aca="false">IF(T311="",0,T311/N311-1)</f>
        <v>0.257861635220126</v>
      </c>
      <c r="W311" s="38" t="s">
        <v>244</v>
      </c>
    </row>
    <row r="312" customFormat="false" ht="15" hidden="false" customHeight="false" outlineLevel="0" collapsed="false">
      <c r="A312" s="19" t="n">
        <v>261</v>
      </c>
      <c r="B312" s="19" t="s">
        <v>447</v>
      </c>
      <c r="C312" s="19" t="s">
        <v>57</v>
      </c>
      <c r="D312" s="19"/>
      <c r="E312" s="19" t="s">
        <v>58</v>
      </c>
      <c r="F312" s="20" t="n">
        <v>80</v>
      </c>
      <c r="G312" s="20" t="n">
        <v>48</v>
      </c>
      <c r="H312" s="21" t="n">
        <v>9575.82</v>
      </c>
      <c r="I312" s="21" t="n">
        <v>-39.74</v>
      </c>
      <c r="J312" s="21" t="n">
        <v>-678.72</v>
      </c>
      <c r="K312" s="22" t="n">
        <f aca="false">H312+I312+J312</f>
        <v>8857.36</v>
      </c>
      <c r="L312" s="23" t="n">
        <f aca="false">IF($K$1282=0,0,K312/$K$1282)</f>
        <v>0.000733729864808863</v>
      </c>
      <c r="M312" s="24" t="n">
        <f aca="false">IF(F312&lt;=0,0,K312/F312)</f>
        <v>110.717</v>
      </c>
      <c r="N312" s="21" t="n">
        <v>114.99</v>
      </c>
      <c r="O312" s="49" t="n">
        <v>2.02</v>
      </c>
      <c r="P312" s="24" t="n">
        <f aca="false">O312*'Price Groups'!$B$5</f>
        <v>45.45</v>
      </c>
      <c r="Q312" s="26" t="n">
        <f aca="false">IF(OR(N312="",P312=""),"",(N312-P312)/N312)</f>
        <v>0.604748238977302</v>
      </c>
      <c r="R312" s="27" t="n">
        <v>1</v>
      </c>
      <c r="S312" s="28" t="n">
        <f aca="false">IF(R312="-",0,IFERROR(VLOOKUP(R312,'Price Groups'!$A$13:$C$17,3,FALSE()),0))</f>
        <v>0.22</v>
      </c>
      <c r="T312" s="22" t="n">
        <f aca="false">IF(OR(N312="",R312="-"),"",CEILING(ROUND(N312*(1+S312),2),IF(N312*(1+S312)&lt;100,0.5,IF(N312*(1+S312)&lt;1000,1,5))))</f>
        <v>141</v>
      </c>
      <c r="U312" s="26" t="n">
        <f aca="false">IF(OR(T312="",P312=""),"",(T312-P312)/T312)</f>
        <v>0.677659574468085</v>
      </c>
      <c r="V312" s="26" t="n">
        <f aca="false">IF(T312="",0,T312/N312-1)</f>
        <v>0.226193582050613</v>
      </c>
      <c r="W312" s="19" t="s">
        <v>94</v>
      </c>
    </row>
    <row r="313" customFormat="false" ht="15" hidden="false" customHeight="false" outlineLevel="0" collapsed="false">
      <c r="A313" s="38" t="n">
        <v>262</v>
      </c>
      <c r="B313" s="38" t="s">
        <v>448</v>
      </c>
      <c r="C313" s="38" t="s">
        <v>57</v>
      </c>
      <c r="D313" s="38"/>
      <c r="E313" s="38" t="s">
        <v>58</v>
      </c>
      <c r="F313" s="39" t="n">
        <v>79</v>
      </c>
      <c r="G313" s="39" t="n">
        <v>64</v>
      </c>
      <c r="H313" s="40" t="n">
        <v>43067.4</v>
      </c>
      <c r="I313" s="40" t="n">
        <v>-96.97</v>
      </c>
      <c r="J313" s="40" t="n">
        <v>-4104</v>
      </c>
      <c r="K313" s="41" t="n">
        <f aca="false">H313+I313+J313</f>
        <v>38866.43</v>
      </c>
      <c r="L313" s="42" t="n">
        <f aca="false">IF($K$1282=0,0,K313/$K$1282)</f>
        <v>0.00321963434132779</v>
      </c>
      <c r="M313" s="43" t="n">
        <f aca="false">IF(F313&lt;=0,0,K313/F313)</f>
        <v>491.980126582279</v>
      </c>
      <c r="N313" s="40" t="n">
        <v>513</v>
      </c>
      <c r="O313" s="44" t="n">
        <v>6.25</v>
      </c>
      <c r="P313" s="43" t="n">
        <f aca="false">O313*'Price Groups'!$B$5</f>
        <v>140.625</v>
      </c>
      <c r="Q313" s="45" t="n">
        <f aca="false">IF(OR(N313="",P313=""),"",(N313-P313)/N313)</f>
        <v>0.725877192982456</v>
      </c>
      <c r="R313" s="46" t="n">
        <v>3</v>
      </c>
      <c r="S313" s="47" t="n">
        <f aca="false">IF(R313="-",0,IFERROR(VLOOKUP(R313,'Price Groups'!$A$13:$C$17,3,FALSE()),0))</f>
        <v>0.16</v>
      </c>
      <c r="T313" s="41" t="n">
        <f aca="false">IF(OR(N313="",R313="-"),"",CEILING(ROUND(N313*(1+S313),2),IF(N313*(1+S313)&lt;100,0.5,IF(N313*(1+S313)&lt;1000,1,5))))</f>
        <v>596</v>
      </c>
      <c r="U313" s="45" t="n">
        <f aca="false">IF(OR(T313="",P313=""),"",(T313-P313)/T313)</f>
        <v>0.764052013422819</v>
      </c>
      <c r="V313" s="45" t="n">
        <f aca="false">IF(T313="",0,T313/N313-1)</f>
        <v>0.161793372319688</v>
      </c>
      <c r="W313" s="38" t="s">
        <v>107</v>
      </c>
    </row>
    <row r="314" customFormat="false" ht="15" hidden="false" customHeight="false" outlineLevel="0" collapsed="false">
      <c r="A314" s="19" t="n">
        <v>263</v>
      </c>
      <c r="B314" s="19" t="s">
        <v>449</v>
      </c>
      <c r="C314" s="19" t="s">
        <v>57</v>
      </c>
      <c r="D314" s="19"/>
      <c r="E314" s="19" t="s">
        <v>58</v>
      </c>
      <c r="F314" s="20" t="n">
        <v>79</v>
      </c>
      <c r="G314" s="20" t="n">
        <v>58</v>
      </c>
      <c r="H314" s="21" t="n">
        <v>33389.64</v>
      </c>
      <c r="I314" s="21" t="n">
        <v>-159.09</v>
      </c>
      <c r="J314" s="21" t="n">
        <v>-3341.58</v>
      </c>
      <c r="K314" s="22" t="n">
        <f aca="false">H314+I314+J314</f>
        <v>29888.97</v>
      </c>
      <c r="L314" s="23" t="n">
        <f aca="false">IF($K$1282=0,0,K314/$K$1282)</f>
        <v>0.0024759555801476</v>
      </c>
      <c r="M314" s="24" t="n">
        <f aca="false">IF(F314&lt;=0,0,K314/F314)</f>
        <v>378.341392405063</v>
      </c>
      <c r="N314" s="21" t="n">
        <v>399.99</v>
      </c>
      <c r="O314" s="49" t="n">
        <v>6.3</v>
      </c>
      <c r="P314" s="24" t="n">
        <f aca="false">O314*'Price Groups'!$B$5</f>
        <v>141.75</v>
      </c>
      <c r="Q314" s="26" t="n">
        <f aca="false">IF(OR(N314="",P314=""),"",(N314-P314)/N314)</f>
        <v>0.64561614040351</v>
      </c>
      <c r="R314" s="27" t="n">
        <v>3</v>
      </c>
      <c r="S314" s="28" t="n">
        <f aca="false">IF(R314="-",0,IFERROR(VLOOKUP(R314,'Price Groups'!$A$13:$C$17,3,FALSE()),0))</f>
        <v>0.16</v>
      </c>
      <c r="T314" s="22" t="n">
        <f aca="false">IF(OR(N314="",R314="-"),"",CEILING(ROUND(N314*(1+S314),2),IF(N314*(1+S314)&lt;100,0.5,IF(N314*(1+S314)&lt;1000,1,5))))</f>
        <v>464</v>
      </c>
      <c r="U314" s="26" t="n">
        <f aca="false">IF(OR(T314="",P314=""),"",(T314-P314)/T314)</f>
        <v>0.694504310344828</v>
      </c>
      <c r="V314" s="26" t="n">
        <f aca="false">IF(T314="",0,T314/N314-1)</f>
        <v>0.160029000725018</v>
      </c>
      <c r="W314" s="19" t="s">
        <v>107</v>
      </c>
    </row>
    <row r="315" customFormat="false" ht="15" hidden="false" customHeight="false" outlineLevel="0" collapsed="false">
      <c r="A315" s="38" t="n">
        <v>264</v>
      </c>
      <c r="B315" s="38" t="s">
        <v>450</v>
      </c>
      <c r="C315" s="38" t="s">
        <v>57</v>
      </c>
      <c r="D315" s="38"/>
      <c r="E315" s="38" t="s">
        <v>58</v>
      </c>
      <c r="F315" s="39" t="n">
        <v>79</v>
      </c>
      <c r="G315" s="39" t="n">
        <v>49</v>
      </c>
      <c r="H315" s="40" t="n">
        <v>3203.83</v>
      </c>
      <c r="I315" s="40" t="n">
        <v>-12.76</v>
      </c>
      <c r="J315" s="40" t="n">
        <v>-254.99</v>
      </c>
      <c r="K315" s="41" t="n">
        <f aca="false">H315+I315+J315</f>
        <v>2936.08</v>
      </c>
      <c r="L315" s="42" t="n">
        <f aca="false">IF($K$1282=0,0,K315/$K$1282)</f>
        <v>0.000243220280249194</v>
      </c>
      <c r="M315" s="43" t="n">
        <f aca="false">IF(F315&lt;=0,0,K315/F315)</f>
        <v>37.1655696202532</v>
      </c>
      <c r="N315" s="40" t="n">
        <v>44.99</v>
      </c>
      <c r="O315" s="44" t="n">
        <v>1.17</v>
      </c>
      <c r="P315" s="43" t="n">
        <f aca="false">O315*'Price Groups'!$B$5</f>
        <v>26.325</v>
      </c>
      <c r="Q315" s="45" t="n">
        <f aca="false">IF(OR(N315="",P315=""),"",(N315-P315)/N315)</f>
        <v>0.41486997110469</v>
      </c>
      <c r="R315" s="46" t="n">
        <v>1</v>
      </c>
      <c r="S315" s="47" t="n">
        <f aca="false">IF(R315="-",0,IFERROR(VLOOKUP(R315,'Price Groups'!$A$13:$C$17,3,FALSE()),0))</f>
        <v>0.22</v>
      </c>
      <c r="T315" s="41" t="n">
        <f aca="false">IF(OR(N315="",R315="-"),"",CEILING(ROUND(N315*(1+S315),2),IF(N315*(1+S315)&lt;100,0.5,IF(N315*(1+S315)&lt;1000,1,5))))</f>
        <v>55</v>
      </c>
      <c r="U315" s="45" t="n">
        <f aca="false">IF(OR(T315="",P315=""),"",(T315-P315)/T315)</f>
        <v>0.521363636363636</v>
      </c>
      <c r="V315" s="45" t="n">
        <f aca="false">IF(T315="",0,T315/N315-1)</f>
        <v>0.222493887530562</v>
      </c>
      <c r="W315" s="38" t="s">
        <v>94</v>
      </c>
    </row>
    <row r="316" customFormat="false" ht="15" hidden="false" customHeight="false" outlineLevel="0" collapsed="false">
      <c r="A316" s="19" t="n">
        <v>265</v>
      </c>
      <c r="B316" s="19" t="s">
        <v>125</v>
      </c>
      <c r="C316" s="19" t="s">
        <v>307</v>
      </c>
      <c r="D316" s="19" t="s">
        <v>124</v>
      </c>
      <c r="E316" s="19" t="s">
        <v>58</v>
      </c>
      <c r="F316" s="20" t="n">
        <v>78</v>
      </c>
      <c r="G316" s="20" t="n">
        <v>65</v>
      </c>
      <c r="H316" s="21" t="n">
        <v>126274</v>
      </c>
      <c r="I316" s="21" t="n">
        <v>-527.55</v>
      </c>
      <c r="J316" s="21" t="n">
        <v>-16645</v>
      </c>
      <c r="K316" s="22" t="n">
        <f aca="false">H316+I316+J316</f>
        <v>109101.45</v>
      </c>
      <c r="L316" s="23" t="n">
        <f aca="false">IF($K$1282=0,0,K316/$K$1282)</f>
        <v>0.00903779367203669</v>
      </c>
      <c r="M316" s="24" t="n">
        <f aca="false">IF(F316&lt;=0,0,K316/F316)</f>
        <v>1398.73653846154</v>
      </c>
      <c r="N316" s="21" t="n">
        <v>1199</v>
      </c>
      <c r="O316" s="49" t="n">
        <v>32</v>
      </c>
      <c r="P316" s="24" t="n">
        <f aca="false">O316*'Price Groups'!$B$5</f>
        <v>720</v>
      </c>
      <c r="Q316" s="26" t="n">
        <f aca="false">IF(OR(N316="",P316=""),"",(N316-P316)/N316)</f>
        <v>0.399499582985822</v>
      </c>
      <c r="R316" s="27" t="n">
        <v>2</v>
      </c>
      <c r="S316" s="28" t="n">
        <f aca="false">IF(R316="-",0,IFERROR(VLOOKUP(R316,'Price Groups'!$A$13:$C$17,3,FALSE()),0))</f>
        <v>0.18</v>
      </c>
      <c r="T316" s="22" t="n">
        <f aca="false">IF(OR(N316="",R316="-"),"",CEILING(ROUND(N316*(1+S316),2),IF(N316*(1+S316)&lt;100,0.5,IF(N316*(1+S316)&lt;1000,1,5))))</f>
        <v>1415</v>
      </c>
      <c r="U316" s="26" t="n">
        <f aca="false">IF(OR(T316="",P316=""),"",(T316-P316)/T316)</f>
        <v>0.491166077738516</v>
      </c>
      <c r="V316" s="26" t="n">
        <f aca="false">IF(T316="",0,T316/N316-1)</f>
        <v>0.180150125104254</v>
      </c>
      <c r="W316" s="19" t="s">
        <v>451</v>
      </c>
    </row>
    <row r="317" customFormat="false" ht="15" hidden="false" customHeight="false" outlineLevel="0" collapsed="false">
      <c r="A317" s="38" t="n">
        <v>266</v>
      </c>
      <c r="B317" s="38" t="s">
        <v>452</v>
      </c>
      <c r="C317" s="38" t="s">
        <v>57</v>
      </c>
      <c r="D317" s="38"/>
      <c r="E317" s="38" t="s">
        <v>58</v>
      </c>
      <c r="F317" s="39" t="n">
        <v>77</v>
      </c>
      <c r="G317" s="39" t="n">
        <v>33</v>
      </c>
      <c r="H317" s="40" t="n">
        <v>976.15</v>
      </c>
      <c r="I317" s="40" t="n">
        <v>-3.76</v>
      </c>
      <c r="J317" s="40" t="n">
        <v>-193.08</v>
      </c>
      <c r="K317" s="41" t="n">
        <f aca="false">H317+I317+J317</f>
        <v>779.31</v>
      </c>
      <c r="L317" s="42" t="n">
        <f aca="false">IF($K$1282=0,0,K317/$K$1282)</f>
        <v>6.45568229070733E-005</v>
      </c>
      <c r="M317" s="43" t="n">
        <f aca="false">IF(F317&lt;=0,0,K317/F317)</f>
        <v>10.1209090909091</v>
      </c>
      <c r="N317" s="40" t="n">
        <v>9.07</v>
      </c>
      <c r="O317" s="44" t="n">
        <v>0.32</v>
      </c>
      <c r="P317" s="43" t="n">
        <f aca="false">O317*'Price Groups'!$B$5</f>
        <v>7.2</v>
      </c>
      <c r="Q317" s="45" t="n">
        <f aca="false">IF(OR(N317="",P317=""),"",(N317-P317)/N317)</f>
        <v>0.206174200661522</v>
      </c>
      <c r="R317" s="46" t="n">
        <v>1</v>
      </c>
      <c r="S317" s="47" t="n">
        <f aca="false">IF(R317="-",0,IFERROR(VLOOKUP(R317,'Price Groups'!$A$13:$C$17,3,FALSE()),0))</f>
        <v>0.22</v>
      </c>
      <c r="T317" s="41" t="n">
        <f aca="false">IF(OR(N317="",R317="-"),"",CEILING(ROUND(N317*(1+S317),2),IF(N317*(1+S317)&lt;100,0.5,IF(N317*(1+S317)&lt;1000,1,5))))</f>
        <v>11.5</v>
      </c>
      <c r="U317" s="45" t="n">
        <f aca="false">IF(OR(T317="",P317=""),"",(T317-P317)/T317)</f>
        <v>0.373913043478261</v>
      </c>
      <c r="V317" s="45" t="n">
        <f aca="false">IF(T317="",0,T317/N317-1)</f>
        <v>0.267916207276737</v>
      </c>
      <c r="W317" s="38" t="s">
        <v>333</v>
      </c>
    </row>
    <row r="318" customFormat="false" ht="15" hidden="false" customHeight="false" outlineLevel="0" collapsed="false">
      <c r="A318" s="19" t="n">
        <v>267</v>
      </c>
      <c r="B318" s="19" t="s">
        <v>453</v>
      </c>
      <c r="C318" s="19" t="s">
        <v>57</v>
      </c>
      <c r="D318" s="19"/>
      <c r="E318" s="19" t="s">
        <v>58</v>
      </c>
      <c r="F318" s="20" t="n">
        <v>77</v>
      </c>
      <c r="G318" s="20" t="n">
        <v>36</v>
      </c>
      <c r="H318" s="21" t="n">
        <v>4494.28</v>
      </c>
      <c r="I318" s="21" t="n">
        <v>-25.79</v>
      </c>
      <c r="J318" s="21" t="n">
        <v>-383.98</v>
      </c>
      <c r="K318" s="22" t="n">
        <f aca="false">H318+I318+J318</f>
        <v>4084.51</v>
      </c>
      <c r="L318" s="23" t="n">
        <f aca="false">IF($K$1282=0,0,K318/$K$1282)</f>
        <v>0.000338354427291027</v>
      </c>
      <c r="M318" s="24" t="n">
        <f aca="false">IF(F318&lt;=0,0,K318/F318)</f>
        <v>53.0455844155844</v>
      </c>
      <c r="N318" s="21" t="n">
        <v>59.99</v>
      </c>
      <c r="O318" s="49" t="n">
        <v>1.58</v>
      </c>
      <c r="P318" s="24" t="n">
        <f aca="false">O318*'Price Groups'!$B$5</f>
        <v>35.55</v>
      </c>
      <c r="Q318" s="26" t="n">
        <f aca="false">IF(OR(N318="",P318=""),"",(N318-P318)/N318)</f>
        <v>0.407401233538923</v>
      </c>
      <c r="R318" s="27" t="n">
        <v>1</v>
      </c>
      <c r="S318" s="28" t="n">
        <f aca="false">IF(R318="-",0,IFERROR(VLOOKUP(R318,'Price Groups'!$A$13:$C$17,3,FALSE()),0))</f>
        <v>0.22</v>
      </c>
      <c r="T318" s="22" t="n">
        <f aca="false">IF(OR(N318="",R318="-"),"",CEILING(ROUND(N318*(1+S318),2),IF(N318*(1+S318)&lt;100,0.5,IF(N318*(1+S318)&lt;1000,1,5))))</f>
        <v>73.5</v>
      </c>
      <c r="U318" s="26" t="n">
        <f aca="false">IF(OR(T318="",P318=""),"",(T318-P318)/T318)</f>
        <v>0.516326530612245</v>
      </c>
      <c r="V318" s="26" t="n">
        <f aca="false">IF(T318="",0,T318/N318-1)</f>
        <v>0.225204200700117</v>
      </c>
      <c r="W318" s="19" t="s">
        <v>94</v>
      </c>
    </row>
    <row r="319" customFormat="false" ht="15" hidden="false" customHeight="false" outlineLevel="0" collapsed="false">
      <c r="A319" s="38" t="n">
        <v>268</v>
      </c>
      <c r="B319" s="38" t="s">
        <v>454</v>
      </c>
      <c r="C319" s="38" t="s">
        <v>57</v>
      </c>
      <c r="D319" s="38" t="s">
        <v>455</v>
      </c>
      <c r="E319" s="38" t="s">
        <v>58</v>
      </c>
      <c r="F319" s="39" t="n">
        <v>76</v>
      </c>
      <c r="G319" s="39" t="n">
        <v>57</v>
      </c>
      <c r="H319" s="40" t="n">
        <v>4290.38</v>
      </c>
      <c r="I319" s="40" t="n">
        <v>-13.24</v>
      </c>
      <c r="J319" s="40" t="n">
        <v>-681.39</v>
      </c>
      <c r="K319" s="41" t="n">
        <f aca="false">H319+I319+J319</f>
        <v>3595.75</v>
      </c>
      <c r="L319" s="42" t="n">
        <f aca="false">IF($K$1282=0,0,K319/$K$1282)</f>
        <v>0.000297866312466296</v>
      </c>
      <c r="M319" s="43" t="n">
        <f aca="false">IF(F319&lt;=0,0,K319/F319)</f>
        <v>47.3125</v>
      </c>
      <c r="N319" s="40" t="n">
        <v>44.99</v>
      </c>
      <c r="O319" s="44" t="n">
        <v>1.24</v>
      </c>
      <c r="P319" s="43" t="n">
        <f aca="false">O319*'Price Groups'!$B$5</f>
        <v>27.9</v>
      </c>
      <c r="Q319" s="45" t="n">
        <f aca="false">IF(OR(N319="",P319=""),"",(N319-P319)/N319)</f>
        <v>0.379862191598133</v>
      </c>
      <c r="R319" s="46" t="n">
        <v>1</v>
      </c>
      <c r="S319" s="47" t="n">
        <f aca="false">IF(R319="-",0,IFERROR(VLOOKUP(R319,'Price Groups'!$A$13:$C$17,3,FALSE()),0))</f>
        <v>0.22</v>
      </c>
      <c r="T319" s="41" t="n">
        <f aca="false">IF(OR(N319="",R319="-"),"",CEILING(ROUND(N319*(1+S319),2),IF(N319*(1+S319)&lt;100,0.5,IF(N319*(1+S319)&lt;1000,1,5))))</f>
        <v>55</v>
      </c>
      <c r="U319" s="45" t="n">
        <f aca="false">IF(OR(T319="",P319=""),"",(T319-P319)/T319)</f>
        <v>0.492727272727273</v>
      </c>
      <c r="V319" s="45" t="n">
        <f aca="false">IF(T319="",0,T319/N319-1)</f>
        <v>0.222493887530562</v>
      </c>
      <c r="W319" s="38" t="s">
        <v>94</v>
      </c>
    </row>
    <row r="320" customFormat="false" ht="15" hidden="false" customHeight="false" outlineLevel="0" collapsed="false">
      <c r="A320" s="19" t="n">
        <v>269</v>
      </c>
      <c r="B320" s="19" t="s">
        <v>456</v>
      </c>
      <c r="C320" s="19" t="s">
        <v>57</v>
      </c>
      <c r="D320" s="19"/>
      <c r="E320" s="19" t="s">
        <v>58</v>
      </c>
      <c r="F320" s="20" t="n">
        <v>76</v>
      </c>
      <c r="G320" s="20" t="n">
        <v>30</v>
      </c>
      <c r="H320" s="21" t="n">
        <v>14065</v>
      </c>
      <c r="I320" s="21" t="n">
        <v>-344.73</v>
      </c>
      <c r="J320" s="21" t="n">
        <v>-599.4</v>
      </c>
      <c r="K320" s="22" t="n">
        <f aca="false">H320+I320+J320</f>
        <v>13120.87</v>
      </c>
      <c r="L320" s="23" t="n">
        <f aca="false">IF($K$1282=0,0,K320/$K$1282)</f>
        <v>0.00108691237245349</v>
      </c>
      <c r="M320" s="24" t="n">
        <f aca="false">IF(F320&lt;=0,0,K320/F320)</f>
        <v>172.643026315789</v>
      </c>
      <c r="N320" s="21" t="n">
        <v>299.7</v>
      </c>
      <c r="O320" s="49" t="n">
        <v>6.5</v>
      </c>
      <c r="P320" s="24" t="n">
        <f aca="false">O320*'Price Groups'!$B$5</f>
        <v>146.25</v>
      </c>
      <c r="Q320" s="26" t="n">
        <f aca="false">IF(OR(N320="",P320=""),"",(N320-P320)/N320)</f>
        <v>0.512012012012012</v>
      </c>
      <c r="R320" s="27" t="n">
        <v>3</v>
      </c>
      <c r="S320" s="28" t="n">
        <f aca="false">IF(R320="-",0,IFERROR(VLOOKUP(R320,'Price Groups'!$A$13:$C$17,3,FALSE()),0))</f>
        <v>0.16</v>
      </c>
      <c r="T320" s="22" t="n">
        <f aca="false">IF(OR(N320="",R320="-"),"",CEILING(ROUND(N320*(1+S320),2),IF(N320*(1+S320)&lt;100,0.5,IF(N320*(1+S320)&lt;1000,1,5))))</f>
        <v>348</v>
      </c>
      <c r="U320" s="26" t="n">
        <f aca="false">IF(OR(T320="",P320=""),"",(T320-P320)/T320)</f>
        <v>0.579741379310345</v>
      </c>
      <c r="V320" s="26" t="n">
        <f aca="false">IF(T320="",0,T320/N320-1)</f>
        <v>0.161161161161161</v>
      </c>
      <c r="W320" s="19" t="s">
        <v>107</v>
      </c>
    </row>
    <row r="321" customFormat="false" ht="15" hidden="false" customHeight="false" outlineLevel="0" collapsed="false">
      <c r="A321" s="38" t="n">
        <v>270</v>
      </c>
      <c r="B321" s="38" t="s">
        <v>457</v>
      </c>
      <c r="C321" s="38" t="s">
        <v>57</v>
      </c>
      <c r="D321" s="38"/>
      <c r="E321" s="38" t="s">
        <v>58</v>
      </c>
      <c r="F321" s="39" t="n">
        <v>76</v>
      </c>
      <c r="G321" s="39" t="n">
        <v>49</v>
      </c>
      <c r="H321" s="40" t="n">
        <v>1552</v>
      </c>
      <c r="I321" s="40" t="n">
        <v>-22.4</v>
      </c>
      <c r="J321" s="40" t="n">
        <v>-108</v>
      </c>
      <c r="K321" s="41" t="n">
        <f aca="false">H321+I321+J321</f>
        <v>1421.6</v>
      </c>
      <c r="L321" s="42" t="n">
        <f aca="false">IF($K$1282=0,0,K321/$K$1282)</f>
        <v>0.000117763123076433</v>
      </c>
      <c r="M321" s="43" t="n">
        <f aca="false">IF(F321&lt;=0,0,K321/F321)</f>
        <v>18.7052631578947</v>
      </c>
      <c r="N321" s="40" t="n">
        <v>22</v>
      </c>
      <c r="O321" s="44" t="n">
        <v>0.38</v>
      </c>
      <c r="P321" s="43" t="n">
        <f aca="false">O321*'Price Groups'!$B$5</f>
        <v>8.55</v>
      </c>
      <c r="Q321" s="45" t="n">
        <f aca="false">IF(OR(N321="",P321=""),"",(N321-P321)/N321)</f>
        <v>0.611363636363636</v>
      </c>
      <c r="R321" s="46" t="n">
        <v>1</v>
      </c>
      <c r="S321" s="47" t="n">
        <f aca="false">IF(R321="-",0,IFERROR(VLOOKUP(R321,'Price Groups'!$A$13:$C$17,3,FALSE()),0))</f>
        <v>0.22</v>
      </c>
      <c r="T321" s="41" t="n">
        <f aca="false">IF(OR(N321="",R321="-"),"",CEILING(ROUND(N321*(1+S321),2),IF(N321*(1+S321)&lt;100,0.5,IF(N321*(1+S321)&lt;1000,1,5))))</f>
        <v>27</v>
      </c>
      <c r="U321" s="45" t="n">
        <f aca="false">IF(OR(T321="",P321=""),"",(T321-P321)/T321)</f>
        <v>0.683333333333333</v>
      </c>
      <c r="V321" s="45" t="n">
        <f aca="false">IF(T321="",0,T321/N321-1)</f>
        <v>0.227272727272727</v>
      </c>
      <c r="W321" s="38" t="s">
        <v>94</v>
      </c>
    </row>
    <row r="322" customFormat="false" ht="15" hidden="false" customHeight="false" outlineLevel="0" collapsed="false">
      <c r="A322" s="19" t="n">
        <v>271</v>
      </c>
      <c r="B322" s="19" t="s">
        <v>458</v>
      </c>
      <c r="C322" s="19" t="s">
        <v>57</v>
      </c>
      <c r="D322" s="19" t="s">
        <v>459</v>
      </c>
      <c r="E322" s="19" t="s">
        <v>58</v>
      </c>
      <c r="F322" s="20" t="n">
        <v>75</v>
      </c>
      <c r="G322" s="20" t="n">
        <v>32</v>
      </c>
      <c r="H322" s="21" t="n">
        <v>3371.8</v>
      </c>
      <c r="I322" s="21" t="n">
        <v>-39.08</v>
      </c>
      <c r="J322" s="21" t="n">
        <v>-78</v>
      </c>
      <c r="K322" s="22" t="n">
        <f aca="false">H322+I322+J322</f>
        <v>3254.72</v>
      </c>
      <c r="L322" s="23" t="n">
        <f aca="false">IF($K$1282=0,0,K322/$K$1282)</f>
        <v>0.000269615920047362</v>
      </c>
      <c r="M322" s="24" t="n">
        <f aca="false">IF(F322&lt;=0,0,K322/F322)</f>
        <v>43.3962666666667</v>
      </c>
      <c r="N322" s="21" t="n">
        <v>55</v>
      </c>
      <c r="O322" s="49" t="n">
        <v>1.05</v>
      </c>
      <c r="P322" s="24" t="n">
        <f aca="false">O322*'Price Groups'!$B$5</f>
        <v>23.625</v>
      </c>
      <c r="Q322" s="26" t="n">
        <f aca="false">IF(OR(N322="",P322=""),"",(N322-P322)/N322)</f>
        <v>0.570454545454545</v>
      </c>
      <c r="R322" s="27" t="n">
        <v>3</v>
      </c>
      <c r="S322" s="28" t="n">
        <f aca="false">IF(R322="-",0,IFERROR(VLOOKUP(R322,'Price Groups'!$A$13:$C$17,3,FALSE()),0))</f>
        <v>0.16</v>
      </c>
      <c r="T322" s="22" t="n">
        <f aca="false">IF(OR(N322="",R322="-"),"",CEILING(ROUND(N322*(1+S322),2),IF(N322*(1+S322)&lt;100,0.5,IF(N322*(1+S322)&lt;1000,1,5))))</f>
        <v>64</v>
      </c>
      <c r="U322" s="26" t="n">
        <f aca="false">IF(OR(T322="",P322=""),"",(T322-P322)/T322)</f>
        <v>0.630859375</v>
      </c>
      <c r="V322" s="26" t="n">
        <f aca="false">IF(T322="",0,T322/N322-1)</f>
        <v>0.163636363636364</v>
      </c>
      <c r="W322" s="19" t="s">
        <v>107</v>
      </c>
    </row>
    <row r="323" customFormat="false" ht="15" hidden="false" customHeight="false" outlineLevel="0" collapsed="false">
      <c r="A323" s="38" t="n">
        <v>272</v>
      </c>
      <c r="B323" s="38" t="s">
        <v>460</v>
      </c>
      <c r="C323" s="38" t="s">
        <v>57</v>
      </c>
      <c r="D323" s="38"/>
      <c r="E323" s="38" t="s">
        <v>58</v>
      </c>
      <c r="F323" s="39" t="n">
        <v>75</v>
      </c>
      <c r="G323" s="39" t="n">
        <v>18</v>
      </c>
      <c r="H323" s="40" t="n">
        <v>5316.99</v>
      </c>
      <c r="I323" s="40" t="n">
        <v>-526.84</v>
      </c>
      <c r="J323" s="40" t="n">
        <v>-895.92</v>
      </c>
      <c r="K323" s="41" t="n">
        <f aca="false">H323+I323+J323</f>
        <v>3894.23</v>
      </c>
      <c r="L323" s="42" t="n">
        <f aca="false">IF($K$1282=0,0,K323/$K$1282)</f>
        <v>0.000322591929359834</v>
      </c>
      <c r="M323" s="43" t="n">
        <f aca="false">IF(F323&lt;=0,0,K323/F323)</f>
        <v>51.9230666666667</v>
      </c>
      <c r="N323" s="40" t="n">
        <v>54.99</v>
      </c>
      <c r="O323" s="44" t="n">
        <v>1.07</v>
      </c>
      <c r="P323" s="43" t="n">
        <f aca="false">O323*'Price Groups'!$B$5</f>
        <v>24.075</v>
      </c>
      <c r="Q323" s="45" t="n">
        <f aca="false">IF(OR(N323="",P323=""),"",(N323-P323)/N323)</f>
        <v>0.562193126022913</v>
      </c>
      <c r="R323" s="46" t="n">
        <v>1</v>
      </c>
      <c r="S323" s="47" t="n">
        <f aca="false">IF(R323="-",0,IFERROR(VLOOKUP(R323,'Price Groups'!$A$13:$C$17,3,FALSE()),0))</f>
        <v>0.22</v>
      </c>
      <c r="T323" s="41" t="n">
        <f aca="false">IF(OR(N323="",R323="-"),"",CEILING(ROUND(N323*(1+S323),2),IF(N323*(1+S323)&lt;100,0.5,IF(N323*(1+S323)&lt;1000,1,5))))</f>
        <v>67.5</v>
      </c>
      <c r="U323" s="45" t="n">
        <f aca="false">IF(OR(T323="",P323=""),"",(T323-P323)/T323)</f>
        <v>0.643333333333333</v>
      </c>
      <c r="V323" s="45" t="n">
        <f aca="false">IF(T323="",0,T323/N323-1)</f>
        <v>0.227495908346972</v>
      </c>
      <c r="W323" s="38" t="s">
        <v>94</v>
      </c>
    </row>
    <row r="324" customFormat="false" ht="15" hidden="false" customHeight="false" outlineLevel="0" collapsed="false">
      <c r="A324" s="19" t="n">
        <v>273</v>
      </c>
      <c r="B324" s="19" t="s">
        <v>461</v>
      </c>
      <c r="C324" s="19" t="s">
        <v>57</v>
      </c>
      <c r="D324" s="19"/>
      <c r="E324" s="19" t="s">
        <v>58</v>
      </c>
      <c r="F324" s="20" t="n">
        <v>75</v>
      </c>
      <c r="G324" s="20" t="n">
        <v>50</v>
      </c>
      <c r="H324" s="21" t="n">
        <v>1577</v>
      </c>
      <c r="I324" s="21" t="n">
        <v>-17.12</v>
      </c>
      <c r="J324" s="21" t="n">
        <v>-152</v>
      </c>
      <c r="K324" s="22" t="n">
        <f aca="false">H324+I324+J324</f>
        <v>1407.88</v>
      </c>
      <c r="L324" s="23" t="n">
        <f aca="false">IF($K$1282=0,0,K324/$K$1282)</f>
        <v>0.000116626579710783</v>
      </c>
      <c r="M324" s="24" t="n">
        <f aca="false">IF(F324&lt;=0,0,K324/F324)</f>
        <v>18.7717333333333</v>
      </c>
      <c r="N324" s="21" t="n">
        <v>19</v>
      </c>
      <c r="O324" s="49" t="n">
        <v>0.46</v>
      </c>
      <c r="P324" s="24" t="n">
        <f aca="false">O324*'Price Groups'!$B$5</f>
        <v>10.35</v>
      </c>
      <c r="Q324" s="26" t="n">
        <f aca="false">IF(OR(N324="",P324=""),"",(N324-P324)/N324)</f>
        <v>0.455263157894737</v>
      </c>
      <c r="R324" s="27" t="n">
        <v>1</v>
      </c>
      <c r="S324" s="28" t="n">
        <f aca="false">IF(R324="-",0,IFERROR(VLOOKUP(R324,'Price Groups'!$A$13:$C$17,3,FALSE()),0))</f>
        <v>0.22</v>
      </c>
      <c r="T324" s="22" t="n">
        <f aca="false">IF(OR(N324="",R324="-"),"",CEILING(ROUND(N324*(1+S324),2),IF(N324*(1+S324)&lt;100,0.5,IF(N324*(1+S324)&lt;1000,1,5))))</f>
        <v>23.5</v>
      </c>
      <c r="U324" s="26" t="n">
        <f aca="false">IF(OR(T324="",P324=""),"",(T324-P324)/T324)</f>
        <v>0.559574468085106</v>
      </c>
      <c r="V324" s="26" t="n">
        <f aca="false">IF(T324="",0,T324/N324-1)</f>
        <v>0.236842105263158</v>
      </c>
      <c r="W324" s="19" t="s">
        <v>94</v>
      </c>
    </row>
    <row r="325" customFormat="false" ht="15" hidden="false" customHeight="false" outlineLevel="0" collapsed="false">
      <c r="A325" s="38" t="n">
        <v>274</v>
      </c>
      <c r="B325" s="38" t="s">
        <v>462</v>
      </c>
      <c r="C325" s="38" t="s">
        <v>57</v>
      </c>
      <c r="D325" s="38"/>
      <c r="E325" s="38" t="s">
        <v>58</v>
      </c>
      <c r="F325" s="39" t="n">
        <v>75</v>
      </c>
      <c r="G325" s="39" t="n">
        <v>34</v>
      </c>
      <c r="H325" s="40" t="n">
        <v>15490</v>
      </c>
      <c r="I325" s="40" t="n">
        <v>-29.64</v>
      </c>
      <c r="J325" s="40" t="n">
        <v>-1944.54</v>
      </c>
      <c r="K325" s="41" t="n">
        <f aca="false">H325+I325+J325</f>
        <v>13515.82</v>
      </c>
      <c r="L325" s="42" t="n">
        <f aca="false">IF($K$1282=0,0,K325/$K$1282)</f>
        <v>0.00111962941343481</v>
      </c>
      <c r="M325" s="43" t="n">
        <f aca="false">IF(F325&lt;=0,0,K325/F325)</f>
        <v>180.210933333333</v>
      </c>
      <c r="N325" s="40" t="n">
        <v>148.2</v>
      </c>
      <c r="O325" s="44" t="n">
        <v>5.01</v>
      </c>
      <c r="P325" s="43" t="n">
        <f aca="false">O325*'Price Groups'!$B$5</f>
        <v>112.725</v>
      </c>
      <c r="Q325" s="45" t="n">
        <f aca="false">IF(OR(N325="",P325=""),"",(N325-P325)/N325)</f>
        <v>0.239372469635628</v>
      </c>
      <c r="R325" s="46" t="n">
        <v>1</v>
      </c>
      <c r="S325" s="47" t="n">
        <f aca="false">IF(R325="-",0,IFERROR(VLOOKUP(R325,'Price Groups'!$A$13:$C$17,3,FALSE()),0))</f>
        <v>0.22</v>
      </c>
      <c r="T325" s="41" t="n">
        <f aca="false">IF(OR(N325="",R325="-"),"",CEILING(ROUND(N325*(1+S325),2),IF(N325*(1+S325)&lt;100,0.5,IF(N325*(1+S325)&lt;1000,1,5))))</f>
        <v>181</v>
      </c>
      <c r="U325" s="45" t="n">
        <f aca="false">IF(OR(T325="",P325=""),"",(T325-P325)/T325)</f>
        <v>0.377209944751381</v>
      </c>
      <c r="V325" s="45" t="n">
        <f aca="false">IF(T325="",0,T325/N325-1)</f>
        <v>0.221322537112011</v>
      </c>
      <c r="W325" s="38" t="s">
        <v>244</v>
      </c>
    </row>
    <row r="326" customFormat="false" ht="15" hidden="false" customHeight="false" outlineLevel="0" collapsed="false">
      <c r="A326" s="19" t="n">
        <v>275</v>
      </c>
      <c r="B326" s="19" t="s">
        <v>463</v>
      </c>
      <c r="C326" s="19" t="s">
        <v>57</v>
      </c>
      <c r="D326" s="19" t="s">
        <v>464</v>
      </c>
      <c r="E326" s="19" t="s">
        <v>58</v>
      </c>
      <c r="F326" s="20" t="n">
        <v>74</v>
      </c>
      <c r="G326" s="20" t="n">
        <v>43</v>
      </c>
      <c r="H326" s="21" t="n">
        <v>944.43</v>
      </c>
      <c r="I326" s="21" t="n">
        <v>-1.66</v>
      </c>
      <c r="J326" s="21" t="n">
        <v>-116.9</v>
      </c>
      <c r="K326" s="22" t="n">
        <f aca="false">H326+I326+J326</f>
        <v>825.87</v>
      </c>
      <c r="L326" s="23" t="n">
        <f aca="false">IF($K$1282=0,0,K326/$K$1282)</f>
        <v>6.84137805677646E-005</v>
      </c>
      <c r="M326" s="24" t="n">
        <f aca="false">IF(F326&lt;=0,0,K326/F326)</f>
        <v>11.1604054054054</v>
      </c>
      <c r="N326" s="21" t="n">
        <v>14.99</v>
      </c>
      <c r="O326" s="49" t="n">
        <v>0.25</v>
      </c>
      <c r="P326" s="24" t="n">
        <f aca="false">O326*'Price Groups'!$B$5</f>
        <v>5.625</v>
      </c>
      <c r="Q326" s="26" t="n">
        <f aca="false">IF(OR(N326="",P326=""),"",(N326-P326)/N326)</f>
        <v>0.624749833222148</v>
      </c>
      <c r="R326" s="27" t="n">
        <v>1</v>
      </c>
      <c r="S326" s="28" t="n">
        <f aca="false">IF(R326="-",0,IFERROR(VLOOKUP(R326,'Price Groups'!$A$13:$C$17,3,FALSE()),0))</f>
        <v>0.22</v>
      </c>
      <c r="T326" s="22" t="n">
        <f aca="false">IF(OR(N326="",R326="-"),"",CEILING(ROUND(N326*(1+S326),2),IF(N326*(1+S326)&lt;100,0.5,IF(N326*(1+S326)&lt;1000,1,5))))</f>
        <v>18.5</v>
      </c>
      <c r="U326" s="26" t="n">
        <f aca="false">IF(OR(T326="",P326=""),"",(T326-P326)/T326)</f>
        <v>0.695945945945946</v>
      </c>
      <c r="V326" s="26" t="n">
        <f aca="false">IF(T326="",0,T326/N326-1)</f>
        <v>0.23415610406938</v>
      </c>
      <c r="W326" s="19" t="s">
        <v>94</v>
      </c>
    </row>
    <row r="327" customFormat="false" ht="15" hidden="false" customHeight="false" outlineLevel="0" collapsed="false">
      <c r="A327" s="38" t="n">
        <v>276</v>
      </c>
      <c r="B327" s="38" t="s">
        <v>465</v>
      </c>
      <c r="C327" s="38" t="s">
        <v>57</v>
      </c>
      <c r="D327" s="38"/>
      <c r="E327" s="38" t="s">
        <v>58</v>
      </c>
      <c r="F327" s="39" t="n">
        <v>74</v>
      </c>
      <c r="G327" s="39" t="n">
        <v>52</v>
      </c>
      <c r="H327" s="40" t="n">
        <v>3291.75</v>
      </c>
      <c r="I327" s="40" t="n">
        <v>-65.7</v>
      </c>
      <c r="J327" s="40" t="n">
        <v>-669.2</v>
      </c>
      <c r="K327" s="41" t="n">
        <f aca="false">H327+I327+J327</f>
        <v>2556.85</v>
      </c>
      <c r="L327" s="42" t="n">
        <f aca="false">IF($K$1282=0,0,K327/$K$1282)</f>
        <v>0.000211805459508989</v>
      </c>
      <c r="M327" s="43" t="n">
        <f aca="false">IF(F327&lt;=0,0,K327/F327)</f>
        <v>34.552027027027</v>
      </c>
      <c r="N327" s="40" t="n">
        <v>36.05</v>
      </c>
      <c r="O327" s="44" t="n">
        <v>0.44</v>
      </c>
      <c r="P327" s="43" t="n">
        <f aca="false">O327*'Price Groups'!$B$5</f>
        <v>9.9</v>
      </c>
      <c r="Q327" s="45" t="n">
        <f aca="false">IF(OR(N327="",P327=""),"",(N327-P327)/N327)</f>
        <v>0.725381414701803</v>
      </c>
      <c r="R327" s="46" t="n">
        <v>1</v>
      </c>
      <c r="S327" s="47" t="n">
        <f aca="false">IF(R327="-",0,IFERROR(VLOOKUP(R327,'Price Groups'!$A$13:$C$17,3,FALSE()),0))</f>
        <v>0.22</v>
      </c>
      <c r="T327" s="41" t="n">
        <f aca="false">IF(OR(N327="",R327="-"),"",CEILING(ROUND(N327*(1+S327),2),IF(N327*(1+S327)&lt;100,0.5,IF(N327*(1+S327)&lt;1000,1,5))))</f>
        <v>44</v>
      </c>
      <c r="U327" s="45" t="n">
        <f aca="false">IF(OR(T327="",P327=""),"",(T327-P327)/T327)</f>
        <v>0.775</v>
      </c>
      <c r="V327" s="45" t="n">
        <f aca="false">IF(T327="",0,T327/N327-1)</f>
        <v>0.220527045769764</v>
      </c>
      <c r="W327" s="38" t="s">
        <v>94</v>
      </c>
    </row>
    <row r="328" customFormat="false" ht="15" hidden="false" customHeight="false" outlineLevel="0" collapsed="false">
      <c r="A328" s="19" t="n">
        <v>277</v>
      </c>
      <c r="B328" s="19" t="s">
        <v>466</v>
      </c>
      <c r="C328" s="19" t="s">
        <v>57</v>
      </c>
      <c r="D328" s="19" t="s">
        <v>467</v>
      </c>
      <c r="E328" s="19" t="s">
        <v>58</v>
      </c>
      <c r="F328" s="20" t="n">
        <v>73</v>
      </c>
      <c r="G328" s="20" t="n">
        <v>41</v>
      </c>
      <c r="H328" s="21" t="n">
        <v>6028.82</v>
      </c>
      <c r="I328" s="21" t="n">
        <v>-12.44</v>
      </c>
      <c r="J328" s="21" t="n">
        <v>-1633.71</v>
      </c>
      <c r="K328" s="22" t="n">
        <f aca="false">H328+I328+J328</f>
        <v>4382.67</v>
      </c>
      <c r="L328" s="23" t="n">
        <f aca="false">IF($K$1282=0,0,K328/$K$1282)</f>
        <v>0.000363053535884491</v>
      </c>
      <c r="M328" s="24" t="n">
        <f aca="false">IF(F328&lt;=0,0,K328/F328)</f>
        <v>60.0365753424658</v>
      </c>
      <c r="N328" s="21" t="n">
        <v>62.22</v>
      </c>
      <c r="O328" s="49" t="n">
        <v>1.24</v>
      </c>
      <c r="P328" s="24" t="n">
        <f aca="false">O328*'Price Groups'!$B$5</f>
        <v>27.9</v>
      </c>
      <c r="Q328" s="26" t="n">
        <f aca="false">IF(OR(N328="",P328=""),"",(N328-P328)/N328)</f>
        <v>0.551591128254581</v>
      </c>
      <c r="R328" s="27" t="n">
        <v>1</v>
      </c>
      <c r="S328" s="28" t="n">
        <f aca="false">IF(R328="-",0,IFERROR(VLOOKUP(R328,'Price Groups'!$A$13:$C$17,3,FALSE()),0))</f>
        <v>0.22</v>
      </c>
      <c r="T328" s="22" t="n">
        <f aca="false">IF(OR(N328="",R328="-"),"",CEILING(ROUND(N328*(1+S328),2),IF(N328*(1+S328)&lt;100,0.5,IF(N328*(1+S328)&lt;1000,1,5))))</f>
        <v>76</v>
      </c>
      <c r="U328" s="26" t="n">
        <f aca="false">IF(OR(T328="",P328=""),"",(T328-P328)/T328)</f>
        <v>0.632894736842105</v>
      </c>
      <c r="V328" s="26" t="n">
        <f aca="false">IF(T328="",0,T328/N328-1)</f>
        <v>0.221472195435551</v>
      </c>
      <c r="W328" s="19" t="s">
        <v>94</v>
      </c>
    </row>
    <row r="329" customFormat="false" ht="15" hidden="false" customHeight="false" outlineLevel="0" collapsed="false">
      <c r="A329" s="38" t="n">
        <v>278</v>
      </c>
      <c r="B329" s="38" t="s">
        <v>468</v>
      </c>
      <c r="C329" s="38" t="s">
        <v>57</v>
      </c>
      <c r="D329" s="38"/>
      <c r="E329" s="38" t="s">
        <v>58</v>
      </c>
      <c r="F329" s="39" t="n">
        <v>73</v>
      </c>
      <c r="G329" s="39" t="n">
        <v>25</v>
      </c>
      <c r="H329" s="40" t="n">
        <v>11585.31</v>
      </c>
      <c r="I329" s="40" t="n">
        <v>-90.57</v>
      </c>
      <c r="J329" s="40" t="n">
        <v>0</v>
      </c>
      <c r="K329" s="41" t="n">
        <f aca="false">H329+I329+J329</f>
        <v>11494.74</v>
      </c>
      <c r="L329" s="42" t="n">
        <f aca="false">IF($K$1282=0,0,K329/$K$1282)</f>
        <v>0.000952206303708218</v>
      </c>
      <c r="M329" s="43" t="n">
        <f aca="false">IF(F329&lt;=0,0,K329/F329)</f>
        <v>157.462191780822</v>
      </c>
      <c r="N329" s="40" t="n">
        <v>159.99</v>
      </c>
      <c r="O329" s="44" t="n">
        <v>2.39</v>
      </c>
      <c r="P329" s="43" t="n">
        <f aca="false">O329*'Price Groups'!$B$5</f>
        <v>53.775</v>
      </c>
      <c r="Q329" s="45" t="n">
        <f aca="false">IF(OR(N329="",P329=""),"",(N329-P329)/N329)</f>
        <v>0.663885242827677</v>
      </c>
      <c r="R329" s="46" t="n">
        <v>3</v>
      </c>
      <c r="S329" s="47" t="n">
        <f aca="false">IF(R329="-",0,IFERROR(VLOOKUP(R329,'Price Groups'!$A$13:$C$17,3,FALSE()),0))</f>
        <v>0.16</v>
      </c>
      <c r="T329" s="41" t="n">
        <f aca="false">IF(OR(N329="",R329="-"),"",CEILING(ROUND(N329*(1+S329),2),IF(N329*(1+S329)&lt;100,0.5,IF(N329*(1+S329)&lt;1000,1,5))))</f>
        <v>186</v>
      </c>
      <c r="U329" s="45" t="n">
        <f aca="false">IF(OR(T329="",P329=""),"",(T329-P329)/T329)</f>
        <v>0.710887096774194</v>
      </c>
      <c r="V329" s="45" t="n">
        <f aca="false">IF(T329="",0,T329/N329-1)</f>
        <v>0.162572660791299</v>
      </c>
      <c r="W329" s="38" t="s">
        <v>107</v>
      </c>
    </row>
    <row r="330" customFormat="false" ht="15" hidden="false" customHeight="false" outlineLevel="0" collapsed="false">
      <c r="A330" s="19" t="n">
        <v>279</v>
      </c>
      <c r="B330" s="19" t="s">
        <v>469</v>
      </c>
      <c r="C330" s="19" t="s">
        <v>57</v>
      </c>
      <c r="D330" s="19"/>
      <c r="E330" s="19" t="s">
        <v>58</v>
      </c>
      <c r="F330" s="20" t="n">
        <v>73</v>
      </c>
      <c r="G330" s="20" t="n">
        <v>50</v>
      </c>
      <c r="H330" s="21" t="n">
        <v>1923.72</v>
      </c>
      <c r="I330" s="21" t="n">
        <v>-35.73</v>
      </c>
      <c r="J330" s="21" t="n">
        <v>-187.43</v>
      </c>
      <c r="K330" s="22" t="n">
        <f aca="false">H330+I330+J330</f>
        <v>1700.56</v>
      </c>
      <c r="L330" s="23" t="n">
        <f aca="false">IF($K$1282=0,0,K330/$K$1282)</f>
        <v>0.000140871733665489</v>
      </c>
      <c r="M330" s="24" t="n">
        <f aca="false">IF(F330&lt;=0,0,K330/F330)</f>
        <v>23.2953424657534</v>
      </c>
      <c r="N330" s="21" t="n">
        <v>24.84</v>
      </c>
      <c r="O330" s="49" t="n">
        <v>0.57</v>
      </c>
      <c r="P330" s="24" t="n">
        <f aca="false">O330*'Price Groups'!$B$5</f>
        <v>12.825</v>
      </c>
      <c r="Q330" s="26" t="n">
        <f aca="false">IF(OR(N330="",P330=""),"",(N330-P330)/N330)</f>
        <v>0.483695652173913</v>
      </c>
      <c r="R330" s="27" t="n">
        <v>1</v>
      </c>
      <c r="S330" s="28" t="n">
        <f aca="false">IF(R330="-",0,IFERROR(VLOOKUP(R330,'Price Groups'!$A$13:$C$17,3,FALSE()),0))</f>
        <v>0.22</v>
      </c>
      <c r="T330" s="22" t="n">
        <f aca="false">IF(OR(N330="",R330="-"),"",CEILING(ROUND(N330*(1+S330),2),IF(N330*(1+S330)&lt;100,0.5,IF(N330*(1+S330)&lt;1000,1,5))))</f>
        <v>30.5</v>
      </c>
      <c r="U330" s="26" t="n">
        <f aca="false">IF(OR(T330="",P330=""),"",(T330-P330)/T330)</f>
        <v>0.579508196721312</v>
      </c>
      <c r="V330" s="26" t="n">
        <f aca="false">IF(T330="",0,T330/N330-1)</f>
        <v>0.227858293075684</v>
      </c>
      <c r="W330" s="19" t="s">
        <v>94</v>
      </c>
    </row>
    <row r="331" customFormat="false" ht="15" hidden="false" customHeight="false" outlineLevel="0" collapsed="false">
      <c r="A331" s="38" t="n">
        <v>280</v>
      </c>
      <c r="B331" s="38" t="s">
        <v>470</v>
      </c>
      <c r="C331" s="38" t="s">
        <v>57</v>
      </c>
      <c r="D331" s="38"/>
      <c r="E331" s="38" t="s">
        <v>58</v>
      </c>
      <c r="F331" s="39" t="n">
        <v>72</v>
      </c>
      <c r="G331" s="39" t="n">
        <v>35</v>
      </c>
      <c r="H331" s="40" t="n">
        <v>928.12</v>
      </c>
      <c r="I331" s="40" t="n">
        <v>-11.19</v>
      </c>
      <c r="J331" s="40" t="n">
        <v>-56.19</v>
      </c>
      <c r="K331" s="41" t="n">
        <f aca="false">H331+I331+J331</f>
        <v>860.74</v>
      </c>
      <c r="L331" s="42" t="n">
        <f aca="false">IF($K$1282=0,0,K331/$K$1282)</f>
        <v>7.13023568913966E-005</v>
      </c>
      <c r="M331" s="43" t="n">
        <f aca="false">IF(F331&lt;=0,0,K331/F331)</f>
        <v>11.9547222222222</v>
      </c>
      <c r="N331" s="40" t="n">
        <v>11.22</v>
      </c>
      <c r="O331" s="44" t="n">
        <v>0.35</v>
      </c>
      <c r="P331" s="43" t="n">
        <f aca="false">O331*'Price Groups'!$B$5</f>
        <v>7.875</v>
      </c>
      <c r="Q331" s="45" t="n">
        <f aca="false">IF(OR(N331="",P331=""),"",(N331-P331)/N331)</f>
        <v>0.298128342245989</v>
      </c>
      <c r="R331" s="46" t="n">
        <v>1</v>
      </c>
      <c r="S331" s="47" t="n">
        <f aca="false">IF(R331="-",0,IFERROR(VLOOKUP(R331,'Price Groups'!$A$13:$C$17,3,FALSE()),0))</f>
        <v>0.22</v>
      </c>
      <c r="T331" s="41" t="n">
        <f aca="false">IF(OR(N331="",R331="-"),"",CEILING(ROUND(N331*(1+S331),2),IF(N331*(1+S331)&lt;100,0.5,IF(N331*(1+S331)&lt;1000,1,5))))</f>
        <v>14</v>
      </c>
      <c r="U331" s="45" t="n">
        <f aca="false">IF(OR(T331="",P331=""),"",(T331-P331)/T331)</f>
        <v>0.4375</v>
      </c>
      <c r="V331" s="45" t="n">
        <f aca="false">IF(T331="",0,T331/N331-1)</f>
        <v>0.24777183600713</v>
      </c>
      <c r="W331" s="38" t="s">
        <v>94</v>
      </c>
    </row>
    <row r="332" customFormat="false" ht="15" hidden="false" customHeight="false" outlineLevel="0" collapsed="false">
      <c r="A332" s="19" t="n">
        <v>281</v>
      </c>
      <c r="B332" s="19" t="s">
        <v>471</v>
      </c>
      <c r="C332" s="19" t="s">
        <v>57</v>
      </c>
      <c r="D332" s="19" t="s">
        <v>472</v>
      </c>
      <c r="E332" s="19" t="s">
        <v>58</v>
      </c>
      <c r="F332" s="20" t="n">
        <v>71</v>
      </c>
      <c r="G332" s="20" t="n">
        <v>42</v>
      </c>
      <c r="H332" s="21" t="n">
        <v>12341.51</v>
      </c>
      <c r="I332" s="21" t="n">
        <v>-13.08</v>
      </c>
      <c r="J332" s="21" t="n">
        <v>-848.24</v>
      </c>
      <c r="K332" s="22" t="n">
        <f aca="false">H332+I332+J332</f>
        <v>11480.19</v>
      </c>
      <c r="L332" s="23" t="n">
        <f aca="false">IF($K$1282=0,0,K332/$K$1282)</f>
        <v>0.000951001004439252</v>
      </c>
      <c r="M332" s="24" t="n">
        <f aca="false">IF(F332&lt;=0,0,K332/F332)</f>
        <v>161.692816901408</v>
      </c>
      <c r="N332" s="21" t="n">
        <v>127.56</v>
      </c>
      <c r="O332" s="49" t="n">
        <v>4.5</v>
      </c>
      <c r="P332" s="24" t="n">
        <f aca="false">O332*'Price Groups'!$B$5</f>
        <v>101.25</v>
      </c>
      <c r="Q332" s="26" t="n">
        <f aca="false">IF(OR(N332="",P332=""),"",(N332-P332)/N332)</f>
        <v>0.206255879586077</v>
      </c>
      <c r="R332" s="27" t="n">
        <v>1</v>
      </c>
      <c r="S332" s="28" t="n">
        <f aca="false">IF(R332="-",0,IFERROR(VLOOKUP(R332,'Price Groups'!$A$13:$C$17,3,FALSE()),0))</f>
        <v>0.22</v>
      </c>
      <c r="T332" s="22" t="n">
        <f aca="false">IF(OR(N332="",R332="-"),"",CEILING(ROUND(N332*(1+S332),2),IF(N332*(1+S332)&lt;100,0.5,IF(N332*(1+S332)&lt;1000,1,5))))</f>
        <v>156</v>
      </c>
      <c r="U332" s="26" t="n">
        <f aca="false">IF(OR(T332="",P332=""),"",(T332-P332)/T332)</f>
        <v>0.350961538461538</v>
      </c>
      <c r="V332" s="26" t="n">
        <f aca="false">IF(T332="",0,T332/N332-1)</f>
        <v>0.222953904045155</v>
      </c>
      <c r="W332" s="19" t="s">
        <v>473</v>
      </c>
    </row>
    <row r="333" customFormat="false" ht="15" hidden="false" customHeight="false" outlineLevel="0" collapsed="false">
      <c r="A333" s="38" t="n">
        <v>282</v>
      </c>
      <c r="B333" s="38" t="s">
        <v>474</v>
      </c>
      <c r="C333" s="38" t="s">
        <v>57</v>
      </c>
      <c r="D333" s="38"/>
      <c r="E333" s="38" t="s">
        <v>58</v>
      </c>
      <c r="F333" s="39" t="n">
        <v>71</v>
      </c>
      <c r="G333" s="39" t="n">
        <v>62</v>
      </c>
      <c r="H333" s="40" t="n">
        <v>31347.35</v>
      </c>
      <c r="I333" s="40" t="n">
        <v>-278.14</v>
      </c>
      <c r="J333" s="40" t="n">
        <v>-2066.17</v>
      </c>
      <c r="K333" s="41" t="n">
        <f aca="false">H333+I333+J333</f>
        <v>29003.04</v>
      </c>
      <c r="L333" s="42" t="n">
        <f aca="false">IF($K$1282=0,0,K333/$K$1282)</f>
        <v>0.00240256652300979</v>
      </c>
      <c r="M333" s="43" t="n">
        <f aca="false">IF(F333&lt;=0,0,K333/F333)</f>
        <v>408.493521126761</v>
      </c>
      <c r="N333" s="40" t="n">
        <v>391.39</v>
      </c>
      <c r="O333" s="44" t="n">
        <v>5.88</v>
      </c>
      <c r="P333" s="43" t="n">
        <f aca="false">O333*'Price Groups'!$B$5</f>
        <v>132.3</v>
      </c>
      <c r="Q333" s="45" t="n">
        <f aca="false">IF(OR(N333="",P333=""),"",(N333-P333)/N333)</f>
        <v>0.661973990137714</v>
      </c>
      <c r="R333" s="46" t="n">
        <v>3</v>
      </c>
      <c r="S333" s="47" t="n">
        <f aca="false">IF(R333="-",0,IFERROR(VLOOKUP(R333,'Price Groups'!$A$13:$C$17,3,FALSE()),0))</f>
        <v>0.16</v>
      </c>
      <c r="T333" s="41" t="n">
        <f aca="false">IF(OR(N333="",R333="-"),"",CEILING(ROUND(N333*(1+S333),2),IF(N333*(1+S333)&lt;100,0.5,IF(N333*(1+S333)&lt;1000,1,5))))</f>
        <v>455</v>
      </c>
      <c r="U333" s="45" t="n">
        <f aca="false">IF(OR(T333="",P333=""),"",(T333-P333)/T333)</f>
        <v>0.709230769230769</v>
      </c>
      <c r="V333" s="45" t="n">
        <f aca="false">IF(T333="",0,T333/N333-1)</f>
        <v>0.162523314341194</v>
      </c>
      <c r="W333" s="38" t="s">
        <v>107</v>
      </c>
    </row>
    <row r="334" customFormat="false" ht="15" hidden="false" customHeight="false" outlineLevel="0" collapsed="false">
      <c r="A334" s="19" t="n">
        <v>283</v>
      </c>
      <c r="B334" s="19" t="s">
        <v>475</v>
      </c>
      <c r="C334" s="19" t="s">
        <v>57</v>
      </c>
      <c r="D334" s="19"/>
      <c r="E334" s="19" t="s">
        <v>58</v>
      </c>
      <c r="F334" s="20" t="n">
        <v>70</v>
      </c>
      <c r="G334" s="20" t="n">
        <v>29</v>
      </c>
      <c r="H334" s="21" t="n">
        <v>1135</v>
      </c>
      <c r="I334" s="21" t="n">
        <v>-5.85</v>
      </c>
      <c r="J334" s="21" t="n">
        <v>-166.35</v>
      </c>
      <c r="K334" s="22" t="n">
        <f aca="false">H334+I334+J334</f>
        <v>962.8</v>
      </c>
      <c r="L334" s="23" t="n">
        <f aca="false">IF($K$1282=0,0,K334/$K$1282)</f>
        <v>7.9756847846082E-005</v>
      </c>
      <c r="M334" s="24" t="n">
        <f aca="false">IF(F334&lt;=0,0,K334/F334)</f>
        <v>13.7542857142857</v>
      </c>
      <c r="N334" s="21" t="n">
        <v>13</v>
      </c>
      <c r="O334" s="49" t="n">
        <v>0.5</v>
      </c>
      <c r="P334" s="24" t="n">
        <f aca="false">O334*'Price Groups'!$B$5</f>
        <v>11.25</v>
      </c>
      <c r="Q334" s="26" t="n">
        <f aca="false">IF(OR(N334="",P334=""),"",(N334-P334)/N334)</f>
        <v>0.134615384615385</v>
      </c>
      <c r="R334" s="27" t="n">
        <v>1</v>
      </c>
      <c r="S334" s="28" t="n">
        <f aca="false">IF(R334="-",0,IFERROR(VLOOKUP(R334,'Price Groups'!$A$13:$C$17,3,FALSE()),0))</f>
        <v>0.22</v>
      </c>
      <c r="T334" s="22" t="n">
        <f aca="false">IF(OR(N334="",R334="-"),"",CEILING(ROUND(N334*(1+S334),2),IF(N334*(1+S334)&lt;100,0.5,IF(N334*(1+S334)&lt;1000,1,5))))</f>
        <v>16</v>
      </c>
      <c r="U334" s="26" t="n">
        <f aca="false">IF(OR(T334="",P334=""),"",(T334-P334)/T334)</f>
        <v>0.296875</v>
      </c>
      <c r="V334" s="26" t="n">
        <f aca="false">IF(T334="",0,T334/N334-1)</f>
        <v>0.230769230769231</v>
      </c>
      <c r="W334" s="19" t="s">
        <v>476</v>
      </c>
    </row>
    <row r="335" customFormat="false" ht="15" hidden="false" customHeight="false" outlineLevel="0" collapsed="false">
      <c r="A335" s="38" t="n">
        <v>284</v>
      </c>
      <c r="B335" s="38" t="s">
        <v>477</v>
      </c>
      <c r="C335" s="38" t="s">
        <v>57</v>
      </c>
      <c r="D335" s="38"/>
      <c r="E335" s="38" t="s">
        <v>58</v>
      </c>
      <c r="F335" s="39" t="n">
        <v>70</v>
      </c>
      <c r="G335" s="39" t="n">
        <v>59</v>
      </c>
      <c r="H335" s="40" t="n">
        <v>18275.63</v>
      </c>
      <c r="I335" s="40" t="n">
        <v>-284.27</v>
      </c>
      <c r="J335" s="40" t="n">
        <v>-963.99</v>
      </c>
      <c r="K335" s="41" t="n">
        <f aca="false">H335+I335+J335</f>
        <v>17027.37</v>
      </c>
      <c r="L335" s="42" t="n">
        <f aca="false">IF($K$1282=0,0,K335/$K$1282)</f>
        <v>0.00141052072944427</v>
      </c>
      <c r="M335" s="43" t="n">
        <f aca="false">IF(F335&lt;=0,0,K335/F335)</f>
        <v>243.248142857143</v>
      </c>
      <c r="N335" s="40" t="n">
        <v>264.99</v>
      </c>
      <c r="O335" s="44" t="n">
        <v>5.8</v>
      </c>
      <c r="P335" s="43" t="n">
        <f aca="false">O335*'Price Groups'!$B$5</f>
        <v>130.5</v>
      </c>
      <c r="Q335" s="45" t="n">
        <f aca="false">IF(OR(N335="",P335=""),"",(N335-P335)/N335)</f>
        <v>0.507528585984377</v>
      </c>
      <c r="R335" s="46" t="n">
        <v>3</v>
      </c>
      <c r="S335" s="47" t="n">
        <f aca="false">IF(R335="-",0,IFERROR(VLOOKUP(R335,'Price Groups'!$A$13:$C$17,3,FALSE()),0))</f>
        <v>0.16</v>
      </c>
      <c r="T335" s="41" t="n">
        <f aca="false">IF(OR(N335="",R335="-"),"",CEILING(ROUND(N335*(1+S335),2),IF(N335*(1+S335)&lt;100,0.5,IF(N335*(1+S335)&lt;1000,1,5))))</f>
        <v>308</v>
      </c>
      <c r="U335" s="45" t="n">
        <f aca="false">IF(OR(T335="",P335=""),"",(T335-P335)/T335)</f>
        <v>0.576298701298701</v>
      </c>
      <c r="V335" s="45" t="n">
        <f aca="false">IF(T335="",0,T335/N335-1)</f>
        <v>0.16230801162308</v>
      </c>
      <c r="W335" s="38" t="s">
        <v>107</v>
      </c>
    </row>
    <row r="336" customFormat="false" ht="15" hidden="false" customHeight="false" outlineLevel="0" collapsed="false">
      <c r="A336" s="19" t="n">
        <v>285</v>
      </c>
      <c r="B336" s="19" t="s">
        <v>478</v>
      </c>
      <c r="C336" s="19" t="s">
        <v>57</v>
      </c>
      <c r="D336" s="19"/>
      <c r="E336" s="19" t="s">
        <v>58</v>
      </c>
      <c r="F336" s="20" t="n">
        <v>70</v>
      </c>
      <c r="G336" s="20" t="n">
        <v>62</v>
      </c>
      <c r="H336" s="21" t="n">
        <v>15552.24</v>
      </c>
      <c r="I336" s="21" t="n">
        <v>-365.1</v>
      </c>
      <c r="J336" s="21" t="n">
        <v>-3622.85</v>
      </c>
      <c r="K336" s="22" t="n">
        <f aca="false">H336+I336+J336</f>
        <v>11564.29</v>
      </c>
      <c r="L336" s="23" t="n">
        <f aca="false">IF($K$1282=0,0,K336/$K$1282)</f>
        <v>0.000957967717052314</v>
      </c>
      <c r="M336" s="24" t="n">
        <f aca="false">IF(F336&lt;=0,0,K336/F336)</f>
        <v>165.204142857143</v>
      </c>
      <c r="N336" s="21" t="n">
        <v>149.99</v>
      </c>
      <c r="O336" s="49" t="n">
        <v>3.8</v>
      </c>
      <c r="P336" s="24" t="n">
        <f aca="false">O336*'Price Groups'!$B$5</f>
        <v>85.5</v>
      </c>
      <c r="Q336" s="26" t="n">
        <f aca="false">IF(OR(N336="",P336=""),"",(N336-P336)/N336)</f>
        <v>0.429961997466498</v>
      </c>
      <c r="R336" s="27" t="n">
        <v>3</v>
      </c>
      <c r="S336" s="28" t="n">
        <f aca="false">IF(R336="-",0,IFERROR(VLOOKUP(R336,'Price Groups'!$A$13:$C$17,3,FALSE()),0))</f>
        <v>0.16</v>
      </c>
      <c r="T336" s="22" t="n">
        <f aca="false">IF(OR(N336="",R336="-"),"",CEILING(ROUND(N336*(1+S336),2),IF(N336*(1+S336)&lt;100,0.5,IF(N336*(1+S336)&lt;1000,1,5))))</f>
        <v>174</v>
      </c>
      <c r="U336" s="26" t="n">
        <f aca="false">IF(OR(T336="",P336=""),"",(T336-P336)/T336)</f>
        <v>0.508620689655172</v>
      </c>
      <c r="V336" s="26" t="n">
        <f aca="false">IF(T336="",0,T336/N336-1)</f>
        <v>0.160077338489232</v>
      </c>
      <c r="W336" s="19" t="s">
        <v>107</v>
      </c>
    </row>
    <row r="337" customFormat="false" ht="15" hidden="false" customHeight="false" outlineLevel="0" collapsed="false">
      <c r="A337" s="38" t="n">
        <v>286</v>
      </c>
      <c r="B337" s="38" t="s">
        <v>479</v>
      </c>
      <c r="C337" s="38" t="s">
        <v>57</v>
      </c>
      <c r="D337" s="38"/>
      <c r="E337" s="38" t="s">
        <v>58</v>
      </c>
      <c r="F337" s="39" t="n">
        <v>70</v>
      </c>
      <c r="G337" s="39" t="n">
        <v>44</v>
      </c>
      <c r="H337" s="40" t="n">
        <v>1663.35</v>
      </c>
      <c r="I337" s="40" t="n">
        <v>-2.5</v>
      </c>
      <c r="J337" s="40" t="n">
        <v>-291.4</v>
      </c>
      <c r="K337" s="41" t="n">
        <f aca="false">H337+I337+J337</f>
        <v>1369.45</v>
      </c>
      <c r="L337" s="42" t="n">
        <f aca="false">IF($K$1282=0,0,K337/$K$1282)</f>
        <v>0.000113443098548834</v>
      </c>
      <c r="M337" s="43" t="n">
        <f aca="false">IF(F337&lt;=0,0,K337/F337)</f>
        <v>19.5635714285714</v>
      </c>
      <c r="N337" s="40" t="n">
        <v>14</v>
      </c>
      <c r="O337" s="44" t="n">
        <v>0.36</v>
      </c>
      <c r="P337" s="43" t="n">
        <f aca="false">O337*'Price Groups'!$B$5</f>
        <v>8.1</v>
      </c>
      <c r="Q337" s="45" t="n">
        <f aca="false">IF(OR(N337="",P337=""),"",(N337-P337)/N337)</f>
        <v>0.421428571428571</v>
      </c>
      <c r="R337" s="46" t="n">
        <v>1</v>
      </c>
      <c r="S337" s="47" t="n">
        <f aca="false">IF(R337="-",0,IFERROR(VLOOKUP(R337,'Price Groups'!$A$13:$C$17,3,FALSE()),0))</f>
        <v>0.22</v>
      </c>
      <c r="T337" s="41" t="n">
        <f aca="false">IF(OR(N337="",R337="-"),"",CEILING(ROUND(N337*(1+S337),2),IF(N337*(1+S337)&lt;100,0.5,IF(N337*(1+S337)&lt;1000,1,5))))</f>
        <v>17.5</v>
      </c>
      <c r="U337" s="45" t="n">
        <f aca="false">IF(OR(T337="",P337=""),"",(T337-P337)/T337)</f>
        <v>0.537142857142857</v>
      </c>
      <c r="V337" s="45" t="n">
        <f aca="false">IF(T337="",0,T337/N337-1)</f>
        <v>0.25</v>
      </c>
      <c r="W337" s="38" t="s">
        <v>94</v>
      </c>
    </row>
    <row r="338" customFormat="false" ht="15" hidden="false" customHeight="false" outlineLevel="0" collapsed="false">
      <c r="A338" s="19" t="n">
        <v>287</v>
      </c>
      <c r="B338" s="19" t="s">
        <v>480</v>
      </c>
      <c r="C338" s="19" t="s">
        <v>57</v>
      </c>
      <c r="D338" s="19"/>
      <c r="E338" s="19" t="s">
        <v>58</v>
      </c>
      <c r="F338" s="20" t="n">
        <v>69</v>
      </c>
      <c r="G338" s="20" t="n">
        <v>42</v>
      </c>
      <c r="H338" s="21" t="n">
        <v>2338.72</v>
      </c>
      <c r="I338" s="21" t="n">
        <v>-35.32</v>
      </c>
      <c r="J338" s="21" t="n">
        <v>-118</v>
      </c>
      <c r="K338" s="22" t="n">
        <f aca="false">H338+I338+J338</f>
        <v>2185.4</v>
      </c>
      <c r="L338" s="23" t="n">
        <f aca="false">IF($K$1282=0,0,K338/$K$1282)</f>
        <v>0.00018103512181432</v>
      </c>
      <c r="M338" s="24" t="n">
        <f aca="false">IF(F338&lt;=0,0,K338/F338)</f>
        <v>31.6724637681159</v>
      </c>
      <c r="N338" s="21" t="n">
        <v>23.66</v>
      </c>
      <c r="O338" s="49" t="n">
        <v>0.8</v>
      </c>
      <c r="P338" s="24" t="n">
        <f aca="false">O338*'Price Groups'!$B$5</f>
        <v>18</v>
      </c>
      <c r="Q338" s="26" t="n">
        <f aca="false">IF(OR(N338="",P338=""),"",(N338-P338)/N338)</f>
        <v>0.239222316145393</v>
      </c>
      <c r="R338" s="27" t="n">
        <v>1</v>
      </c>
      <c r="S338" s="28" t="n">
        <f aca="false">IF(R338="-",0,IFERROR(VLOOKUP(R338,'Price Groups'!$A$13:$C$17,3,FALSE()),0))</f>
        <v>0.22</v>
      </c>
      <c r="T338" s="22" t="n">
        <f aca="false">IF(OR(N338="",R338="-"),"",CEILING(ROUND(N338*(1+S338),2),IF(N338*(1+S338)&lt;100,0.5,IF(N338*(1+S338)&lt;1000,1,5))))</f>
        <v>29</v>
      </c>
      <c r="U338" s="26" t="n">
        <f aca="false">IF(OR(T338="",P338=""),"",(T338-P338)/T338)</f>
        <v>0.379310344827586</v>
      </c>
      <c r="V338" s="26" t="n">
        <f aca="false">IF(T338="",0,T338/N338-1)</f>
        <v>0.225697379543533</v>
      </c>
      <c r="W338" s="19" t="s">
        <v>244</v>
      </c>
    </row>
    <row r="339" customFormat="false" ht="15" hidden="false" customHeight="false" outlineLevel="0" collapsed="false">
      <c r="A339" s="38" t="n">
        <v>288</v>
      </c>
      <c r="B339" s="38" t="s">
        <v>481</v>
      </c>
      <c r="C339" s="38" t="s">
        <v>57</v>
      </c>
      <c r="D339" s="38"/>
      <c r="E339" s="38" t="s">
        <v>58</v>
      </c>
      <c r="F339" s="39" t="n">
        <v>69</v>
      </c>
      <c r="G339" s="39" t="n">
        <v>59</v>
      </c>
      <c r="H339" s="40" t="n">
        <v>11292.71</v>
      </c>
      <c r="I339" s="40" t="n">
        <v>-124.59</v>
      </c>
      <c r="J339" s="40" t="n">
        <v>-622.82</v>
      </c>
      <c r="K339" s="41" t="n">
        <f aca="false">H339+I339+J339</f>
        <v>10545.3</v>
      </c>
      <c r="L339" s="42" t="n">
        <f aca="false">IF($K$1282=0,0,K339/$K$1282)</f>
        <v>0.000873556177390204</v>
      </c>
      <c r="M339" s="43" t="n">
        <f aca="false">IF(F339&lt;=0,0,K339/F339)</f>
        <v>152.830434782609</v>
      </c>
      <c r="N339" s="40" t="n">
        <v>162.41</v>
      </c>
      <c r="O339" s="44" t="n">
        <v>2.98</v>
      </c>
      <c r="P339" s="43" t="n">
        <f aca="false">O339*'Price Groups'!$B$5</f>
        <v>67.05</v>
      </c>
      <c r="Q339" s="45" t="n">
        <f aca="false">IF(OR(N339="",P339=""),"",(N339-P339)/N339)</f>
        <v>0.587155963302752</v>
      </c>
      <c r="R339" s="46" t="n">
        <v>1</v>
      </c>
      <c r="S339" s="47" t="n">
        <f aca="false">IF(R339="-",0,IFERROR(VLOOKUP(R339,'Price Groups'!$A$13:$C$17,3,FALSE()),0))</f>
        <v>0.22</v>
      </c>
      <c r="T339" s="41" t="n">
        <f aca="false">IF(OR(N339="",R339="-"),"",CEILING(ROUND(N339*(1+S339),2),IF(N339*(1+S339)&lt;100,0.5,IF(N339*(1+S339)&lt;1000,1,5))))</f>
        <v>199</v>
      </c>
      <c r="U339" s="45" t="n">
        <f aca="false">IF(OR(T339="",P339=""),"",(T339-P339)/T339)</f>
        <v>0.663065326633166</v>
      </c>
      <c r="V339" s="45" t="n">
        <f aca="false">IF(T339="",0,T339/N339-1)</f>
        <v>0.225294008989594</v>
      </c>
      <c r="W339" s="38" t="s">
        <v>94</v>
      </c>
    </row>
    <row r="340" customFormat="false" ht="15" hidden="false" customHeight="false" outlineLevel="0" collapsed="false">
      <c r="A340" s="19" t="n">
        <v>289</v>
      </c>
      <c r="B340" s="19" t="s">
        <v>482</v>
      </c>
      <c r="C340" s="19" t="s">
        <v>57</v>
      </c>
      <c r="D340" s="19"/>
      <c r="E340" s="19" t="s">
        <v>58</v>
      </c>
      <c r="F340" s="20" t="n">
        <v>69</v>
      </c>
      <c r="G340" s="20" t="n">
        <v>41</v>
      </c>
      <c r="H340" s="21" t="n">
        <v>12772.49</v>
      </c>
      <c r="I340" s="21" t="n">
        <v>-266.54</v>
      </c>
      <c r="J340" s="21" t="n">
        <v>-1176.64</v>
      </c>
      <c r="K340" s="22" t="n">
        <f aca="false">H340+I340+J340</f>
        <v>11329.31</v>
      </c>
      <c r="L340" s="23" t="n">
        <f aca="false">IF($K$1282=0,0,K340/$K$1282)</f>
        <v>0.000938502340954607</v>
      </c>
      <c r="M340" s="24" t="n">
        <f aca="false">IF(F340&lt;=0,0,K340/F340)</f>
        <v>164.192898550725</v>
      </c>
      <c r="N340" s="21" t="n">
        <v>249.99</v>
      </c>
      <c r="O340" s="49" t="n">
        <v>5.75</v>
      </c>
      <c r="P340" s="24" t="n">
        <f aca="false">O340*'Price Groups'!$B$5</f>
        <v>129.375</v>
      </c>
      <c r="Q340" s="26" t="n">
        <f aca="false">IF(OR(N340="",P340=""),"",(N340-P340)/N340)</f>
        <v>0.482479299171967</v>
      </c>
      <c r="R340" s="27" t="n">
        <v>3</v>
      </c>
      <c r="S340" s="28" t="n">
        <f aca="false">IF(R340="-",0,IFERROR(VLOOKUP(R340,'Price Groups'!$A$13:$C$17,3,FALSE()),0))</f>
        <v>0.16</v>
      </c>
      <c r="T340" s="22" t="n">
        <f aca="false">IF(OR(N340="",R340="-"),"",CEILING(ROUND(N340*(1+S340),2),IF(N340*(1+S340)&lt;100,0.5,IF(N340*(1+S340)&lt;1000,1,5))))</f>
        <v>290</v>
      </c>
      <c r="U340" s="26" t="n">
        <f aca="false">IF(OR(T340="",P340=""),"",(T340-P340)/T340)</f>
        <v>0.553879310344828</v>
      </c>
      <c r="V340" s="26" t="n">
        <f aca="false">IF(T340="",0,T340/N340-1)</f>
        <v>0.160046401856074</v>
      </c>
      <c r="W340" s="19" t="s">
        <v>107</v>
      </c>
    </row>
    <row r="341" customFormat="false" ht="15" hidden="false" customHeight="false" outlineLevel="0" collapsed="false">
      <c r="A341" s="38" t="n">
        <v>290</v>
      </c>
      <c r="B341" s="38" t="s">
        <v>483</v>
      </c>
      <c r="C341" s="38" t="s">
        <v>57</v>
      </c>
      <c r="D341" s="38"/>
      <c r="E341" s="38" t="s">
        <v>58</v>
      </c>
      <c r="F341" s="39" t="n">
        <v>69</v>
      </c>
      <c r="G341" s="39" t="n">
        <v>56</v>
      </c>
      <c r="H341" s="40" t="n">
        <v>36314.37</v>
      </c>
      <c r="I341" s="40" t="n">
        <v>-255.86</v>
      </c>
      <c r="J341" s="40" t="n">
        <v>-5662.83</v>
      </c>
      <c r="K341" s="41" t="n">
        <f aca="false">H341+I341+J341</f>
        <v>30395.68</v>
      </c>
      <c r="L341" s="42" t="n">
        <f aca="false">IF($K$1282=0,0,K341/$K$1282)</f>
        <v>0.00251793064492958</v>
      </c>
      <c r="M341" s="43" t="n">
        <f aca="false">IF(F341&lt;=0,0,K341/F341)</f>
        <v>440.517101449275</v>
      </c>
      <c r="N341" s="40" t="n">
        <v>513</v>
      </c>
      <c r="O341" s="44" t="n">
        <v>6.25</v>
      </c>
      <c r="P341" s="43" t="n">
        <f aca="false">O341*'Price Groups'!$B$5</f>
        <v>140.625</v>
      </c>
      <c r="Q341" s="45" t="n">
        <f aca="false">IF(OR(N341="",P341=""),"",(N341-P341)/N341)</f>
        <v>0.725877192982456</v>
      </c>
      <c r="R341" s="46" t="n">
        <v>3</v>
      </c>
      <c r="S341" s="47" t="n">
        <f aca="false">IF(R341="-",0,IFERROR(VLOOKUP(R341,'Price Groups'!$A$13:$C$17,3,FALSE()),0))</f>
        <v>0.16</v>
      </c>
      <c r="T341" s="41" t="n">
        <f aca="false">IF(OR(N341="",R341="-"),"",CEILING(ROUND(N341*(1+S341),2),IF(N341*(1+S341)&lt;100,0.5,IF(N341*(1+S341)&lt;1000,1,5))))</f>
        <v>596</v>
      </c>
      <c r="U341" s="45" t="n">
        <f aca="false">IF(OR(T341="",P341=""),"",(T341-P341)/T341)</f>
        <v>0.764052013422819</v>
      </c>
      <c r="V341" s="45" t="n">
        <f aca="false">IF(T341="",0,T341/N341-1)</f>
        <v>0.161793372319688</v>
      </c>
      <c r="W341" s="38" t="s">
        <v>107</v>
      </c>
    </row>
    <row r="342" customFormat="false" ht="15" hidden="false" customHeight="false" outlineLevel="0" collapsed="false">
      <c r="A342" s="19" t="n">
        <v>291</v>
      </c>
      <c r="B342" s="19" t="s">
        <v>484</v>
      </c>
      <c r="C342" s="19" t="s">
        <v>57</v>
      </c>
      <c r="D342" s="19"/>
      <c r="E342" s="19" t="s">
        <v>58</v>
      </c>
      <c r="F342" s="20" t="n">
        <v>69</v>
      </c>
      <c r="G342" s="20" t="n">
        <v>40</v>
      </c>
      <c r="H342" s="21" t="n">
        <v>1109</v>
      </c>
      <c r="I342" s="21" t="n">
        <v>-10.9</v>
      </c>
      <c r="J342" s="21" t="n">
        <v>-185</v>
      </c>
      <c r="K342" s="22" t="n">
        <f aca="false">H342+I342+J342</f>
        <v>913.1</v>
      </c>
      <c r="L342" s="23" t="n">
        <f aca="false">IF($K$1282=0,0,K342/$K$1282)</f>
        <v>7.56397774909197E-005</v>
      </c>
      <c r="M342" s="24" t="n">
        <f aca="false">IF(F342&lt;=0,0,K342/F342)</f>
        <v>13.2333333333333</v>
      </c>
      <c r="N342" s="21" t="n">
        <v>19</v>
      </c>
      <c r="O342" s="49" t="n">
        <v>0.19</v>
      </c>
      <c r="P342" s="24" t="n">
        <f aca="false">O342*'Price Groups'!$B$5</f>
        <v>4.275</v>
      </c>
      <c r="Q342" s="26" t="n">
        <f aca="false">IF(OR(N342="",P342=""),"",(N342-P342)/N342)</f>
        <v>0.775</v>
      </c>
      <c r="R342" s="27" t="n">
        <v>1</v>
      </c>
      <c r="S342" s="28" t="n">
        <f aca="false">IF(R342="-",0,IFERROR(VLOOKUP(R342,'Price Groups'!$A$13:$C$17,3,FALSE()),0))</f>
        <v>0.22</v>
      </c>
      <c r="T342" s="22" t="n">
        <f aca="false">IF(OR(N342="",R342="-"),"",CEILING(ROUND(N342*(1+S342),2),IF(N342*(1+S342)&lt;100,0.5,IF(N342*(1+S342)&lt;1000,1,5))))</f>
        <v>23.5</v>
      </c>
      <c r="U342" s="26" t="n">
        <f aca="false">IF(OR(T342="",P342=""),"",(T342-P342)/T342)</f>
        <v>0.818085106382979</v>
      </c>
      <c r="V342" s="26" t="n">
        <f aca="false">IF(T342="",0,T342/N342-1)</f>
        <v>0.236842105263158</v>
      </c>
      <c r="W342" s="19" t="s">
        <v>94</v>
      </c>
    </row>
    <row r="343" customFormat="false" ht="15" hidden="false" customHeight="false" outlineLevel="0" collapsed="false">
      <c r="A343" s="38" t="n">
        <v>292</v>
      </c>
      <c r="B343" s="38" t="s">
        <v>485</v>
      </c>
      <c r="C343" s="38" t="s">
        <v>57</v>
      </c>
      <c r="D343" s="38" t="s">
        <v>486</v>
      </c>
      <c r="E343" s="38" t="s">
        <v>58</v>
      </c>
      <c r="F343" s="39" t="n">
        <v>68</v>
      </c>
      <c r="G343" s="39" t="n">
        <v>42</v>
      </c>
      <c r="H343" s="40" t="n">
        <v>2526.73</v>
      </c>
      <c r="I343" s="40" t="n">
        <v>-45.15</v>
      </c>
      <c r="J343" s="40" t="n">
        <v>-288</v>
      </c>
      <c r="K343" s="41" t="n">
        <f aca="false">H343+I343+J343</f>
        <v>2193.58</v>
      </c>
      <c r="L343" s="42" t="n">
        <f aca="false">IF($K$1282=0,0,K343/$K$1282)</f>
        <v>0.000181712740234949</v>
      </c>
      <c r="M343" s="43" t="n">
        <f aca="false">IF(F343&lt;=0,0,K343/F343)</f>
        <v>32.2585294117647</v>
      </c>
      <c r="N343" s="40" t="n">
        <v>34.99</v>
      </c>
      <c r="O343" s="44" t="n">
        <v>0.58</v>
      </c>
      <c r="P343" s="43" t="n">
        <f aca="false">O343*'Price Groups'!$B$5</f>
        <v>13.05</v>
      </c>
      <c r="Q343" s="45" t="n">
        <f aca="false">IF(OR(N343="",P343=""),"",(N343-P343)/N343)</f>
        <v>0.627036296084596</v>
      </c>
      <c r="R343" s="46" t="n">
        <v>1</v>
      </c>
      <c r="S343" s="47" t="n">
        <f aca="false">IF(R343="-",0,IFERROR(VLOOKUP(R343,'Price Groups'!$A$13:$C$17,3,FALSE()),0))</f>
        <v>0.22</v>
      </c>
      <c r="T343" s="41" t="n">
        <f aca="false">IF(OR(N343="",R343="-"),"",CEILING(ROUND(N343*(1+S343),2),IF(N343*(1+S343)&lt;100,0.5,IF(N343*(1+S343)&lt;1000,1,5))))</f>
        <v>43</v>
      </c>
      <c r="U343" s="45" t="n">
        <f aca="false">IF(OR(T343="",P343=""),"",(T343-P343)/T343)</f>
        <v>0.696511627906977</v>
      </c>
      <c r="V343" s="45" t="n">
        <f aca="false">IF(T343="",0,T343/N343-1)</f>
        <v>0.2289225492998</v>
      </c>
      <c r="W343" s="38" t="s">
        <v>94</v>
      </c>
    </row>
    <row r="344" customFormat="false" ht="15" hidden="false" customHeight="false" outlineLevel="0" collapsed="false">
      <c r="A344" s="19" t="n">
        <v>293</v>
      </c>
      <c r="B344" s="19" t="s">
        <v>487</v>
      </c>
      <c r="C344" s="19" t="s">
        <v>57</v>
      </c>
      <c r="D344" s="19"/>
      <c r="E344" s="19" t="s">
        <v>58</v>
      </c>
      <c r="F344" s="20" t="n">
        <v>67</v>
      </c>
      <c r="G344" s="20" t="n">
        <v>40</v>
      </c>
      <c r="H344" s="21" t="n">
        <v>3999.31</v>
      </c>
      <c r="I344" s="21" t="n">
        <v>-7.41</v>
      </c>
      <c r="J344" s="21" t="n">
        <v>-119.98</v>
      </c>
      <c r="K344" s="22" t="n">
        <f aca="false">H344+I344+J344</f>
        <v>3871.92</v>
      </c>
      <c r="L344" s="23" t="n">
        <f aca="false">IF($K$1282=0,0,K344/$K$1282)</f>
        <v>0.000320743803814086</v>
      </c>
      <c r="M344" s="24" t="n">
        <f aca="false">IF(F344&lt;=0,0,K344/F344)</f>
        <v>57.7898507462687</v>
      </c>
      <c r="N344" s="21" t="n">
        <v>59.99</v>
      </c>
      <c r="O344" s="49" t="n">
        <v>1.48</v>
      </c>
      <c r="P344" s="24" t="n">
        <f aca="false">O344*'Price Groups'!$B$5</f>
        <v>33.3</v>
      </c>
      <c r="Q344" s="26" t="n">
        <f aca="false">IF(OR(N344="",P344=""),"",(N344-P344)/N344)</f>
        <v>0.444907484580764</v>
      </c>
      <c r="R344" s="27" t="n">
        <v>1</v>
      </c>
      <c r="S344" s="28" t="n">
        <f aca="false">IF(R344="-",0,IFERROR(VLOOKUP(R344,'Price Groups'!$A$13:$C$17,3,FALSE()),0))</f>
        <v>0.22</v>
      </c>
      <c r="T344" s="22" t="n">
        <f aca="false">IF(OR(N344="",R344="-"),"",CEILING(ROUND(N344*(1+S344),2),IF(N344*(1+S344)&lt;100,0.5,IF(N344*(1+S344)&lt;1000,1,5))))</f>
        <v>73.5</v>
      </c>
      <c r="U344" s="26" t="n">
        <f aca="false">IF(OR(T344="",P344=""),"",(T344-P344)/T344)</f>
        <v>0.546938775510204</v>
      </c>
      <c r="V344" s="26" t="n">
        <f aca="false">IF(T344="",0,T344/N344-1)</f>
        <v>0.225204200700117</v>
      </c>
      <c r="W344" s="19" t="s">
        <v>94</v>
      </c>
    </row>
    <row r="345" customFormat="false" ht="15" hidden="false" customHeight="false" outlineLevel="0" collapsed="false">
      <c r="A345" s="38" t="n">
        <v>294</v>
      </c>
      <c r="B345" s="38" t="s">
        <v>488</v>
      </c>
      <c r="C345" s="38" t="s">
        <v>57</v>
      </c>
      <c r="D345" s="38"/>
      <c r="E345" s="38" t="s">
        <v>58</v>
      </c>
      <c r="F345" s="39" t="n">
        <v>67</v>
      </c>
      <c r="G345" s="39" t="n">
        <v>35</v>
      </c>
      <c r="H345" s="40" t="n">
        <v>3974.33</v>
      </c>
      <c r="I345" s="40" t="n">
        <v>-53.91</v>
      </c>
      <c r="J345" s="40" t="n">
        <v>0</v>
      </c>
      <c r="K345" s="41" t="n">
        <f aca="false">H345+I345+J345</f>
        <v>3920.42</v>
      </c>
      <c r="L345" s="42" t="n">
        <f aca="false">IF($K$1282=0,0,K345/$K$1282)</f>
        <v>0.000324761468043973</v>
      </c>
      <c r="M345" s="43" t="n">
        <f aca="false">IF(F345&lt;=0,0,K345/F345)</f>
        <v>58.5137313432836</v>
      </c>
      <c r="N345" s="40" t="n">
        <v>59.99</v>
      </c>
      <c r="O345" s="44" t="n">
        <v>1.48</v>
      </c>
      <c r="P345" s="43" t="n">
        <f aca="false">O345*'Price Groups'!$B$5</f>
        <v>33.3</v>
      </c>
      <c r="Q345" s="45" t="n">
        <f aca="false">IF(OR(N345="",P345=""),"",(N345-P345)/N345)</f>
        <v>0.444907484580764</v>
      </c>
      <c r="R345" s="46" t="n">
        <v>1</v>
      </c>
      <c r="S345" s="47" t="n">
        <f aca="false">IF(R345="-",0,IFERROR(VLOOKUP(R345,'Price Groups'!$A$13:$C$17,3,FALSE()),0))</f>
        <v>0.22</v>
      </c>
      <c r="T345" s="41" t="n">
        <f aca="false">IF(OR(N345="",R345="-"),"",CEILING(ROUND(N345*(1+S345),2),IF(N345*(1+S345)&lt;100,0.5,IF(N345*(1+S345)&lt;1000,1,5))))</f>
        <v>73.5</v>
      </c>
      <c r="U345" s="45" t="n">
        <f aca="false">IF(OR(T345="",P345=""),"",(T345-P345)/T345)</f>
        <v>0.546938775510204</v>
      </c>
      <c r="V345" s="45" t="n">
        <f aca="false">IF(T345="",0,T345/N345-1)</f>
        <v>0.225204200700117</v>
      </c>
      <c r="W345" s="38" t="s">
        <v>94</v>
      </c>
    </row>
    <row r="346" customFormat="false" ht="15" hidden="false" customHeight="false" outlineLevel="0" collapsed="false">
      <c r="A346" s="19" t="n">
        <v>295</v>
      </c>
      <c r="B346" s="19" t="s">
        <v>489</v>
      </c>
      <c r="C346" s="19" t="s">
        <v>57</v>
      </c>
      <c r="D346" s="19"/>
      <c r="E346" s="19" t="s">
        <v>58</v>
      </c>
      <c r="F346" s="20" t="n">
        <v>67</v>
      </c>
      <c r="G346" s="20" t="n">
        <v>47</v>
      </c>
      <c r="H346" s="21" t="n">
        <v>12956</v>
      </c>
      <c r="I346" s="21" t="n">
        <v>-130.1</v>
      </c>
      <c r="J346" s="21" t="n">
        <v>-966.54</v>
      </c>
      <c r="K346" s="22" t="n">
        <f aca="false">H346+I346+J346</f>
        <v>11859.36</v>
      </c>
      <c r="L346" s="23" t="n">
        <f aca="false">IF($K$1282=0,0,K346/$K$1282)</f>
        <v>0.000982410854873194</v>
      </c>
      <c r="M346" s="24" t="n">
        <f aca="false">IF(F346&lt;=0,0,K346/F346)</f>
        <v>177.005373134328</v>
      </c>
      <c r="N346" s="21" t="n">
        <v>116</v>
      </c>
      <c r="O346" s="49" t="n">
        <v>3.62</v>
      </c>
      <c r="P346" s="24" t="n">
        <f aca="false">O346*'Price Groups'!$B$5</f>
        <v>81.45</v>
      </c>
      <c r="Q346" s="26" t="n">
        <f aca="false">IF(OR(N346="",P346=""),"",(N346-P346)/N346)</f>
        <v>0.297844827586207</v>
      </c>
      <c r="R346" s="27" t="n">
        <v>2</v>
      </c>
      <c r="S346" s="28" t="n">
        <f aca="false">IF(R346="-",0,IFERROR(VLOOKUP(R346,'Price Groups'!$A$13:$C$17,3,FALSE()),0))</f>
        <v>0.18</v>
      </c>
      <c r="T346" s="22" t="n">
        <f aca="false">IF(OR(N346="",R346="-"),"",CEILING(ROUND(N346*(1+S346),2),IF(N346*(1+S346)&lt;100,0.5,IF(N346*(1+S346)&lt;1000,1,5))))</f>
        <v>137</v>
      </c>
      <c r="U346" s="26" t="n">
        <f aca="false">IF(OR(T346="",P346=""),"",(T346-P346)/T346)</f>
        <v>0.405474452554745</v>
      </c>
      <c r="V346" s="26" t="n">
        <f aca="false">IF(T346="",0,T346/N346-1)</f>
        <v>0.181034482758621</v>
      </c>
      <c r="W346" s="19" t="s">
        <v>381</v>
      </c>
    </row>
    <row r="347" customFormat="false" ht="15" hidden="false" customHeight="false" outlineLevel="0" collapsed="false">
      <c r="A347" s="38" t="n">
        <v>296</v>
      </c>
      <c r="B347" s="38" t="s">
        <v>293</v>
      </c>
      <c r="C347" s="38" t="s">
        <v>307</v>
      </c>
      <c r="D347" s="38" t="s">
        <v>292</v>
      </c>
      <c r="E347" s="38" t="s">
        <v>58</v>
      </c>
      <c r="F347" s="39" t="n">
        <v>67</v>
      </c>
      <c r="G347" s="39" t="n">
        <v>47</v>
      </c>
      <c r="H347" s="40" t="n">
        <v>84200</v>
      </c>
      <c r="I347" s="40" t="n">
        <v>-510.17</v>
      </c>
      <c r="J347" s="40" t="n">
        <v>-4800</v>
      </c>
      <c r="K347" s="41" t="n">
        <f aca="false">H347+I347+J347</f>
        <v>78889.83</v>
      </c>
      <c r="L347" s="42" t="n">
        <f aca="false">IF($K$1282=0,0,K347/$K$1282)</f>
        <v>0.00653511026995562</v>
      </c>
      <c r="M347" s="43" t="n">
        <f aca="false">IF(F347&lt;=0,0,K347/F347)</f>
        <v>1177.46014925373</v>
      </c>
      <c r="N347" s="40" t="n">
        <v>1000</v>
      </c>
      <c r="O347" s="44" t="n">
        <v>24.7</v>
      </c>
      <c r="P347" s="43" t="n">
        <f aca="false">O347*'Price Groups'!$B$5</f>
        <v>555.75</v>
      </c>
      <c r="Q347" s="45" t="n">
        <f aca="false">IF(OR(N347="",P347=""),"",(N347-P347)/N347)</f>
        <v>0.44425</v>
      </c>
      <c r="R347" s="46" t="n">
        <v>4</v>
      </c>
      <c r="S347" s="47" t="n">
        <f aca="false">IF(R347="-",0,IFERROR(VLOOKUP(R347,'Price Groups'!$A$13:$C$17,3,FALSE()),0))</f>
        <v>0.15</v>
      </c>
      <c r="T347" s="41" t="n">
        <f aca="false">IF(OR(N347="",R347="-"),"",CEILING(ROUND(N347*(1+S347),2),IF(N347*(1+S347)&lt;100,0.5,IF(N347*(1+S347)&lt;1000,1,5))))</f>
        <v>1150</v>
      </c>
      <c r="U347" s="45" t="n">
        <f aca="false">IF(OR(T347="",P347=""),"",(T347-P347)/T347)</f>
        <v>0.516739130434783</v>
      </c>
      <c r="V347" s="45" t="n">
        <f aca="false">IF(T347="",0,T347/N347-1)</f>
        <v>0.15</v>
      </c>
      <c r="W347" s="38" t="s">
        <v>490</v>
      </c>
    </row>
    <row r="348" customFormat="false" ht="15" hidden="false" customHeight="false" outlineLevel="0" collapsed="false">
      <c r="A348" s="19" t="n">
        <v>297</v>
      </c>
      <c r="B348" s="19" t="s">
        <v>491</v>
      </c>
      <c r="C348" s="19" t="s">
        <v>57</v>
      </c>
      <c r="D348" s="19"/>
      <c r="E348" s="19" t="s">
        <v>58</v>
      </c>
      <c r="F348" s="20" t="n">
        <v>67</v>
      </c>
      <c r="G348" s="20" t="n">
        <v>23</v>
      </c>
      <c r="H348" s="21" t="n">
        <v>2679.55</v>
      </c>
      <c r="I348" s="21" t="n">
        <v>-112.16</v>
      </c>
      <c r="J348" s="21" t="n">
        <v>-620</v>
      </c>
      <c r="K348" s="22" t="n">
        <f aca="false">H348+I348+J348</f>
        <v>1947.39</v>
      </c>
      <c r="L348" s="23" t="n">
        <f aca="false">IF($K$1282=0,0,K348/$K$1282)</f>
        <v>0.000161318745250293</v>
      </c>
      <c r="M348" s="24" t="n">
        <f aca="false">IF(F348&lt;=0,0,K348/F348)</f>
        <v>29.0655223880597</v>
      </c>
      <c r="N348" s="21" t="n">
        <v>32.4</v>
      </c>
      <c r="O348" s="49" t="n">
        <v>0.58</v>
      </c>
      <c r="P348" s="24" t="n">
        <f aca="false">O348*'Price Groups'!$B$5</f>
        <v>13.05</v>
      </c>
      <c r="Q348" s="26" t="n">
        <f aca="false">IF(OR(N348="",P348=""),"",(N348-P348)/N348)</f>
        <v>0.597222222222222</v>
      </c>
      <c r="R348" s="27" t="n">
        <v>1</v>
      </c>
      <c r="S348" s="28" t="n">
        <f aca="false">IF(R348="-",0,IFERROR(VLOOKUP(R348,'Price Groups'!$A$13:$C$17,3,FALSE()),0))</f>
        <v>0.22</v>
      </c>
      <c r="T348" s="22" t="n">
        <f aca="false">IF(OR(N348="",R348="-"),"",CEILING(ROUND(N348*(1+S348),2),IF(N348*(1+S348)&lt;100,0.5,IF(N348*(1+S348)&lt;1000,1,5))))</f>
        <v>40</v>
      </c>
      <c r="U348" s="26" t="n">
        <f aca="false">IF(OR(T348="",P348=""),"",(T348-P348)/T348)</f>
        <v>0.67375</v>
      </c>
      <c r="V348" s="26" t="n">
        <f aca="false">IF(T348="",0,T348/N348-1)</f>
        <v>0.234567901234568</v>
      </c>
      <c r="W348" s="19" t="s">
        <v>94</v>
      </c>
    </row>
    <row r="349" customFormat="false" ht="15" hidden="false" customHeight="false" outlineLevel="0" collapsed="false">
      <c r="A349" s="38" t="n">
        <v>298</v>
      </c>
      <c r="B349" s="38" t="s">
        <v>492</v>
      </c>
      <c r="C349" s="38" t="s">
        <v>57</v>
      </c>
      <c r="D349" s="38"/>
      <c r="E349" s="38" t="s">
        <v>58</v>
      </c>
      <c r="F349" s="39" t="n">
        <v>66</v>
      </c>
      <c r="G349" s="39" t="n">
        <v>45</v>
      </c>
      <c r="H349" s="40" t="n">
        <v>17471.68</v>
      </c>
      <c r="I349" s="40" t="n">
        <v>-143.44</v>
      </c>
      <c r="J349" s="40" t="n">
        <v>-1218.64</v>
      </c>
      <c r="K349" s="41" t="n">
        <f aca="false">H349+I349+J349</f>
        <v>16109.6</v>
      </c>
      <c r="L349" s="42" t="n">
        <f aca="false">IF($K$1282=0,0,K349/$K$1282)</f>
        <v>0.00133449409644915</v>
      </c>
      <c r="M349" s="43" t="n">
        <f aca="false">IF(F349&lt;=0,0,K349/F349)</f>
        <v>244.084848484849</v>
      </c>
      <c r="N349" s="40" t="n">
        <v>249.99</v>
      </c>
      <c r="O349" s="44" t="n">
        <v>5.17</v>
      </c>
      <c r="P349" s="43" t="n">
        <f aca="false">O349*'Price Groups'!$B$5</f>
        <v>116.325</v>
      </c>
      <c r="Q349" s="45" t="n">
        <f aca="false">IF(OR(N349="",P349=""),"",(N349-P349)/N349)</f>
        <v>0.53468138725549</v>
      </c>
      <c r="R349" s="46" t="n">
        <v>3</v>
      </c>
      <c r="S349" s="47" t="n">
        <f aca="false">IF(R349="-",0,IFERROR(VLOOKUP(R349,'Price Groups'!$A$13:$C$17,3,FALSE()),0))</f>
        <v>0.16</v>
      </c>
      <c r="T349" s="41" t="n">
        <f aca="false">IF(OR(N349="",R349="-"),"",CEILING(ROUND(N349*(1+S349),2),IF(N349*(1+S349)&lt;100,0.5,IF(N349*(1+S349)&lt;1000,1,5))))</f>
        <v>290</v>
      </c>
      <c r="U349" s="45" t="n">
        <f aca="false">IF(OR(T349="",P349=""),"",(T349-P349)/T349)</f>
        <v>0.598879310344828</v>
      </c>
      <c r="V349" s="45" t="n">
        <f aca="false">IF(T349="",0,T349/N349-1)</f>
        <v>0.160046401856074</v>
      </c>
      <c r="W349" s="38" t="s">
        <v>107</v>
      </c>
    </row>
    <row r="350" customFormat="false" ht="15" hidden="false" customHeight="false" outlineLevel="0" collapsed="false">
      <c r="A350" s="19" t="n">
        <v>299</v>
      </c>
      <c r="B350" s="19" t="s">
        <v>493</v>
      </c>
      <c r="C350" s="19" t="s">
        <v>57</v>
      </c>
      <c r="D350" s="19"/>
      <c r="E350" s="19" t="s">
        <v>58</v>
      </c>
      <c r="F350" s="20" t="n">
        <v>66</v>
      </c>
      <c r="G350" s="20" t="n">
        <v>30</v>
      </c>
      <c r="H350" s="21" t="n">
        <v>2083.64</v>
      </c>
      <c r="I350" s="21" t="n">
        <v>-19.04</v>
      </c>
      <c r="J350" s="21" t="n">
        <v>-78.99</v>
      </c>
      <c r="K350" s="22" t="n">
        <f aca="false">H350+I350+J350</f>
        <v>1985.61</v>
      </c>
      <c r="L350" s="23" t="n">
        <f aca="false">IF($K$1282=0,0,K350/$K$1282)</f>
        <v>0.000164484830340319</v>
      </c>
      <c r="M350" s="24" t="n">
        <f aca="false">IF(F350&lt;=0,0,K350/F350)</f>
        <v>30.085</v>
      </c>
      <c r="N350" s="21" t="n">
        <v>26.33</v>
      </c>
      <c r="O350" s="49" t="n">
        <v>0.89</v>
      </c>
      <c r="P350" s="24" t="n">
        <f aca="false">O350*'Price Groups'!$B$5</f>
        <v>20.025</v>
      </c>
      <c r="Q350" s="26" t="n">
        <f aca="false">IF(OR(N350="",P350=""),"",(N350-P350)/N350)</f>
        <v>0.239460691226738</v>
      </c>
      <c r="R350" s="27" t="n">
        <v>1</v>
      </c>
      <c r="S350" s="28" t="n">
        <f aca="false">IF(R350="-",0,IFERROR(VLOOKUP(R350,'Price Groups'!$A$13:$C$17,3,FALSE()),0))</f>
        <v>0.22</v>
      </c>
      <c r="T350" s="22" t="n">
        <f aca="false">IF(OR(N350="",R350="-"),"",CEILING(ROUND(N350*(1+S350),2),IF(N350*(1+S350)&lt;100,0.5,IF(N350*(1+S350)&lt;1000,1,5))))</f>
        <v>32.5</v>
      </c>
      <c r="U350" s="26" t="n">
        <f aca="false">IF(OR(T350="",P350=""),"",(T350-P350)/T350)</f>
        <v>0.383846153846154</v>
      </c>
      <c r="V350" s="26" t="n">
        <f aca="false">IF(T350="",0,T350/N350-1)</f>
        <v>0.234333459931637</v>
      </c>
      <c r="W350" s="19" t="s">
        <v>244</v>
      </c>
    </row>
    <row r="351" customFormat="false" ht="15" hidden="false" customHeight="false" outlineLevel="0" collapsed="false">
      <c r="A351" s="38" t="n">
        <v>300</v>
      </c>
      <c r="B351" s="38" t="s">
        <v>494</v>
      </c>
      <c r="C351" s="38" t="s">
        <v>57</v>
      </c>
      <c r="D351" s="38"/>
      <c r="E351" s="38" t="s">
        <v>58</v>
      </c>
      <c r="F351" s="39" t="n">
        <v>65</v>
      </c>
      <c r="G351" s="39" t="n">
        <v>44</v>
      </c>
      <c r="H351" s="40" t="n">
        <v>18163.27</v>
      </c>
      <c r="I351" s="40" t="n">
        <v>-57.9</v>
      </c>
      <c r="J351" s="40" t="n">
        <v>-1232</v>
      </c>
      <c r="K351" s="41" t="n">
        <f aca="false">H351+I351+J351</f>
        <v>16873.37</v>
      </c>
      <c r="L351" s="42" t="n">
        <f aca="false">IF($K$1282=0,0,K351/$K$1282)</f>
        <v>0.00139776361003391</v>
      </c>
      <c r="M351" s="43" t="n">
        <f aca="false">IF(F351&lt;=0,0,K351/F351)</f>
        <v>259.590307692308</v>
      </c>
      <c r="N351" s="40" t="n">
        <v>220</v>
      </c>
      <c r="O351" s="44" t="n">
        <v>4.6</v>
      </c>
      <c r="P351" s="43" t="n">
        <f aca="false">O351*'Price Groups'!$B$5</f>
        <v>103.5</v>
      </c>
      <c r="Q351" s="45" t="n">
        <f aca="false">IF(OR(N351="",P351=""),"",(N351-P351)/N351)</f>
        <v>0.529545454545455</v>
      </c>
      <c r="R351" s="46" t="n">
        <v>3</v>
      </c>
      <c r="S351" s="47" t="n">
        <f aca="false">IF(R351="-",0,IFERROR(VLOOKUP(R351,'Price Groups'!$A$13:$C$17,3,FALSE()),0))</f>
        <v>0.16</v>
      </c>
      <c r="T351" s="41" t="n">
        <f aca="false">IF(OR(N351="",R351="-"),"",CEILING(ROUND(N351*(1+S351),2),IF(N351*(1+S351)&lt;100,0.5,IF(N351*(1+S351)&lt;1000,1,5))))</f>
        <v>256</v>
      </c>
      <c r="U351" s="45" t="n">
        <f aca="false">IF(OR(T351="",P351=""),"",(T351-P351)/T351)</f>
        <v>0.595703125</v>
      </c>
      <c r="V351" s="45" t="n">
        <f aca="false">IF(T351="",0,T351/N351-1)</f>
        <v>0.163636363636364</v>
      </c>
      <c r="W351" s="38" t="s">
        <v>107</v>
      </c>
    </row>
    <row r="352" customFormat="false" ht="15" hidden="false" customHeight="false" outlineLevel="0" collapsed="false">
      <c r="A352" s="19" t="n">
        <v>301</v>
      </c>
      <c r="B352" s="19" t="s">
        <v>495</v>
      </c>
      <c r="C352" s="19" t="s">
        <v>57</v>
      </c>
      <c r="D352" s="19"/>
      <c r="E352" s="19" t="s">
        <v>58</v>
      </c>
      <c r="F352" s="20" t="n">
        <v>65</v>
      </c>
      <c r="G352" s="20" t="n">
        <v>47</v>
      </c>
      <c r="H352" s="21" t="n">
        <v>1986.5</v>
      </c>
      <c r="I352" s="21" t="n">
        <v>-20.66</v>
      </c>
      <c r="J352" s="21" t="n">
        <v>-87</v>
      </c>
      <c r="K352" s="22" t="n">
        <f aca="false">H352+I352+J352</f>
        <v>1878.84</v>
      </c>
      <c r="L352" s="23" t="n">
        <f aca="false">IF($K$1282=0,0,K352/$K$1282)</f>
        <v>0.000155640170343927</v>
      </c>
      <c r="M352" s="24" t="n">
        <f aca="false">IF(F352&lt;=0,0,K352/F352)</f>
        <v>28.9052307692308</v>
      </c>
      <c r="N352" s="21" t="n">
        <v>30.45</v>
      </c>
      <c r="O352" s="49" t="n">
        <v>0.65</v>
      </c>
      <c r="P352" s="24" t="n">
        <f aca="false">O352*'Price Groups'!$B$5</f>
        <v>14.625</v>
      </c>
      <c r="Q352" s="26" t="n">
        <f aca="false">IF(OR(N352="",P352=""),"",(N352-P352)/N352)</f>
        <v>0.519704433497537</v>
      </c>
      <c r="R352" s="27" t="n">
        <v>1</v>
      </c>
      <c r="S352" s="28" t="n">
        <f aca="false">IF(R352="-",0,IFERROR(VLOOKUP(R352,'Price Groups'!$A$13:$C$17,3,FALSE()),0))</f>
        <v>0.22</v>
      </c>
      <c r="T352" s="22" t="n">
        <f aca="false">IF(OR(N352="",R352="-"),"",CEILING(ROUND(N352*(1+S352),2),IF(N352*(1+S352)&lt;100,0.5,IF(N352*(1+S352)&lt;1000,1,5))))</f>
        <v>37.5</v>
      </c>
      <c r="U352" s="26" t="n">
        <f aca="false">IF(OR(T352="",P352=""),"",(T352-P352)/T352)</f>
        <v>0.61</v>
      </c>
      <c r="V352" s="26" t="n">
        <f aca="false">IF(T352="",0,T352/N352-1)</f>
        <v>0.231527093596059</v>
      </c>
      <c r="W352" s="19" t="s">
        <v>94</v>
      </c>
    </row>
    <row r="353" customFormat="false" ht="15" hidden="false" customHeight="false" outlineLevel="0" collapsed="false">
      <c r="A353" s="38" t="n">
        <v>302</v>
      </c>
      <c r="B353" s="38" t="s">
        <v>496</v>
      </c>
      <c r="C353" s="38" t="s">
        <v>57</v>
      </c>
      <c r="D353" s="38"/>
      <c r="E353" s="38" t="s">
        <v>58</v>
      </c>
      <c r="F353" s="39" t="n">
        <v>64</v>
      </c>
      <c r="G353" s="39" t="n">
        <v>53</v>
      </c>
      <c r="H353" s="40" t="n">
        <v>4239.61</v>
      </c>
      <c r="I353" s="40" t="n">
        <v>-28.55</v>
      </c>
      <c r="J353" s="40" t="n">
        <v>-228.35</v>
      </c>
      <c r="K353" s="41" t="n">
        <f aca="false">H353+I353+J353</f>
        <v>3982.71</v>
      </c>
      <c r="L353" s="42" t="n">
        <f aca="false">IF($K$1282=0,0,K353/$K$1282)</f>
        <v>0.000329921474330151</v>
      </c>
      <c r="M353" s="43" t="n">
        <f aca="false">IF(F353&lt;=0,0,K353/F353)</f>
        <v>62.22984375</v>
      </c>
      <c r="N353" s="40" t="n">
        <v>69</v>
      </c>
      <c r="O353" s="44" t="n">
        <v>1.41</v>
      </c>
      <c r="P353" s="43" t="n">
        <f aca="false">O353*'Price Groups'!$B$5</f>
        <v>31.725</v>
      </c>
      <c r="Q353" s="45" t="n">
        <f aca="false">IF(OR(N353="",P353=""),"",(N353-P353)/N353)</f>
        <v>0.540217391304348</v>
      </c>
      <c r="R353" s="46" t="n">
        <v>1</v>
      </c>
      <c r="S353" s="47" t="n">
        <f aca="false">IF(R353="-",0,IFERROR(VLOOKUP(R353,'Price Groups'!$A$13:$C$17,3,FALSE()),0))</f>
        <v>0.22</v>
      </c>
      <c r="T353" s="41" t="n">
        <f aca="false">IF(OR(N353="",R353="-"),"",CEILING(ROUND(N353*(1+S353),2),IF(N353*(1+S353)&lt;100,0.5,IF(N353*(1+S353)&lt;1000,1,5))))</f>
        <v>84.5</v>
      </c>
      <c r="U353" s="45" t="n">
        <f aca="false">IF(OR(T353="",P353=""),"",(T353-P353)/T353)</f>
        <v>0.624556213017752</v>
      </c>
      <c r="V353" s="45" t="n">
        <f aca="false">IF(T353="",0,T353/N353-1)</f>
        <v>0.22463768115942</v>
      </c>
      <c r="W353" s="38" t="s">
        <v>94</v>
      </c>
    </row>
    <row r="354" customFormat="false" ht="15" hidden="false" customHeight="false" outlineLevel="0" collapsed="false">
      <c r="A354" s="19" t="n">
        <v>303</v>
      </c>
      <c r="B354" s="19" t="s">
        <v>497</v>
      </c>
      <c r="C354" s="19" t="s">
        <v>57</v>
      </c>
      <c r="D354" s="19"/>
      <c r="E354" s="19" t="s">
        <v>58</v>
      </c>
      <c r="F354" s="20" t="n">
        <v>64</v>
      </c>
      <c r="G354" s="20" t="n">
        <v>37</v>
      </c>
      <c r="H354" s="21" t="n">
        <v>2676</v>
      </c>
      <c r="I354" s="21" t="n">
        <v>-26.87</v>
      </c>
      <c r="J354" s="21" t="n">
        <v>-164</v>
      </c>
      <c r="K354" s="22" t="n">
        <f aca="false">H354+I354+J354</f>
        <v>2485.13</v>
      </c>
      <c r="L354" s="23" t="n">
        <f aca="false">IF($K$1282=0,0,K354/$K$1282)</f>
        <v>0.000205864286755021</v>
      </c>
      <c r="M354" s="24" t="n">
        <f aca="false">IF(F354&lt;=0,0,K354/F354)</f>
        <v>38.83015625</v>
      </c>
      <c r="N354" s="21" t="n">
        <v>45</v>
      </c>
      <c r="O354" s="49" t="n">
        <v>0.62</v>
      </c>
      <c r="P354" s="24" t="n">
        <f aca="false">O354*'Price Groups'!$B$5</f>
        <v>13.95</v>
      </c>
      <c r="Q354" s="26" t="n">
        <f aca="false">IF(OR(N354="",P354=""),"",(N354-P354)/N354)</f>
        <v>0.69</v>
      </c>
      <c r="R354" s="27" t="n">
        <v>1</v>
      </c>
      <c r="S354" s="28" t="n">
        <f aca="false">IF(R354="-",0,IFERROR(VLOOKUP(R354,'Price Groups'!$A$13:$C$17,3,FALSE()),0))</f>
        <v>0.22</v>
      </c>
      <c r="T354" s="22" t="n">
        <f aca="false">IF(OR(N354="",R354="-"),"",CEILING(ROUND(N354*(1+S354),2),IF(N354*(1+S354)&lt;100,0.5,IF(N354*(1+S354)&lt;1000,1,5))))</f>
        <v>55</v>
      </c>
      <c r="U354" s="26" t="n">
        <f aca="false">IF(OR(T354="",P354=""),"",(T354-P354)/T354)</f>
        <v>0.746363636363636</v>
      </c>
      <c r="V354" s="26" t="n">
        <f aca="false">IF(T354="",0,T354/N354-1)</f>
        <v>0.222222222222222</v>
      </c>
      <c r="W354" s="19" t="s">
        <v>94</v>
      </c>
    </row>
    <row r="355" customFormat="false" ht="15" hidden="false" customHeight="false" outlineLevel="0" collapsed="false">
      <c r="A355" s="38" t="n">
        <v>304</v>
      </c>
      <c r="B355" s="38" t="s">
        <v>498</v>
      </c>
      <c r="C355" s="38" t="s">
        <v>57</v>
      </c>
      <c r="D355" s="38"/>
      <c r="E355" s="38" t="s">
        <v>58</v>
      </c>
      <c r="F355" s="39" t="n">
        <v>64</v>
      </c>
      <c r="G355" s="39" t="n">
        <v>49</v>
      </c>
      <c r="H355" s="40" t="n">
        <v>14313.55</v>
      </c>
      <c r="I355" s="40" t="n">
        <v>-174.81</v>
      </c>
      <c r="J355" s="40" t="n">
        <v>-643.38</v>
      </c>
      <c r="K355" s="41" t="n">
        <f aca="false">H355+I355+J355</f>
        <v>13495.36</v>
      </c>
      <c r="L355" s="42" t="n">
        <f aca="false">IF($K$1282=0,0,K355/$K$1282)</f>
        <v>0.00111793453899886</v>
      </c>
      <c r="M355" s="43" t="n">
        <f aca="false">IF(F355&lt;=0,0,K355/F355)</f>
        <v>210.865</v>
      </c>
      <c r="N355" s="40" t="n">
        <v>214.46</v>
      </c>
      <c r="O355" s="44" t="n">
        <v>4.67</v>
      </c>
      <c r="P355" s="43" t="n">
        <f aca="false">O355*'Price Groups'!$B$5</f>
        <v>105.075</v>
      </c>
      <c r="Q355" s="45" t="n">
        <f aca="false">IF(OR(N355="",P355=""),"",(N355-P355)/N355)</f>
        <v>0.510048493891635</v>
      </c>
      <c r="R355" s="46" t="n">
        <v>3</v>
      </c>
      <c r="S355" s="47" t="n">
        <f aca="false">IF(R355="-",0,IFERROR(VLOOKUP(R355,'Price Groups'!$A$13:$C$17,3,FALSE()),0))</f>
        <v>0.16</v>
      </c>
      <c r="T355" s="41" t="n">
        <f aca="false">IF(OR(N355="",R355="-"),"",CEILING(ROUND(N355*(1+S355),2),IF(N355*(1+S355)&lt;100,0.5,IF(N355*(1+S355)&lt;1000,1,5))))</f>
        <v>249</v>
      </c>
      <c r="U355" s="45" t="n">
        <f aca="false">IF(OR(T355="",P355=""),"",(T355-P355)/T355)</f>
        <v>0.578012048192771</v>
      </c>
      <c r="V355" s="45" t="n">
        <f aca="false">IF(T355="",0,T355/N355-1)</f>
        <v>0.161055674717896</v>
      </c>
      <c r="W355" s="38" t="s">
        <v>107</v>
      </c>
    </row>
    <row r="356" customFormat="false" ht="15" hidden="false" customHeight="false" outlineLevel="0" collapsed="false">
      <c r="A356" s="19" t="n">
        <v>305</v>
      </c>
      <c r="B356" s="19" t="s">
        <v>499</v>
      </c>
      <c r="C356" s="19" t="s">
        <v>57</v>
      </c>
      <c r="D356" s="19"/>
      <c r="E356" s="19" t="s">
        <v>58</v>
      </c>
      <c r="F356" s="20" t="n">
        <v>64</v>
      </c>
      <c r="G356" s="20" t="n">
        <v>15</v>
      </c>
      <c r="H356" s="21" t="n">
        <v>9767.36</v>
      </c>
      <c r="I356" s="21" t="n">
        <v>-14.99</v>
      </c>
      <c r="J356" s="21" t="n">
        <v>0</v>
      </c>
      <c r="K356" s="22" t="n">
        <f aca="false">H356+I356+J356</f>
        <v>9752.37</v>
      </c>
      <c r="L356" s="23" t="n">
        <f aca="false">IF($K$1282=0,0,K356/$K$1282)</f>
        <v>0.000807871094961253</v>
      </c>
      <c r="M356" s="24" t="n">
        <f aca="false">IF(F356&lt;=0,0,K356/F356)</f>
        <v>152.38078125</v>
      </c>
      <c r="N356" s="21" t="n">
        <v>161.99</v>
      </c>
      <c r="O356" s="49" t="n">
        <v>3.18</v>
      </c>
      <c r="P356" s="24" t="n">
        <f aca="false">O356*'Price Groups'!$B$5</f>
        <v>71.55</v>
      </c>
      <c r="Q356" s="26" t="n">
        <f aca="false">IF(OR(N356="",P356=""),"",(N356-P356)/N356)</f>
        <v>0.55830606827582</v>
      </c>
      <c r="R356" s="27" t="n">
        <v>1</v>
      </c>
      <c r="S356" s="28" t="n">
        <f aca="false">IF(R356="-",0,IFERROR(VLOOKUP(R356,'Price Groups'!$A$13:$C$17,3,FALSE()),0))</f>
        <v>0.22</v>
      </c>
      <c r="T356" s="22" t="n">
        <f aca="false">IF(OR(N356="",R356="-"),"",CEILING(ROUND(N356*(1+S356),2),IF(N356*(1+S356)&lt;100,0.5,IF(N356*(1+S356)&lt;1000,1,5))))</f>
        <v>198</v>
      </c>
      <c r="U356" s="26" t="n">
        <f aca="false">IF(OR(T356="",P356=""),"",(T356-P356)/T356)</f>
        <v>0.638636363636364</v>
      </c>
      <c r="V356" s="26" t="n">
        <f aca="false">IF(T356="",0,T356/N356-1)</f>
        <v>0.222297672695845</v>
      </c>
      <c r="W356" s="19" t="s">
        <v>94</v>
      </c>
    </row>
    <row r="357" customFormat="false" ht="15" hidden="false" customHeight="false" outlineLevel="0" collapsed="false">
      <c r="A357" s="38" t="n">
        <v>306</v>
      </c>
      <c r="B357" s="38" t="s">
        <v>500</v>
      </c>
      <c r="C357" s="38" t="s">
        <v>57</v>
      </c>
      <c r="D357" s="38"/>
      <c r="E357" s="38" t="s">
        <v>58</v>
      </c>
      <c r="F357" s="39" t="n">
        <v>64</v>
      </c>
      <c r="G357" s="39" t="n">
        <v>27</v>
      </c>
      <c r="H357" s="40" t="n">
        <v>16199.49</v>
      </c>
      <c r="I357" s="40" t="n">
        <v>-215.08</v>
      </c>
      <c r="J357" s="40" t="n">
        <v>0</v>
      </c>
      <c r="K357" s="41" t="n">
        <f aca="false">H357+I357+J357</f>
        <v>15984.41</v>
      </c>
      <c r="L357" s="42" t="n">
        <f aca="false">IF($K$1282=0,0,K357/$K$1282)</f>
        <v>0.00132412355242978</v>
      </c>
      <c r="M357" s="43" t="n">
        <f aca="false">IF(F357&lt;=0,0,K357/F357)</f>
        <v>249.75640625</v>
      </c>
      <c r="N357" s="40" t="n">
        <v>249.99</v>
      </c>
      <c r="O357" s="44" t="n">
        <v>5.35</v>
      </c>
      <c r="P357" s="43" t="n">
        <f aca="false">O357*'Price Groups'!$B$5</f>
        <v>120.375</v>
      </c>
      <c r="Q357" s="45" t="n">
        <f aca="false">IF(OR(N357="",P357=""),"",(N357-P357)/N357)</f>
        <v>0.518480739229569</v>
      </c>
      <c r="R357" s="46" t="n">
        <v>3</v>
      </c>
      <c r="S357" s="47" t="n">
        <f aca="false">IF(R357="-",0,IFERROR(VLOOKUP(R357,'Price Groups'!$A$13:$C$17,3,FALSE()),0))</f>
        <v>0.16</v>
      </c>
      <c r="T357" s="41" t="n">
        <f aca="false">IF(OR(N357="",R357="-"),"",CEILING(ROUND(N357*(1+S357),2),IF(N357*(1+S357)&lt;100,0.5,IF(N357*(1+S357)&lt;1000,1,5))))</f>
        <v>290</v>
      </c>
      <c r="U357" s="45" t="n">
        <f aca="false">IF(OR(T357="",P357=""),"",(T357-P357)/T357)</f>
        <v>0.584913793103448</v>
      </c>
      <c r="V357" s="45" t="n">
        <f aca="false">IF(T357="",0,T357/N357-1)</f>
        <v>0.160046401856074</v>
      </c>
      <c r="W357" s="38" t="s">
        <v>107</v>
      </c>
    </row>
    <row r="358" customFormat="false" ht="15" hidden="false" customHeight="false" outlineLevel="0" collapsed="false">
      <c r="A358" s="19" t="n">
        <v>307</v>
      </c>
      <c r="B358" s="19" t="s">
        <v>501</v>
      </c>
      <c r="C358" s="19" t="s">
        <v>57</v>
      </c>
      <c r="D358" s="19"/>
      <c r="E358" s="19" t="s">
        <v>58</v>
      </c>
      <c r="F358" s="20" t="n">
        <v>63</v>
      </c>
      <c r="G358" s="20" t="n">
        <v>32</v>
      </c>
      <c r="H358" s="21" t="n">
        <v>8329.5</v>
      </c>
      <c r="I358" s="21" t="n">
        <v>-37.88</v>
      </c>
      <c r="J358" s="21" t="n">
        <v>-112.8</v>
      </c>
      <c r="K358" s="22" t="n">
        <f aca="false">H358+I358+J358</f>
        <v>8178.82</v>
      </c>
      <c r="L358" s="23" t="n">
        <f aca="false">IF($K$1282=0,0,K358/$K$1282)</f>
        <v>0.000677520671271804</v>
      </c>
      <c r="M358" s="24" t="n">
        <f aca="false">IF(F358&lt;=0,0,K358/F358)</f>
        <v>129.82253968254</v>
      </c>
      <c r="N358" s="21" t="n">
        <v>139.99</v>
      </c>
      <c r="O358" s="49" t="n">
        <v>3.52</v>
      </c>
      <c r="P358" s="24" t="n">
        <f aca="false">O358*'Price Groups'!$B$5</f>
        <v>79.2</v>
      </c>
      <c r="Q358" s="26" t="n">
        <f aca="false">IF(OR(N358="",P358=""),"",(N358-P358)/N358)</f>
        <v>0.434245303235945</v>
      </c>
      <c r="R358" s="27" t="n">
        <v>1</v>
      </c>
      <c r="S358" s="28" t="n">
        <f aca="false">IF(R358="-",0,IFERROR(VLOOKUP(R358,'Price Groups'!$A$13:$C$17,3,FALSE()),0))</f>
        <v>0.22</v>
      </c>
      <c r="T358" s="22" t="n">
        <f aca="false">IF(OR(N358="",R358="-"),"",CEILING(ROUND(N358*(1+S358),2),IF(N358*(1+S358)&lt;100,0.5,IF(N358*(1+S358)&lt;1000,1,5))))</f>
        <v>171</v>
      </c>
      <c r="U358" s="26" t="n">
        <f aca="false">IF(OR(T358="",P358=""),"",(T358-P358)/T358)</f>
        <v>0.536842105263158</v>
      </c>
      <c r="V358" s="26" t="n">
        <f aca="false">IF(T358="",0,T358/N358-1)</f>
        <v>0.221515822558754</v>
      </c>
      <c r="W358" s="19" t="s">
        <v>94</v>
      </c>
    </row>
    <row r="359" customFormat="false" ht="15" hidden="false" customHeight="false" outlineLevel="0" collapsed="false">
      <c r="A359" s="38" t="n">
        <v>308</v>
      </c>
      <c r="B359" s="38" t="s">
        <v>502</v>
      </c>
      <c r="C359" s="38" t="s">
        <v>57</v>
      </c>
      <c r="D359" s="38"/>
      <c r="E359" s="38" t="s">
        <v>58</v>
      </c>
      <c r="F359" s="39" t="n">
        <v>63</v>
      </c>
      <c r="G359" s="39" t="n">
        <v>41</v>
      </c>
      <c r="H359" s="40" t="n">
        <v>1887.56</v>
      </c>
      <c r="I359" s="40" t="n">
        <v>-2.92</v>
      </c>
      <c r="J359" s="40" t="n">
        <v>-164.99</v>
      </c>
      <c r="K359" s="41" t="n">
        <f aca="false">H359+I359+J359</f>
        <v>1719.65</v>
      </c>
      <c r="L359" s="42" t="n">
        <f aca="false">IF($K$1282=0,0,K359/$K$1282)</f>
        <v>0.000142453119441748</v>
      </c>
      <c r="M359" s="43" t="n">
        <f aca="false">IF(F359&lt;=0,0,K359/F359)</f>
        <v>27.2960317460317</v>
      </c>
      <c r="N359" s="40" t="n">
        <v>29.99</v>
      </c>
      <c r="O359" s="44" t="n">
        <v>0.58</v>
      </c>
      <c r="P359" s="43" t="n">
        <f aca="false">O359*'Price Groups'!$B$5</f>
        <v>13.05</v>
      </c>
      <c r="Q359" s="45" t="n">
        <f aca="false">IF(OR(N359="",P359=""),"",(N359-P359)/N359)</f>
        <v>0.56485495165055</v>
      </c>
      <c r="R359" s="46" t="n">
        <v>1</v>
      </c>
      <c r="S359" s="47" t="n">
        <f aca="false">IF(R359="-",0,IFERROR(VLOOKUP(R359,'Price Groups'!$A$13:$C$17,3,FALSE()),0))</f>
        <v>0.22</v>
      </c>
      <c r="T359" s="41" t="n">
        <f aca="false">IF(OR(N359="",R359="-"),"",CEILING(ROUND(N359*(1+S359),2),IF(N359*(1+S359)&lt;100,0.5,IF(N359*(1+S359)&lt;1000,1,5))))</f>
        <v>37</v>
      </c>
      <c r="U359" s="45" t="n">
        <f aca="false">IF(OR(T359="",P359=""),"",(T359-P359)/T359)</f>
        <v>0.647297297297297</v>
      </c>
      <c r="V359" s="45" t="n">
        <f aca="false">IF(T359="",0,T359/N359-1)</f>
        <v>0.233744581527176</v>
      </c>
      <c r="W359" s="38" t="s">
        <v>94</v>
      </c>
    </row>
    <row r="360" customFormat="false" ht="15" hidden="false" customHeight="false" outlineLevel="0" collapsed="false">
      <c r="A360" s="19" t="n">
        <v>309</v>
      </c>
      <c r="B360" s="19" t="s">
        <v>503</v>
      </c>
      <c r="C360" s="19" t="s">
        <v>57</v>
      </c>
      <c r="D360" s="19"/>
      <c r="E360" s="19" t="s">
        <v>58</v>
      </c>
      <c r="F360" s="20" t="n">
        <v>63</v>
      </c>
      <c r="G360" s="20" t="n">
        <v>31</v>
      </c>
      <c r="H360" s="21" t="n">
        <v>2599.35</v>
      </c>
      <c r="I360" s="21" t="n">
        <v>-19.74</v>
      </c>
      <c r="J360" s="21" t="n">
        <v>-79.98</v>
      </c>
      <c r="K360" s="22" t="n">
        <f aca="false">H360+I360+J360</f>
        <v>2499.63</v>
      </c>
      <c r="L360" s="23" t="n">
        <f aca="false">IF($K$1282=0,0,K360/$K$1282)</f>
        <v>0.0002070654441021</v>
      </c>
      <c r="M360" s="24" t="n">
        <f aca="false">IF(F360&lt;=0,0,K360/F360)</f>
        <v>39.6766666666667</v>
      </c>
      <c r="N360" s="21" t="n">
        <v>39.99</v>
      </c>
      <c r="O360" s="49" t="n">
        <v>0.85</v>
      </c>
      <c r="P360" s="24" t="n">
        <f aca="false">O360*'Price Groups'!$B$5</f>
        <v>19.125</v>
      </c>
      <c r="Q360" s="26" t="n">
        <f aca="false">IF(OR(N360="",P360=""),"",(N360-P360)/N360)</f>
        <v>0.521755438859715</v>
      </c>
      <c r="R360" s="27" t="n">
        <v>1</v>
      </c>
      <c r="S360" s="28" t="n">
        <f aca="false">IF(R360="-",0,IFERROR(VLOOKUP(R360,'Price Groups'!$A$13:$C$17,3,FALSE()),0))</f>
        <v>0.22</v>
      </c>
      <c r="T360" s="22" t="n">
        <f aca="false">IF(OR(N360="",R360="-"),"",CEILING(ROUND(N360*(1+S360),2),IF(N360*(1+S360)&lt;100,0.5,IF(N360*(1+S360)&lt;1000,1,5))))</f>
        <v>49</v>
      </c>
      <c r="U360" s="26" t="n">
        <f aca="false">IF(OR(T360="",P360=""),"",(T360-P360)/T360)</f>
        <v>0.60969387755102</v>
      </c>
      <c r="V360" s="26" t="n">
        <f aca="false">IF(T360="",0,T360/N360-1)</f>
        <v>0.225306326581645</v>
      </c>
      <c r="W360" s="19" t="s">
        <v>94</v>
      </c>
    </row>
    <row r="361" customFormat="false" ht="15" hidden="false" customHeight="false" outlineLevel="0" collapsed="false">
      <c r="A361" s="38" t="n">
        <v>310</v>
      </c>
      <c r="B361" s="38" t="s">
        <v>504</v>
      </c>
      <c r="C361" s="38" t="s">
        <v>57</v>
      </c>
      <c r="D361" s="38"/>
      <c r="E361" s="38" t="s">
        <v>58</v>
      </c>
      <c r="F361" s="39" t="n">
        <v>63</v>
      </c>
      <c r="G361" s="39" t="n">
        <v>31</v>
      </c>
      <c r="H361" s="40" t="n">
        <v>2415.54</v>
      </c>
      <c r="I361" s="40" t="n">
        <v>-110.08</v>
      </c>
      <c r="J361" s="40" t="n">
        <v>-107.77</v>
      </c>
      <c r="K361" s="41" t="n">
        <f aca="false">H361+I361+J361</f>
        <v>2197.69</v>
      </c>
      <c r="L361" s="42" t="n">
        <f aca="false">IF($K$1282=0,0,K361/$K$1282)</f>
        <v>0.000182053206214017</v>
      </c>
      <c r="M361" s="43" t="n">
        <f aca="false">IF(F361&lt;=0,0,K361/F361)</f>
        <v>34.8839682539683</v>
      </c>
      <c r="N361" s="40" t="n">
        <v>39.99</v>
      </c>
      <c r="O361" s="44" t="n">
        <v>1.04</v>
      </c>
      <c r="P361" s="43" t="n">
        <f aca="false">O361*'Price Groups'!$B$5</f>
        <v>23.4</v>
      </c>
      <c r="Q361" s="45" t="n">
        <f aca="false">IF(OR(N361="",P361=""),"",(N361-P361)/N361)</f>
        <v>0.414853713428357</v>
      </c>
      <c r="R361" s="46" t="n">
        <v>1</v>
      </c>
      <c r="S361" s="47" t="n">
        <f aca="false">IF(R361="-",0,IFERROR(VLOOKUP(R361,'Price Groups'!$A$13:$C$17,3,FALSE()),0))</f>
        <v>0.22</v>
      </c>
      <c r="T361" s="41" t="n">
        <f aca="false">IF(OR(N361="",R361="-"),"",CEILING(ROUND(N361*(1+S361),2),IF(N361*(1+S361)&lt;100,0.5,IF(N361*(1+S361)&lt;1000,1,5))))</f>
        <v>49</v>
      </c>
      <c r="U361" s="45" t="n">
        <f aca="false">IF(OR(T361="",P361=""),"",(T361-P361)/T361)</f>
        <v>0.522448979591837</v>
      </c>
      <c r="V361" s="45" t="n">
        <f aca="false">IF(T361="",0,T361/N361-1)</f>
        <v>0.225306326581645</v>
      </c>
      <c r="W361" s="38" t="s">
        <v>94</v>
      </c>
    </row>
    <row r="362" customFormat="false" ht="15" hidden="false" customHeight="false" outlineLevel="0" collapsed="false">
      <c r="A362" s="19" t="n">
        <v>311</v>
      </c>
      <c r="B362" s="19" t="s">
        <v>505</v>
      </c>
      <c r="C362" s="19" t="s">
        <v>57</v>
      </c>
      <c r="D362" s="19"/>
      <c r="E362" s="19" t="s">
        <v>58</v>
      </c>
      <c r="F362" s="20" t="n">
        <v>62</v>
      </c>
      <c r="G362" s="20" t="n">
        <v>49</v>
      </c>
      <c r="H362" s="21" t="n">
        <v>4193.85</v>
      </c>
      <c r="I362" s="21" t="n">
        <v>-27.67</v>
      </c>
      <c r="J362" s="21" t="n">
        <v>-329</v>
      </c>
      <c r="K362" s="22" t="n">
        <f aca="false">H362+I362+J362</f>
        <v>3837.18</v>
      </c>
      <c r="L362" s="23" t="n">
        <f aca="false">IF($K$1282=0,0,K362/$K$1282)</f>
        <v>0.000317865996487359</v>
      </c>
      <c r="M362" s="24" t="n">
        <f aca="false">IF(F362&lt;=0,0,K362/F362)</f>
        <v>61.89</v>
      </c>
      <c r="N362" s="21" t="n">
        <v>65</v>
      </c>
      <c r="O362" s="49" t="n">
        <v>1.41</v>
      </c>
      <c r="P362" s="24" t="n">
        <f aca="false">O362*'Price Groups'!$B$5</f>
        <v>31.725</v>
      </c>
      <c r="Q362" s="26" t="n">
        <f aca="false">IF(OR(N362="",P362=""),"",(N362-P362)/N362)</f>
        <v>0.511923076923077</v>
      </c>
      <c r="R362" s="27" t="n">
        <v>1</v>
      </c>
      <c r="S362" s="28" t="n">
        <f aca="false">IF(R362="-",0,IFERROR(VLOOKUP(R362,'Price Groups'!$A$13:$C$17,3,FALSE()),0))</f>
        <v>0.22</v>
      </c>
      <c r="T362" s="22" t="n">
        <f aca="false">IF(OR(N362="",R362="-"),"",CEILING(ROUND(N362*(1+S362),2),IF(N362*(1+S362)&lt;100,0.5,IF(N362*(1+S362)&lt;1000,1,5))))</f>
        <v>79.5</v>
      </c>
      <c r="U362" s="26" t="n">
        <f aca="false">IF(OR(T362="",P362=""),"",(T362-P362)/T362)</f>
        <v>0.600943396226415</v>
      </c>
      <c r="V362" s="26" t="n">
        <f aca="false">IF(T362="",0,T362/N362-1)</f>
        <v>0.223076923076923</v>
      </c>
      <c r="W362" s="19" t="s">
        <v>94</v>
      </c>
    </row>
    <row r="363" customFormat="false" ht="15" hidden="false" customHeight="false" outlineLevel="0" collapsed="false">
      <c r="A363" s="38" t="n">
        <v>312</v>
      </c>
      <c r="B363" s="38" t="s">
        <v>506</v>
      </c>
      <c r="C363" s="38" t="s">
        <v>57</v>
      </c>
      <c r="D363" s="38"/>
      <c r="E363" s="38" t="s">
        <v>58</v>
      </c>
      <c r="F363" s="39" t="n">
        <v>62</v>
      </c>
      <c r="G363" s="39" t="n">
        <v>29</v>
      </c>
      <c r="H363" s="40" t="n">
        <v>1164.24</v>
      </c>
      <c r="I363" s="40" t="n">
        <v>-3.28</v>
      </c>
      <c r="J363" s="40" t="n">
        <v>-96.72</v>
      </c>
      <c r="K363" s="41" t="n">
        <f aca="false">H363+I363+J363</f>
        <v>1064.24</v>
      </c>
      <c r="L363" s="42" t="n">
        <f aca="false">IF($K$1282=0,0,K363/$K$1282)</f>
        <v>8.81599789693751E-005</v>
      </c>
      <c r="M363" s="43" t="n">
        <f aca="false">IF(F363&lt;=0,0,K363/F363)</f>
        <v>17.1651612903226</v>
      </c>
      <c r="N363" s="40" t="n">
        <v>19</v>
      </c>
      <c r="O363" s="44" t="n">
        <v>0.38</v>
      </c>
      <c r="P363" s="43" t="n">
        <f aca="false">O363*'Price Groups'!$B$5</f>
        <v>8.55</v>
      </c>
      <c r="Q363" s="45" t="n">
        <f aca="false">IF(OR(N363="",P363=""),"",(N363-P363)/N363)</f>
        <v>0.55</v>
      </c>
      <c r="R363" s="46" t="n">
        <v>1</v>
      </c>
      <c r="S363" s="47" t="n">
        <f aca="false">IF(R363="-",0,IFERROR(VLOOKUP(R363,'Price Groups'!$A$13:$C$17,3,FALSE()),0))</f>
        <v>0.22</v>
      </c>
      <c r="T363" s="41" t="n">
        <f aca="false">IF(OR(N363="",R363="-"),"",CEILING(ROUND(N363*(1+S363),2),IF(N363*(1+S363)&lt;100,0.5,IF(N363*(1+S363)&lt;1000,1,5))))</f>
        <v>23.5</v>
      </c>
      <c r="U363" s="45" t="n">
        <f aca="false">IF(OR(T363="",P363=""),"",(T363-P363)/T363)</f>
        <v>0.636170212765957</v>
      </c>
      <c r="V363" s="45" t="n">
        <f aca="false">IF(T363="",0,T363/N363-1)</f>
        <v>0.236842105263158</v>
      </c>
      <c r="W363" s="38" t="s">
        <v>94</v>
      </c>
    </row>
    <row r="364" customFormat="false" ht="15" hidden="false" customHeight="false" outlineLevel="0" collapsed="false">
      <c r="A364" s="19" t="n">
        <v>313</v>
      </c>
      <c r="B364" s="19" t="s">
        <v>507</v>
      </c>
      <c r="C364" s="19" t="s">
        <v>57</v>
      </c>
      <c r="D364" s="19"/>
      <c r="E364" s="19" t="s">
        <v>58</v>
      </c>
      <c r="F364" s="20" t="n">
        <v>62</v>
      </c>
      <c r="G364" s="20" t="n">
        <v>9</v>
      </c>
      <c r="H364" s="21" t="n">
        <v>589.17</v>
      </c>
      <c r="I364" s="21" t="n">
        <v>0</v>
      </c>
      <c r="J364" s="21" t="n">
        <v>-44.87</v>
      </c>
      <c r="K364" s="22" t="n">
        <f aca="false">H364+I364+J364</f>
        <v>544.3</v>
      </c>
      <c r="L364" s="23" t="n">
        <f aca="false">IF($K$1282=0,0,K364/$K$1282)</f>
        <v>4.50889616562343E-005</v>
      </c>
      <c r="M364" s="24" t="n">
        <f aca="false">IF(F364&lt;=0,0,K364/F364)</f>
        <v>8.77903225806452</v>
      </c>
      <c r="N364" s="21" t="n">
        <v>6.41</v>
      </c>
      <c r="O364" s="49" t="n">
        <v>0.2</v>
      </c>
      <c r="P364" s="24" t="n">
        <f aca="false">O364*'Price Groups'!$B$5</f>
        <v>4.5</v>
      </c>
      <c r="Q364" s="26" t="n">
        <f aca="false">IF(OR(N364="",P364=""),"",(N364-P364)/N364)</f>
        <v>0.297971918876755</v>
      </c>
      <c r="R364" s="27" t="n">
        <v>1</v>
      </c>
      <c r="S364" s="28" t="n">
        <f aca="false">IF(R364="-",0,IFERROR(VLOOKUP(R364,'Price Groups'!$A$13:$C$17,3,FALSE()),0))</f>
        <v>0.22</v>
      </c>
      <c r="T364" s="22" t="n">
        <f aca="false">IF(OR(N364="",R364="-"),"",CEILING(ROUND(N364*(1+S364),2),IF(N364*(1+S364)&lt;100,0.5,IF(N364*(1+S364)&lt;1000,1,5))))</f>
        <v>8</v>
      </c>
      <c r="U364" s="26" t="n">
        <f aca="false">IF(OR(T364="",P364=""),"",(T364-P364)/T364)</f>
        <v>0.4375</v>
      </c>
      <c r="V364" s="26" t="n">
        <f aca="false">IF(T364="",0,T364/N364-1)</f>
        <v>0.24804992199688</v>
      </c>
      <c r="W364" s="19" t="s">
        <v>94</v>
      </c>
    </row>
    <row r="365" customFormat="false" ht="15" hidden="false" customHeight="false" outlineLevel="0" collapsed="false">
      <c r="A365" s="38" t="n">
        <v>314</v>
      </c>
      <c r="B365" s="38" t="s">
        <v>508</v>
      </c>
      <c r="C365" s="38" t="s">
        <v>57</v>
      </c>
      <c r="D365" s="38"/>
      <c r="E365" s="38" t="s">
        <v>58</v>
      </c>
      <c r="F365" s="39" t="n">
        <v>62</v>
      </c>
      <c r="G365" s="39" t="n">
        <v>52</v>
      </c>
      <c r="H365" s="40" t="n">
        <v>16069.3</v>
      </c>
      <c r="I365" s="40" t="n">
        <v>-201.71</v>
      </c>
      <c r="J365" s="40" t="n">
        <v>-1836.12</v>
      </c>
      <c r="K365" s="41" t="n">
        <f aca="false">H365+I365+J365</f>
        <v>14031.47</v>
      </c>
      <c r="L365" s="42" t="n">
        <f aca="false">IF($K$1282=0,0,K365/$K$1282)</f>
        <v>0.00116234505385009</v>
      </c>
      <c r="M365" s="43" t="n">
        <f aca="false">IF(F365&lt;=0,0,K365/F365)</f>
        <v>226.314032258065</v>
      </c>
      <c r="N365" s="40" t="n">
        <v>219.99</v>
      </c>
      <c r="O365" s="44" t="n">
        <v>4.52</v>
      </c>
      <c r="P365" s="43" t="n">
        <f aca="false">O365*'Price Groups'!$B$5</f>
        <v>101.7</v>
      </c>
      <c r="Q365" s="45" t="n">
        <f aca="false">IF(OR(N365="",P365=""),"",(N365-P365)/N365)</f>
        <v>0.537706259375426</v>
      </c>
      <c r="R365" s="46" t="n">
        <v>3</v>
      </c>
      <c r="S365" s="47" t="n">
        <f aca="false">IF(R365="-",0,IFERROR(VLOOKUP(R365,'Price Groups'!$A$13:$C$17,3,FALSE()),0))</f>
        <v>0.16</v>
      </c>
      <c r="T365" s="41" t="n">
        <f aca="false">IF(OR(N365="",R365="-"),"",CEILING(ROUND(N365*(1+S365),2),IF(N365*(1+S365)&lt;100,0.5,IF(N365*(1+S365)&lt;1000,1,5))))</f>
        <v>256</v>
      </c>
      <c r="U365" s="45" t="n">
        <f aca="false">IF(OR(T365="",P365=""),"",(T365-P365)/T365)</f>
        <v>0.602734375</v>
      </c>
      <c r="V365" s="45" t="n">
        <f aca="false">IF(T365="",0,T365/N365-1)</f>
        <v>0.163689258602664</v>
      </c>
      <c r="W365" s="38" t="s">
        <v>107</v>
      </c>
    </row>
    <row r="366" customFormat="false" ht="15" hidden="false" customHeight="false" outlineLevel="0" collapsed="false">
      <c r="A366" s="19" t="n">
        <v>315</v>
      </c>
      <c r="B366" s="19" t="s">
        <v>509</v>
      </c>
      <c r="C366" s="19" t="s">
        <v>57</v>
      </c>
      <c r="D366" s="19"/>
      <c r="E366" s="19" t="s">
        <v>58</v>
      </c>
      <c r="F366" s="20" t="n">
        <v>62</v>
      </c>
      <c r="G366" s="20" t="n">
        <v>35</v>
      </c>
      <c r="H366" s="21" t="n">
        <v>6000.36</v>
      </c>
      <c r="I366" s="21" t="n">
        <v>-28.16</v>
      </c>
      <c r="J366" s="21" t="n">
        <v>-288.73</v>
      </c>
      <c r="K366" s="22" t="n">
        <f aca="false">H366+I366+J366</f>
        <v>5683.47</v>
      </c>
      <c r="L366" s="23" t="n">
        <f aca="false">IF($K$1282=0,0,K366/$K$1282)</f>
        <v>0.000470809775683186</v>
      </c>
      <c r="M366" s="24" t="n">
        <f aca="false">IF(F366&lt;=0,0,K366/F366)</f>
        <v>91.6688709677419</v>
      </c>
      <c r="N366" s="21" t="n">
        <v>99.99</v>
      </c>
      <c r="O366" s="49" t="n">
        <v>2.02</v>
      </c>
      <c r="P366" s="24" t="n">
        <f aca="false">O366*'Price Groups'!$B$5</f>
        <v>45.45</v>
      </c>
      <c r="Q366" s="26" t="n">
        <f aca="false">IF(OR(N366="",P366=""),"",(N366-P366)/N366)</f>
        <v>0.545454545454545</v>
      </c>
      <c r="R366" s="27" t="n">
        <v>1</v>
      </c>
      <c r="S366" s="28" t="n">
        <f aca="false">IF(R366="-",0,IFERROR(VLOOKUP(R366,'Price Groups'!$A$13:$C$17,3,FALSE()),0))</f>
        <v>0.22</v>
      </c>
      <c r="T366" s="22" t="n">
        <f aca="false">IF(OR(N366="",R366="-"),"",CEILING(ROUND(N366*(1+S366),2),IF(N366*(1+S366)&lt;100,0.5,IF(N366*(1+S366)&lt;1000,1,5))))</f>
        <v>122</v>
      </c>
      <c r="U366" s="26" t="n">
        <f aca="false">IF(OR(T366="",P366=""),"",(T366-P366)/T366)</f>
        <v>0.627459016393443</v>
      </c>
      <c r="V366" s="26" t="n">
        <f aca="false">IF(T366="",0,T366/N366-1)</f>
        <v>0.22012201220122</v>
      </c>
      <c r="W366" s="19" t="s">
        <v>94</v>
      </c>
    </row>
    <row r="367" customFormat="false" ht="15" hidden="false" customHeight="false" outlineLevel="0" collapsed="false">
      <c r="A367" s="38" t="n">
        <v>316</v>
      </c>
      <c r="B367" s="38" t="s">
        <v>510</v>
      </c>
      <c r="C367" s="38" t="s">
        <v>57</v>
      </c>
      <c r="D367" s="38"/>
      <c r="E367" s="38" t="s">
        <v>58</v>
      </c>
      <c r="F367" s="39" t="n">
        <v>61</v>
      </c>
      <c r="G367" s="39" t="n">
        <v>36</v>
      </c>
      <c r="H367" s="40" t="n">
        <v>18453.03</v>
      </c>
      <c r="I367" s="40" t="n">
        <v>-50.58</v>
      </c>
      <c r="J367" s="40" t="n">
        <v>-4275.52</v>
      </c>
      <c r="K367" s="41" t="n">
        <f aca="false">H367+I367+J367</f>
        <v>14126.93</v>
      </c>
      <c r="L367" s="42" t="n">
        <f aca="false">IF($K$1282=0,0,K367/$K$1282)</f>
        <v>0.00117025281111576</v>
      </c>
      <c r="M367" s="43" t="n">
        <f aca="false">IF(F367&lt;=0,0,K367/F367)</f>
        <v>231.589016393443</v>
      </c>
      <c r="N367" s="40" t="n">
        <v>199.99</v>
      </c>
      <c r="O367" s="44" t="n">
        <v>6.36</v>
      </c>
      <c r="P367" s="43" t="n">
        <f aca="false">O367*'Price Groups'!$B$5</f>
        <v>143.1</v>
      </c>
      <c r="Q367" s="45" t="n">
        <f aca="false">IF(OR(N367="",P367=""),"",(N367-P367)/N367)</f>
        <v>0.284464223211161</v>
      </c>
      <c r="R367" s="46" t="n">
        <v>2</v>
      </c>
      <c r="S367" s="47" t="n">
        <f aca="false">IF(R367="-",0,IFERROR(VLOOKUP(R367,'Price Groups'!$A$13:$C$17,3,FALSE()),0))</f>
        <v>0.18</v>
      </c>
      <c r="T367" s="41" t="n">
        <f aca="false">IF(OR(N367="",R367="-"),"",CEILING(ROUND(N367*(1+S367),2),IF(N367*(1+S367)&lt;100,0.5,IF(N367*(1+S367)&lt;1000,1,5))))</f>
        <v>236</v>
      </c>
      <c r="U367" s="45" t="n">
        <f aca="false">IF(OR(T367="",P367=""),"",(T367-P367)/T367)</f>
        <v>0.39364406779661</v>
      </c>
      <c r="V367" s="45" t="n">
        <f aca="false">IF(T367="",0,T367/N367-1)</f>
        <v>0.180059002950147</v>
      </c>
      <c r="W367" s="38" t="s">
        <v>123</v>
      </c>
    </row>
    <row r="368" customFormat="false" ht="15" hidden="false" customHeight="false" outlineLevel="0" collapsed="false">
      <c r="A368" s="19" t="n">
        <v>317</v>
      </c>
      <c r="B368" s="19" t="s">
        <v>511</v>
      </c>
      <c r="C368" s="19" t="s">
        <v>57</v>
      </c>
      <c r="D368" s="19"/>
      <c r="E368" s="19" t="s">
        <v>58</v>
      </c>
      <c r="F368" s="20" t="n">
        <v>61</v>
      </c>
      <c r="G368" s="20" t="n">
        <v>15</v>
      </c>
      <c r="H368" s="21" t="n">
        <v>2457</v>
      </c>
      <c r="I368" s="21" t="n">
        <v>-3.9</v>
      </c>
      <c r="J368" s="21" t="n">
        <v>-78</v>
      </c>
      <c r="K368" s="22" t="n">
        <f aca="false">H368+I368+J368</f>
        <v>2375.1</v>
      </c>
      <c r="L368" s="23" t="n">
        <f aca="false">IF($K$1282=0,0,K368/$K$1282)</f>
        <v>0.00019674957345163</v>
      </c>
      <c r="M368" s="24" t="n">
        <f aca="false">IF(F368&lt;=0,0,K368/F368)</f>
        <v>38.9360655737705</v>
      </c>
      <c r="N368" s="21" t="n">
        <v>39</v>
      </c>
      <c r="O368" s="49" t="n">
        <v>1.31</v>
      </c>
      <c r="P368" s="24" t="n">
        <f aca="false">O368*'Price Groups'!$B$5</f>
        <v>29.475</v>
      </c>
      <c r="Q368" s="26" t="n">
        <f aca="false">IF(OR(N368="",P368=""),"",(N368-P368)/N368)</f>
        <v>0.244230769230769</v>
      </c>
      <c r="R368" s="27" t="n">
        <v>1</v>
      </c>
      <c r="S368" s="28" t="n">
        <f aca="false">IF(R368="-",0,IFERROR(VLOOKUP(R368,'Price Groups'!$A$13:$C$17,3,FALSE()),0))</f>
        <v>0.22</v>
      </c>
      <c r="T368" s="22" t="n">
        <f aca="false">IF(OR(N368="",R368="-"),"",CEILING(ROUND(N368*(1+S368),2),IF(N368*(1+S368)&lt;100,0.5,IF(N368*(1+S368)&lt;1000,1,5))))</f>
        <v>48</v>
      </c>
      <c r="U368" s="26" t="n">
        <f aca="false">IF(OR(T368="",P368=""),"",(T368-P368)/T368)</f>
        <v>0.3859375</v>
      </c>
      <c r="V368" s="26" t="n">
        <f aca="false">IF(T368="",0,T368/N368-1)</f>
        <v>0.230769230769231</v>
      </c>
      <c r="W368" s="19" t="s">
        <v>244</v>
      </c>
    </row>
    <row r="369" customFormat="false" ht="15" hidden="false" customHeight="false" outlineLevel="0" collapsed="false">
      <c r="A369" s="38" t="n">
        <v>318</v>
      </c>
      <c r="B369" s="38" t="s">
        <v>512</v>
      </c>
      <c r="C369" s="38" t="s">
        <v>57</v>
      </c>
      <c r="D369" s="38"/>
      <c r="E369" s="38" t="s">
        <v>58</v>
      </c>
      <c r="F369" s="39" t="n">
        <v>60</v>
      </c>
      <c r="G369" s="39" t="n">
        <v>37</v>
      </c>
      <c r="H369" s="40" t="n">
        <v>1770.71</v>
      </c>
      <c r="I369" s="40" t="n">
        <v>-25.52</v>
      </c>
      <c r="J369" s="40" t="n">
        <v>-460.32</v>
      </c>
      <c r="K369" s="41" t="n">
        <f aca="false">H369+I369+J369</f>
        <v>1284.87</v>
      </c>
      <c r="L369" s="42" t="n">
        <f aca="false">IF($K$1282=0,0,K369/$K$1282)</f>
        <v>0.000106436623485662</v>
      </c>
      <c r="M369" s="43" t="n">
        <f aca="false">IF(F369&lt;=0,0,K369/F369)</f>
        <v>21.4145</v>
      </c>
      <c r="N369" s="40" t="n">
        <v>26.59</v>
      </c>
      <c r="O369" s="44" t="n">
        <v>0.54</v>
      </c>
      <c r="P369" s="43" t="n">
        <f aca="false">O369*'Price Groups'!$B$5</f>
        <v>12.15</v>
      </c>
      <c r="Q369" s="45" t="n">
        <f aca="false">IF(OR(N369="",P369=""),"",(N369-P369)/N369)</f>
        <v>0.543061301241068</v>
      </c>
      <c r="R369" s="46" t="n">
        <v>1</v>
      </c>
      <c r="S369" s="47" t="n">
        <f aca="false">IF(R369="-",0,IFERROR(VLOOKUP(R369,'Price Groups'!$A$13:$C$17,3,FALSE()),0))</f>
        <v>0.22</v>
      </c>
      <c r="T369" s="41" t="n">
        <f aca="false">IF(OR(N369="",R369="-"),"",CEILING(ROUND(N369*(1+S369),2),IF(N369*(1+S369)&lt;100,0.5,IF(N369*(1+S369)&lt;1000,1,5))))</f>
        <v>32.5</v>
      </c>
      <c r="U369" s="45" t="n">
        <f aca="false">IF(OR(T369="",P369=""),"",(T369-P369)/T369)</f>
        <v>0.626153846153846</v>
      </c>
      <c r="V369" s="45" t="n">
        <f aca="false">IF(T369="",0,T369/N369-1)</f>
        <v>0.22226400902595</v>
      </c>
      <c r="W369" s="38" t="s">
        <v>94</v>
      </c>
    </row>
    <row r="370" customFormat="false" ht="15" hidden="false" customHeight="false" outlineLevel="0" collapsed="false">
      <c r="A370" s="19" t="n">
        <v>319</v>
      </c>
      <c r="B370" s="19" t="s">
        <v>513</v>
      </c>
      <c r="C370" s="19" t="s">
        <v>57</v>
      </c>
      <c r="D370" s="19"/>
      <c r="E370" s="19" t="s">
        <v>58</v>
      </c>
      <c r="F370" s="20" t="n">
        <v>60</v>
      </c>
      <c r="G370" s="20" t="n">
        <v>44</v>
      </c>
      <c r="H370" s="21" t="n">
        <v>43691.64</v>
      </c>
      <c r="I370" s="21" t="n">
        <v>-147.98</v>
      </c>
      <c r="J370" s="21" t="n">
        <v>-6949.93</v>
      </c>
      <c r="K370" s="22" t="n">
        <f aca="false">H370+I370+J370</f>
        <v>36593.73</v>
      </c>
      <c r="L370" s="23" t="n">
        <f aca="false">IF($K$1282=0,0,K370/$K$1282)</f>
        <v>0.00303136742389967</v>
      </c>
      <c r="M370" s="24" t="n">
        <f aca="false">IF(F370&lt;=0,0,K370/F370)</f>
        <v>609.8955</v>
      </c>
      <c r="N370" s="21" t="n">
        <v>700</v>
      </c>
      <c r="O370" s="49" t="n">
        <v>13.89</v>
      </c>
      <c r="P370" s="24" t="n">
        <f aca="false">O370*'Price Groups'!$B$5</f>
        <v>312.525</v>
      </c>
      <c r="Q370" s="26" t="n">
        <f aca="false">IF(OR(N370="",P370=""),"",(N370-P370)/N370)</f>
        <v>0.553535714285714</v>
      </c>
      <c r="R370" s="27" t="n">
        <v>3</v>
      </c>
      <c r="S370" s="28" t="n">
        <f aca="false">IF(R370="-",0,IFERROR(VLOOKUP(R370,'Price Groups'!$A$13:$C$17,3,FALSE()),0))</f>
        <v>0.16</v>
      </c>
      <c r="T370" s="22" t="n">
        <f aca="false">IF(OR(N370="",R370="-"),"",CEILING(ROUND(N370*(1+S370),2),IF(N370*(1+S370)&lt;100,0.5,IF(N370*(1+S370)&lt;1000,1,5))))</f>
        <v>812</v>
      </c>
      <c r="U370" s="26" t="n">
        <f aca="false">IF(OR(T370="",P370=""),"",(T370-P370)/T370)</f>
        <v>0.615116995073892</v>
      </c>
      <c r="V370" s="26" t="n">
        <f aca="false">IF(T370="",0,T370/N370-1)</f>
        <v>0.16</v>
      </c>
      <c r="W370" s="19" t="s">
        <v>107</v>
      </c>
    </row>
    <row r="371" customFormat="false" ht="15" hidden="false" customHeight="false" outlineLevel="0" collapsed="false">
      <c r="A371" s="38" t="n">
        <v>320</v>
      </c>
      <c r="B371" s="38" t="s">
        <v>514</v>
      </c>
      <c r="C371" s="38" t="s">
        <v>57</v>
      </c>
      <c r="D371" s="38"/>
      <c r="E371" s="38" t="s">
        <v>58</v>
      </c>
      <c r="F371" s="39" t="n">
        <v>60</v>
      </c>
      <c r="G371" s="39" t="n">
        <v>63</v>
      </c>
      <c r="H371" s="40" t="n">
        <v>16319.78</v>
      </c>
      <c r="I371" s="40" t="n">
        <v>-105.2</v>
      </c>
      <c r="J371" s="40" t="n">
        <v>-2317.98</v>
      </c>
      <c r="K371" s="41" t="n">
        <f aca="false">H371+I371+J371</f>
        <v>13896.6</v>
      </c>
      <c r="L371" s="42" t="n">
        <f aca="false">IF($K$1282=0,0,K371/$K$1282)</f>
        <v>0.00115117263375349</v>
      </c>
      <c r="M371" s="43" t="n">
        <f aca="false">IF(F371&lt;=0,0,K371/F371)</f>
        <v>231.61</v>
      </c>
      <c r="N371" s="40" t="n">
        <v>239.99</v>
      </c>
      <c r="O371" s="44" t="n">
        <v>4.32</v>
      </c>
      <c r="P371" s="43" t="n">
        <f aca="false">O371*'Price Groups'!$B$5</f>
        <v>97.2</v>
      </c>
      <c r="Q371" s="45" t="n">
        <f aca="false">IF(OR(N371="",P371=""),"",(N371-P371)/N371)</f>
        <v>0.594983124296846</v>
      </c>
      <c r="R371" s="46" t="n">
        <v>3</v>
      </c>
      <c r="S371" s="47" t="n">
        <f aca="false">IF(R371="-",0,IFERROR(VLOOKUP(R371,'Price Groups'!$A$13:$C$17,3,FALSE()),0))</f>
        <v>0.16</v>
      </c>
      <c r="T371" s="41" t="n">
        <f aca="false">IF(OR(N371="",R371="-"),"",CEILING(ROUND(N371*(1+S371),2),IF(N371*(1+S371)&lt;100,0.5,IF(N371*(1+S371)&lt;1000,1,5))))</f>
        <v>279</v>
      </c>
      <c r="U371" s="45" t="n">
        <f aca="false">IF(OR(T371="",P371=""),"",(T371-P371)/T371)</f>
        <v>0.651612903225807</v>
      </c>
      <c r="V371" s="45" t="n">
        <f aca="false">IF(T371="",0,T371/N371-1)</f>
        <v>0.162548439518313</v>
      </c>
      <c r="W371" s="38" t="s">
        <v>107</v>
      </c>
    </row>
    <row r="372" customFormat="false" ht="15" hidden="false" customHeight="false" outlineLevel="0" collapsed="false">
      <c r="A372" s="19" t="n">
        <v>321</v>
      </c>
      <c r="B372" s="19" t="s">
        <v>515</v>
      </c>
      <c r="C372" s="19" t="s">
        <v>57</v>
      </c>
      <c r="D372" s="19"/>
      <c r="E372" s="19" t="s">
        <v>58</v>
      </c>
      <c r="F372" s="20" t="n">
        <v>60</v>
      </c>
      <c r="G372" s="20" t="n">
        <v>34</v>
      </c>
      <c r="H372" s="21" t="n">
        <v>1343.64</v>
      </c>
      <c r="I372" s="21" t="n">
        <v>-37.12</v>
      </c>
      <c r="J372" s="21" t="n">
        <v>-113.86</v>
      </c>
      <c r="K372" s="22" t="n">
        <f aca="false">H372+I372+J372</f>
        <v>1192.66</v>
      </c>
      <c r="L372" s="23" t="n">
        <f aca="false">IF($K$1282=0,0,K372/$K$1282)</f>
        <v>9.87980911426134E-005</v>
      </c>
      <c r="M372" s="24" t="n">
        <f aca="false">IF(F372&lt;=0,0,K372/F372)</f>
        <v>19.8776666666667</v>
      </c>
      <c r="N372" s="21" t="n">
        <v>29.99</v>
      </c>
      <c r="O372" s="49" t="n">
        <v>0.81</v>
      </c>
      <c r="P372" s="24" t="n">
        <f aca="false">O372*'Price Groups'!$B$5</f>
        <v>18.225</v>
      </c>
      <c r="Q372" s="26" t="n">
        <f aca="false">IF(OR(N372="",P372=""),"",(N372-P372)/N372)</f>
        <v>0.392297432477492</v>
      </c>
      <c r="R372" s="27" t="n">
        <v>1</v>
      </c>
      <c r="S372" s="28" t="n">
        <f aca="false">IF(R372="-",0,IFERROR(VLOOKUP(R372,'Price Groups'!$A$13:$C$17,3,FALSE()),0))</f>
        <v>0.22</v>
      </c>
      <c r="T372" s="22" t="n">
        <f aca="false">IF(OR(N372="",R372="-"),"",CEILING(ROUND(N372*(1+S372),2),IF(N372*(1+S372)&lt;100,0.5,IF(N372*(1+S372)&lt;1000,1,5))))</f>
        <v>37</v>
      </c>
      <c r="U372" s="26" t="n">
        <f aca="false">IF(OR(T372="",P372=""),"",(T372-P372)/T372)</f>
        <v>0.507432432432432</v>
      </c>
      <c r="V372" s="26" t="n">
        <f aca="false">IF(T372="",0,T372/N372-1)</f>
        <v>0.233744581527176</v>
      </c>
      <c r="W372" s="19" t="s">
        <v>94</v>
      </c>
    </row>
    <row r="373" customFormat="false" ht="15" hidden="false" customHeight="false" outlineLevel="0" collapsed="false">
      <c r="A373" s="38" t="n">
        <v>322</v>
      </c>
      <c r="B373" s="38" t="s">
        <v>516</v>
      </c>
      <c r="C373" s="38" t="s">
        <v>57</v>
      </c>
      <c r="D373" s="38"/>
      <c r="E373" s="38" t="s">
        <v>58</v>
      </c>
      <c r="F373" s="39" t="n">
        <v>60</v>
      </c>
      <c r="G373" s="39" t="n">
        <v>52</v>
      </c>
      <c r="H373" s="40" t="n">
        <v>40283.76</v>
      </c>
      <c r="I373" s="40" t="n">
        <v>-108.63</v>
      </c>
      <c r="J373" s="40" t="n">
        <v>-5309.97</v>
      </c>
      <c r="K373" s="41" t="n">
        <f aca="false">H373+I373+J373</f>
        <v>34865.16</v>
      </c>
      <c r="L373" s="42" t="n">
        <f aca="false">IF($K$1282=0,0,K373/$K$1282)</f>
        <v>0.00288817538559338</v>
      </c>
      <c r="M373" s="43" t="n">
        <f aca="false">IF(F373&lt;=0,0,K373/F373)</f>
        <v>581.086</v>
      </c>
      <c r="N373" s="40" t="n">
        <v>500</v>
      </c>
      <c r="O373" s="44" t="n">
        <v>14.95</v>
      </c>
      <c r="P373" s="43" t="n">
        <f aca="false">O373*'Price Groups'!$B$5</f>
        <v>336.375</v>
      </c>
      <c r="Q373" s="45" t="n">
        <f aca="false">IF(OR(N373="",P373=""),"",(N373-P373)/N373)</f>
        <v>0.32725</v>
      </c>
      <c r="R373" s="46" t="n">
        <v>2</v>
      </c>
      <c r="S373" s="47" t="n">
        <f aca="false">IF(R373="-",0,IFERROR(VLOOKUP(R373,'Price Groups'!$A$13:$C$17,3,FALSE()),0))</f>
        <v>0.18</v>
      </c>
      <c r="T373" s="41" t="n">
        <f aca="false">IF(OR(N373="",R373="-"),"",CEILING(ROUND(N373*(1+S373),2),IF(N373*(1+S373)&lt;100,0.5,IF(N373*(1+S373)&lt;1000,1,5))))</f>
        <v>590</v>
      </c>
      <c r="U373" s="45" t="n">
        <f aca="false">IF(OR(T373="",P373=""),"",(T373-P373)/T373)</f>
        <v>0.429872881355932</v>
      </c>
      <c r="V373" s="45" t="n">
        <f aca="false">IF(T373="",0,T373/N373-1)</f>
        <v>0.18</v>
      </c>
      <c r="W373" s="38" t="s">
        <v>291</v>
      </c>
    </row>
    <row r="374" customFormat="false" ht="15" hidden="false" customHeight="false" outlineLevel="0" collapsed="false">
      <c r="A374" s="19" t="n">
        <v>323</v>
      </c>
      <c r="B374" s="19" t="s">
        <v>517</v>
      </c>
      <c r="C374" s="19" t="s">
        <v>57</v>
      </c>
      <c r="D374" s="19"/>
      <c r="E374" s="19" t="s">
        <v>58</v>
      </c>
      <c r="F374" s="20" t="n">
        <v>60</v>
      </c>
      <c r="G374" s="20" t="n">
        <v>24</v>
      </c>
      <c r="H374" s="21" t="n">
        <v>1674.4</v>
      </c>
      <c r="I374" s="21" t="n">
        <v>-10.47</v>
      </c>
      <c r="J374" s="21" t="n">
        <v>0</v>
      </c>
      <c r="K374" s="22" t="n">
        <f aca="false">H374+I374+J374</f>
        <v>1663.93</v>
      </c>
      <c r="L374" s="23" t="n">
        <f aca="false">IF($K$1282=0,0,K374/$K$1282)</f>
        <v>0.000137837361691453</v>
      </c>
      <c r="M374" s="24" t="n">
        <f aca="false">IF(F374&lt;=0,0,K374/F374)</f>
        <v>27.7321666666667</v>
      </c>
      <c r="N374" s="21" t="n">
        <v>34.99</v>
      </c>
      <c r="O374" s="49" t="n">
        <v>0.83</v>
      </c>
      <c r="P374" s="24" t="n">
        <f aca="false">O374*'Price Groups'!$B$5</f>
        <v>18.675</v>
      </c>
      <c r="Q374" s="26" t="n">
        <f aca="false">IF(OR(N374="",P374=""),"",(N374-P374)/N374)</f>
        <v>0.46627607887968</v>
      </c>
      <c r="R374" s="27" t="n">
        <v>1</v>
      </c>
      <c r="S374" s="28" t="n">
        <f aca="false">IF(R374="-",0,IFERROR(VLOOKUP(R374,'Price Groups'!$A$13:$C$17,3,FALSE()),0))</f>
        <v>0.22</v>
      </c>
      <c r="T374" s="22" t="n">
        <f aca="false">IF(OR(N374="",R374="-"),"",CEILING(ROUND(N374*(1+S374),2),IF(N374*(1+S374)&lt;100,0.5,IF(N374*(1+S374)&lt;1000,1,5))))</f>
        <v>43</v>
      </c>
      <c r="U374" s="26" t="n">
        <f aca="false">IF(OR(T374="",P374=""),"",(T374-P374)/T374)</f>
        <v>0.565697674418605</v>
      </c>
      <c r="V374" s="26" t="n">
        <f aca="false">IF(T374="",0,T374/N374-1)</f>
        <v>0.2289225492998</v>
      </c>
      <c r="W374" s="19" t="s">
        <v>94</v>
      </c>
    </row>
    <row r="375" customFormat="false" ht="15" hidden="false" customHeight="false" outlineLevel="0" collapsed="false">
      <c r="A375" s="38" t="n">
        <v>324</v>
      </c>
      <c r="B375" s="38" t="s">
        <v>518</v>
      </c>
      <c r="C375" s="38" t="s">
        <v>57</v>
      </c>
      <c r="D375" s="38"/>
      <c r="E375" s="38" t="s">
        <v>58</v>
      </c>
      <c r="F375" s="39" t="n">
        <v>59</v>
      </c>
      <c r="G375" s="39" t="n">
        <v>45</v>
      </c>
      <c r="H375" s="40" t="n">
        <v>7084.45</v>
      </c>
      <c r="I375" s="40" t="n">
        <v>-544.65</v>
      </c>
      <c r="J375" s="40" t="n">
        <v>-769.51</v>
      </c>
      <c r="K375" s="41" t="n">
        <f aca="false">H375+I375+J375</f>
        <v>5770.29</v>
      </c>
      <c r="L375" s="42" t="n">
        <f aca="false">IF($K$1282=0,0,K375/$K$1282)</f>
        <v>0.000478001808846872</v>
      </c>
      <c r="M375" s="43" t="n">
        <f aca="false">IF(F375&lt;=0,0,K375/F375)</f>
        <v>97.8015254237288</v>
      </c>
      <c r="N375" s="40" t="n">
        <v>86.53</v>
      </c>
      <c r="O375" s="44" t="n">
        <v>2.7</v>
      </c>
      <c r="P375" s="43" t="n">
        <f aca="false">O375*'Price Groups'!$B$5</f>
        <v>60.75</v>
      </c>
      <c r="Q375" s="45" t="n">
        <f aca="false">IF(OR(N375="",P375=""),"",(N375-P375)/N375)</f>
        <v>0.297931353287877</v>
      </c>
      <c r="R375" s="46" t="n">
        <v>1</v>
      </c>
      <c r="S375" s="47" t="n">
        <f aca="false">IF(R375="-",0,IFERROR(VLOOKUP(R375,'Price Groups'!$A$13:$C$17,3,FALSE()),0))</f>
        <v>0.22</v>
      </c>
      <c r="T375" s="41" t="n">
        <f aca="false">IF(OR(N375="",R375="-"),"",CEILING(ROUND(N375*(1+S375),2),IF(N375*(1+S375)&lt;100,0.5,IF(N375*(1+S375)&lt;1000,1,5))))</f>
        <v>106</v>
      </c>
      <c r="U375" s="45" t="n">
        <f aca="false">IF(OR(T375="",P375=""),"",(T375-P375)/T375)</f>
        <v>0.42688679245283</v>
      </c>
      <c r="V375" s="45" t="n">
        <f aca="false">IF(T375="",0,T375/N375-1)</f>
        <v>0.225008667514157</v>
      </c>
      <c r="W375" s="38" t="s">
        <v>94</v>
      </c>
    </row>
    <row r="376" customFormat="false" ht="15" hidden="false" customHeight="false" outlineLevel="0" collapsed="false">
      <c r="A376" s="19" t="n">
        <v>325</v>
      </c>
      <c r="B376" s="19" t="s">
        <v>519</v>
      </c>
      <c r="C376" s="19" t="s">
        <v>57</v>
      </c>
      <c r="D376" s="19"/>
      <c r="E376" s="19" t="s">
        <v>58</v>
      </c>
      <c r="F376" s="20" t="n">
        <v>58</v>
      </c>
      <c r="G376" s="20" t="n">
        <v>16</v>
      </c>
      <c r="H376" s="21" t="n">
        <v>338.08</v>
      </c>
      <c r="I376" s="21" t="n">
        <v>-2.3</v>
      </c>
      <c r="J376" s="21" t="n">
        <v>-4.26</v>
      </c>
      <c r="K376" s="22" t="n">
        <f aca="false">H376+I376+J376</f>
        <v>331.52</v>
      </c>
      <c r="L376" s="23" t="n">
        <f aca="false">IF($K$1282=0,0,K376/$K$1282)</f>
        <v>2.7462598876125E-005</v>
      </c>
      <c r="M376" s="24" t="n">
        <f aca="false">IF(F376&lt;=0,0,K376/F376)</f>
        <v>5.71586206896552</v>
      </c>
      <c r="N376" s="21" t="n">
        <v>4.26</v>
      </c>
      <c r="O376" s="49" t="n">
        <v>0.15</v>
      </c>
      <c r="P376" s="24" t="n">
        <f aca="false">O376*'Price Groups'!$B$5</f>
        <v>3.375</v>
      </c>
      <c r="Q376" s="26" t="n">
        <f aca="false">IF(OR(N376="",P376=""),"",(N376-P376)/N376)</f>
        <v>0.207746478873239</v>
      </c>
      <c r="R376" s="27" t="n">
        <v>1</v>
      </c>
      <c r="S376" s="28" t="n">
        <f aca="false">IF(R376="-",0,IFERROR(VLOOKUP(R376,'Price Groups'!$A$13:$C$17,3,FALSE()),0))</f>
        <v>0.22</v>
      </c>
      <c r="T376" s="22" t="n">
        <f aca="false">IF(OR(N376="",R376="-"),"",CEILING(ROUND(N376*(1+S376),2),IF(N376*(1+S376)&lt;100,0.5,IF(N376*(1+S376)&lt;1000,1,5))))</f>
        <v>5.5</v>
      </c>
      <c r="U376" s="26" t="n">
        <f aca="false">IF(OR(T376="",P376=""),"",(T376-P376)/T376)</f>
        <v>0.386363636363636</v>
      </c>
      <c r="V376" s="26" t="n">
        <f aca="false">IF(T376="",0,T376/N376-1)</f>
        <v>0.291079812206573</v>
      </c>
      <c r="W376" s="19" t="s">
        <v>333</v>
      </c>
    </row>
    <row r="377" customFormat="false" ht="15" hidden="false" customHeight="false" outlineLevel="0" collapsed="false">
      <c r="A377" s="38" t="n">
        <v>326</v>
      </c>
      <c r="B377" s="38" t="s">
        <v>520</v>
      </c>
      <c r="C377" s="38" t="s">
        <v>57</v>
      </c>
      <c r="D377" s="38"/>
      <c r="E377" s="38" t="s">
        <v>58</v>
      </c>
      <c r="F377" s="39" t="n">
        <v>58</v>
      </c>
      <c r="G377" s="39" t="n">
        <v>27</v>
      </c>
      <c r="H377" s="40" t="n">
        <v>1406.24</v>
      </c>
      <c r="I377" s="40" t="n">
        <v>-8</v>
      </c>
      <c r="J377" s="40" t="n">
        <v>-56.63</v>
      </c>
      <c r="K377" s="41" t="n">
        <f aca="false">H377+I377+J377</f>
        <v>1341.61</v>
      </c>
      <c r="L377" s="42" t="n">
        <f aca="false">IF($K$1282=0,0,K377/$K$1282)</f>
        <v>0.000111136876442441</v>
      </c>
      <c r="M377" s="43" t="n">
        <f aca="false">IF(F377&lt;=0,0,K377/F377)</f>
        <v>23.1312068965517</v>
      </c>
      <c r="N377" s="40" t="n">
        <v>19</v>
      </c>
      <c r="O377" s="44" t="n">
        <v>0.47</v>
      </c>
      <c r="P377" s="43" t="n">
        <f aca="false">O377*'Price Groups'!$B$5</f>
        <v>10.575</v>
      </c>
      <c r="Q377" s="45" t="n">
        <f aca="false">IF(OR(N377="",P377=""),"",(N377-P377)/N377)</f>
        <v>0.443421052631579</v>
      </c>
      <c r="R377" s="46" t="n">
        <v>1</v>
      </c>
      <c r="S377" s="47" t="n">
        <f aca="false">IF(R377="-",0,IFERROR(VLOOKUP(R377,'Price Groups'!$A$13:$C$17,3,FALSE()),0))</f>
        <v>0.22</v>
      </c>
      <c r="T377" s="41" t="n">
        <f aca="false">IF(OR(N377="",R377="-"),"",CEILING(ROUND(N377*(1+S377),2),IF(N377*(1+S377)&lt;100,0.5,IF(N377*(1+S377)&lt;1000,1,5))))</f>
        <v>23.5</v>
      </c>
      <c r="U377" s="45" t="n">
        <f aca="false">IF(OR(T377="",P377=""),"",(T377-P377)/T377)</f>
        <v>0.55</v>
      </c>
      <c r="V377" s="45" t="n">
        <f aca="false">IF(T377="",0,T377/N377-1)</f>
        <v>0.236842105263158</v>
      </c>
      <c r="W377" s="38" t="s">
        <v>94</v>
      </c>
    </row>
    <row r="378" customFormat="false" ht="15" hidden="false" customHeight="false" outlineLevel="0" collapsed="false">
      <c r="A378" s="19" t="n">
        <v>327</v>
      </c>
      <c r="B378" s="19" t="s">
        <v>521</v>
      </c>
      <c r="C378" s="19" t="s">
        <v>57</v>
      </c>
      <c r="D378" s="19"/>
      <c r="E378" s="19" t="s">
        <v>58</v>
      </c>
      <c r="F378" s="20" t="n">
        <v>58</v>
      </c>
      <c r="G378" s="20" t="n">
        <v>33</v>
      </c>
      <c r="H378" s="21" t="n">
        <v>10471.81</v>
      </c>
      <c r="I378" s="21" t="n">
        <v>-25.78</v>
      </c>
      <c r="J378" s="21" t="n">
        <v>-721.8</v>
      </c>
      <c r="K378" s="22" t="n">
        <f aca="false">H378+I378+J378</f>
        <v>9724.23</v>
      </c>
      <c r="L378" s="23" t="n">
        <f aca="false">IF($K$1282=0,0,K378/$K$1282)</f>
        <v>0.000805540021323542</v>
      </c>
      <c r="M378" s="24" t="n">
        <f aca="false">IF(F378&lt;=0,0,K378/F378)</f>
        <v>167.659137931034</v>
      </c>
      <c r="N378" s="21" t="n">
        <v>174.99</v>
      </c>
      <c r="O378" s="49" t="n">
        <v>3.92</v>
      </c>
      <c r="P378" s="24" t="n">
        <f aca="false">O378*'Price Groups'!$B$5</f>
        <v>88.2</v>
      </c>
      <c r="Q378" s="26" t="n">
        <f aca="false">IF(OR(N378="",P378=""),"",(N378-P378)/N378)</f>
        <v>0.495971198354192</v>
      </c>
      <c r="R378" s="27" t="n">
        <v>1</v>
      </c>
      <c r="S378" s="28" t="n">
        <f aca="false">IF(R378="-",0,IFERROR(VLOOKUP(R378,'Price Groups'!$A$13:$C$17,3,FALSE()),0))</f>
        <v>0.22</v>
      </c>
      <c r="T378" s="22" t="n">
        <f aca="false">IF(OR(N378="",R378="-"),"",CEILING(ROUND(N378*(1+S378),2),IF(N378*(1+S378)&lt;100,0.5,IF(N378*(1+S378)&lt;1000,1,5))))</f>
        <v>214</v>
      </c>
      <c r="U378" s="26" t="n">
        <f aca="false">IF(OR(T378="",P378=""),"",(T378-P378)/T378)</f>
        <v>0.58785046728972</v>
      </c>
      <c r="V378" s="26" t="n">
        <f aca="false">IF(T378="",0,T378/N378-1)</f>
        <v>0.222927024401394</v>
      </c>
      <c r="W378" s="19" t="s">
        <v>94</v>
      </c>
    </row>
    <row r="379" customFormat="false" ht="15" hidden="false" customHeight="false" outlineLevel="0" collapsed="false">
      <c r="A379" s="38" t="n">
        <v>328</v>
      </c>
      <c r="B379" s="38" t="s">
        <v>522</v>
      </c>
      <c r="C379" s="38" t="s">
        <v>57</v>
      </c>
      <c r="D379" s="38"/>
      <c r="E379" s="38" t="s">
        <v>58</v>
      </c>
      <c r="F379" s="39" t="n">
        <v>58</v>
      </c>
      <c r="G379" s="39" t="n">
        <v>34</v>
      </c>
      <c r="H379" s="40" t="n">
        <v>5166.74</v>
      </c>
      <c r="I379" s="40" t="n">
        <v>-16.78</v>
      </c>
      <c r="J379" s="40" t="n">
        <v>-626.92</v>
      </c>
      <c r="K379" s="41" t="n">
        <f aca="false">H379+I379+J379</f>
        <v>4523.04</v>
      </c>
      <c r="L379" s="42" t="n">
        <f aca="false">IF($K$1282=0,0,K379/$K$1282)</f>
        <v>0.000374681567388599</v>
      </c>
      <c r="M379" s="43" t="n">
        <f aca="false">IF(F379&lt;=0,0,K379/F379)</f>
        <v>77.9834482758621</v>
      </c>
      <c r="N379" s="40" t="n">
        <v>79.99</v>
      </c>
      <c r="O379" s="44" t="n">
        <v>1.84</v>
      </c>
      <c r="P379" s="43" t="n">
        <f aca="false">O379*'Price Groups'!$B$5</f>
        <v>41.4</v>
      </c>
      <c r="Q379" s="45" t="n">
        <f aca="false">IF(OR(N379="",P379=""),"",(N379-P379)/N379)</f>
        <v>0.482435304413052</v>
      </c>
      <c r="R379" s="46" t="n">
        <v>1</v>
      </c>
      <c r="S379" s="47" t="n">
        <f aca="false">IF(R379="-",0,IFERROR(VLOOKUP(R379,'Price Groups'!$A$13:$C$17,3,FALSE()),0))</f>
        <v>0.22</v>
      </c>
      <c r="T379" s="41" t="n">
        <f aca="false">IF(OR(N379="",R379="-"),"",CEILING(ROUND(N379*(1+S379),2),IF(N379*(1+S379)&lt;100,0.5,IF(N379*(1+S379)&lt;1000,1,5))))</f>
        <v>98</v>
      </c>
      <c r="U379" s="45" t="n">
        <f aca="false">IF(OR(T379="",P379=""),"",(T379-P379)/T379)</f>
        <v>0.577551020408163</v>
      </c>
      <c r="V379" s="45" t="n">
        <f aca="false">IF(T379="",0,T379/N379-1)</f>
        <v>0.225153144143018</v>
      </c>
      <c r="W379" s="38" t="s">
        <v>94</v>
      </c>
    </row>
    <row r="380" customFormat="false" ht="15" hidden="false" customHeight="false" outlineLevel="0" collapsed="false">
      <c r="A380" s="19" t="n">
        <v>329</v>
      </c>
      <c r="B380" s="19" t="s">
        <v>523</v>
      </c>
      <c r="C380" s="19" t="s">
        <v>57</v>
      </c>
      <c r="D380" s="19"/>
      <c r="E380" s="19" t="s">
        <v>58</v>
      </c>
      <c r="F380" s="20" t="n">
        <v>57</v>
      </c>
      <c r="G380" s="20" t="n">
        <v>62</v>
      </c>
      <c r="H380" s="21" t="n">
        <v>14870.1</v>
      </c>
      <c r="I380" s="21" t="n">
        <v>-24.6</v>
      </c>
      <c r="J380" s="21" t="n">
        <v>-2216.28</v>
      </c>
      <c r="K380" s="22" t="n">
        <f aca="false">H380+I380+J380</f>
        <v>12629.22</v>
      </c>
      <c r="L380" s="23" t="n">
        <f aca="false">IF($K$1282=0,0,K380/$K$1282)</f>
        <v>0.00104618485454372</v>
      </c>
      <c r="M380" s="24" t="n">
        <f aca="false">IF(F380&lt;=0,0,K380/F380)</f>
        <v>221.565263157895</v>
      </c>
      <c r="N380" s="21" t="n">
        <v>225.57</v>
      </c>
      <c r="O380" s="49" t="n">
        <v>4.27</v>
      </c>
      <c r="P380" s="24" t="n">
        <f aca="false">O380*'Price Groups'!$B$5</f>
        <v>96.075</v>
      </c>
      <c r="Q380" s="26" t="n">
        <f aca="false">IF(OR(N380="",P380=""),"",(N380-P380)/N380)</f>
        <v>0.574078999867004</v>
      </c>
      <c r="R380" s="27" t="n">
        <v>3</v>
      </c>
      <c r="S380" s="28" t="n">
        <f aca="false">IF(R380="-",0,IFERROR(VLOOKUP(R380,'Price Groups'!$A$13:$C$17,3,FALSE()),0))</f>
        <v>0.16</v>
      </c>
      <c r="T380" s="22" t="n">
        <f aca="false">IF(OR(N380="",R380="-"),"",CEILING(ROUND(N380*(1+S380),2),IF(N380*(1+S380)&lt;100,0.5,IF(N380*(1+S380)&lt;1000,1,5))))</f>
        <v>262</v>
      </c>
      <c r="U380" s="26" t="n">
        <f aca="false">IF(OR(T380="",P380=""),"",(T380-P380)/T380)</f>
        <v>0.633301526717557</v>
      </c>
      <c r="V380" s="26" t="n">
        <f aca="false">IF(T380="",0,T380/N380-1)</f>
        <v>0.161501972780068</v>
      </c>
      <c r="W380" s="19" t="s">
        <v>107</v>
      </c>
    </row>
    <row r="381" customFormat="false" ht="15" hidden="false" customHeight="false" outlineLevel="0" collapsed="false">
      <c r="A381" s="38" t="n">
        <v>330</v>
      </c>
      <c r="B381" s="38" t="s">
        <v>524</v>
      </c>
      <c r="C381" s="38" t="s">
        <v>57</v>
      </c>
      <c r="D381" s="38"/>
      <c r="E381" s="38" t="s">
        <v>58</v>
      </c>
      <c r="F381" s="39" t="n">
        <v>57</v>
      </c>
      <c r="G381" s="39" t="n">
        <v>26</v>
      </c>
      <c r="H381" s="40" t="n">
        <v>331.1</v>
      </c>
      <c r="I381" s="40" t="n">
        <v>-4.64</v>
      </c>
      <c r="J381" s="40" t="n">
        <v>-8.52</v>
      </c>
      <c r="K381" s="41" t="n">
        <f aca="false">H381+I381+J381</f>
        <v>317.94</v>
      </c>
      <c r="L381" s="42" t="n">
        <f aca="false">IF($K$1282=0,0,K381/$K$1282)</f>
        <v>2.63376528917567E-005</v>
      </c>
      <c r="M381" s="43" t="n">
        <f aca="false">IF(F381&lt;=0,0,K381/F381)</f>
        <v>5.57789473684211</v>
      </c>
      <c r="N381" s="40" t="n">
        <v>4.26</v>
      </c>
      <c r="O381" s="44" t="n">
        <v>0.15</v>
      </c>
      <c r="P381" s="43" t="n">
        <f aca="false">O381*'Price Groups'!$B$5</f>
        <v>3.375</v>
      </c>
      <c r="Q381" s="45" t="n">
        <f aca="false">IF(OR(N381="",P381=""),"",(N381-P381)/N381)</f>
        <v>0.207746478873239</v>
      </c>
      <c r="R381" s="46" t="n">
        <v>1</v>
      </c>
      <c r="S381" s="47" t="n">
        <f aca="false">IF(R381="-",0,IFERROR(VLOOKUP(R381,'Price Groups'!$A$13:$C$17,3,FALSE()),0))</f>
        <v>0.22</v>
      </c>
      <c r="T381" s="41" t="n">
        <f aca="false">IF(OR(N381="",R381="-"),"",CEILING(ROUND(N381*(1+S381),2),IF(N381*(1+S381)&lt;100,0.5,IF(N381*(1+S381)&lt;1000,1,5))))</f>
        <v>5.5</v>
      </c>
      <c r="U381" s="45" t="n">
        <f aca="false">IF(OR(T381="",P381=""),"",(T381-P381)/T381)</f>
        <v>0.386363636363636</v>
      </c>
      <c r="V381" s="45" t="n">
        <f aca="false">IF(T381="",0,T381/N381-1)</f>
        <v>0.291079812206573</v>
      </c>
      <c r="W381" s="38" t="s">
        <v>333</v>
      </c>
    </row>
    <row r="382" customFormat="false" ht="15" hidden="false" customHeight="false" outlineLevel="0" collapsed="false">
      <c r="A382" s="19" t="n">
        <v>331</v>
      </c>
      <c r="B382" s="19" t="s">
        <v>525</v>
      </c>
      <c r="C382" s="19" t="s">
        <v>57</v>
      </c>
      <c r="D382" s="19"/>
      <c r="E382" s="19" t="s">
        <v>58</v>
      </c>
      <c r="F382" s="20" t="n">
        <v>57</v>
      </c>
      <c r="G382" s="20" t="n">
        <v>24</v>
      </c>
      <c r="H382" s="21" t="n">
        <v>5515.15</v>
      </c>
      <c r="I382" s="21" t="n">
        <v>-38.97</v>
      </c>
      <c r="J382" s="21" t="n">
        <v>-259.98</v>
      </c>
      <c r="K382" s="22" t="n">
        <f aca="false">H382+I382+J382</f>
        <v>5216.2</v>
      </c>
      <c r="L382" s="23" t="n">
        <f aca="false">IF($K$1282=0,0,K382/$K$1282)</f>
        <v>0.000432101858885265</v>
      </c>
      <c r="M382" s="24" t="n">
        <f aca="false">IF(F382&lt;=0,0,K382/F382)</f>
        <v>91.5122807017544</v>
      </c>
      <c r="N382" s="21" t="n">
        <v>84.99</v>
      </c>
      <c r="O382" s="49" t="n">
        <v>1.25</v>
      </c>
      <c r="P382" s="24" t="n">
        <f aca="false">O382*'Price Groups'!$B$5</f>
        <v>28.125</v>
      </c>
      <c r="Q382" s="26" t="n">
        <f aca="false">IF(OR(N382="",P382=""),"",(N382-P382)/N382)</f>
        <v>0.669078715142958</v>
      </c>
      <c r="R382" s="27" t="n">
        <v>1</v>
      </c>
      <c r="S382" s="28" t="n">
        <f aca="false">IF(R382="-",0,IFERROR(VLOOKUP(R382,'Price Groups'!$A$13:$C$17,3,FALSE()),0))</f>
        <v>0.22</v>
      </c>
      <c r="T382" s="22" t="n">
        <f aca="false">IF(OR(N382="",R382="-"),"",CEILING(ROUND(N382*(1+S382),2),IF(N382*(1+S382)&lt;100,0.5,IF(N382*(1+S382)&lt;1000,1,5))))</f>
        <v>104</v>
      </c>
      <c r="U382" s="26" t="n">
        <f aca="false">IF(OR(T382="",P382=""),"",(T382-P382)/T382)</f>
        <v>0.729567307692308</v>
      </c>
      <c r="V382" s="26" t="n">
        <f aca="false">IF(T382="",0,T382/N382-1)</f>
        <v>0.22367337333804</v>
      </c>
      <c r="W382" s="19" t="s">
        <v>94</v>
      </c>
    </row>
    <row r="383" customFormat="false" ht="15" hidden="false" customHeight="false" outlineLevel="0" collapsed="false">
      <c r="A383" s="38" t="n">
        <v>332</v>
      </c>
      <c r="B383" s="38" t="s">
        <v>526</v>
      </c>
      <c r="C383" s="38" t="s">
        <v>57</v>
      </c>
      <c r="D383" s="38"/>
      <c r="E383" s="38" t="s">
        <v>58</v>
      </c>
      <c r="F383" s="39" t="n">
        <v>57</v>
      </c>
      <c r="G383" s="39" t="n">
        <v>29</v>
      </c>
      <c r="H383" s="40" t="n">
        <v>1121</v>
      </c>
      <c r="I383" s="40" t="n">
        <v>0</v>
      </c>
      <c r="J383" s="40" t="n">
        <v>-38</v>
      </c>
      <c r="K383" s="41" t="n">
        <f aca="false">H383+I383+J383</f>
        <v>1083</v>
      </c>
      <c r="L383" s="42" t="n">
        <f aca="false">IF($K$1282=0,0,K383/$K$1282)</f>
        <v>8.97140280611828E-005</v>
      </c>
      <c r="M383" s="43" t="n">
        <f aca="false">IF(F383&lt;=0,0,K383/F383)</f>
        <v>19</v>
      </c>
      <c r="N383" s="40" t="n">
        <v>19</v>
      </c>
      <c r="O383" s="44" t="n">
        <v>0.4</v>
      </c>
      <c r="P383" s="43" t="n">
        <f aca="false">O383*'Price Groups'!$B$5</f>
        <v>9</v>
      </c>
      <c r="Q383" s="45" t="n">
        <f aca="false">IF(OR(N383="",P383=""),"",(N383-P383)/N383)</f>
        <v>0.526315789473684</v>
      </c>
      <c r="R383" s="46" t="n">
        <v>1</v>
      </c>
      <c r="S383" s="47" t="n">
        <f aca="false">IF(R383="-",0,IFERROR(VLOOKUP(R383,'Price Groups'!$A$13:$C$17,3,FALSE()),0))</f>
        <v>0.22</v>
      </c>
      <c r="T383" s="41" t="n">
        <f aca="false">IF(OR(N383="",R383="-"),"",CEILING(ROUND(N383*(1+S383),2),IF(N383*(1+S383)&lt;100,0.5,IF(N383*(1+S383)&lt;1000,1,5))))</f>
        <v>23.5</v>
      </c>
      <c r="U383" s="45" t="n">
        <f aca="false">IF(OR(T383="",P383=""),"",(T383-P383)/T383)</f>
        <v>0.617021276595745</v>
      </c>
      <c r="V383" s="45" t="n">
        <f aca="false">IF(T383="",0,T383/N383-1)</f>
        <v>0.236842105263158</v>
      </c>
      <c r="W383" s="38" t="s">
        <v>94</v>
      </c>
    </row>
    <row r="384" customFormat="false" ht="15" hidden="false" customHeight="false" outlineLevel="0" collapsed="false">
      <c r="A384" s="19" t="n">
        <v>333</v>
      </c>
      <c r="B384" s="19" t="s">
        <v>527</v>
      </c>
      <c r="C384" s="19" t="s">
        <v>57</v>
      </c>
      <c r="D384" s="19"/>
      <c r="E384" s="19" t="s">
        <v>58</v>
      </c>
      <c r="F384" s="20" t="n">
        <v>57</v>
      </c>
      <c r="G384" s="20" t="n">
        <v>22</v>
      </c>
      <c r="H384" s="21" t="n">
        <v>4929.42</v>
      </c>
      <c r="I384" s="21" t="n">
        <v>-1546.8</v>
      </c>
      <c r="J384" s="21" t="n">
        <v>-84.99</v>
      </c>
      <c r="K384" s="22" t="n">
        <f aca="false">H384+I384+J384</f>
        <v>3297.63</v>
      </c>
      <c r="L384" s="23" t="n">
        <f aca="false">IF($K$1282=0,0,K384/$K$1282)</f>
        <v>0.00027317051741034</v>
      </c>
      <c r="M384" s="24" t="n">
        <f aca="false">IF(F384&lt;=0,0,K384/F384)</f>
        <v>57.8531578947368</v>
      </c>
      <c r="N384" s="21" t="n">
        <v>84.99</v>
      </c>
      <c r="O384" s="49" t="n">
        <v>1.87</v>
      </c>
      <c r="P384" s="24" t="n">
        <f aca="false">O384*'Price Groups'!$B$5</f>
        <v>42.075</v>
      </c>
      <c r="Q384" s="26" t="n">
        <f aca="false">IF(OR(N384="",P384=""),"",(N384-P384)/N384)</f>
        <v>0.504941757853865</v>
      </c>
      <c r="R384" s="27" t="n">
        <v>1</v>
      </c>
      <c r="S384" s="28" t="n">
        <f aca="false">IF(R384="-",0,IFERROR(VLOOKUP(R384,'Price Groups'!$A$13:$C$17,3,FALSE()),0))</f>
        <v>0.22</v>
      </c>
      <c r="T384" s="22" t="n">
        <f aca="false">IF(OR(N384="",R384="-"),"",CEILING(ROUND(N384*(1+S384),2),IF(N384*(1+S384)&lt;100,0.5,IF(N384*(1+S384)&lt;1000,1,5))))</f>
        <v>104</v>
      </c>
      <c r="U384" s="26" t="n">
        <f aca="false">IF(OR(T384="",P384=""),"",(T384-P384)/T384)</f>
        <v>0.595432692307692</v>
      </c>
      <c r="V384" s="26" t="n">
        <f aca="false">IF(T384="",0,T384/N384-1)</f>
        <v>0.22367337333804</v>
      </c>
      <c r="W384" s="19" t="s">
        <v>94</v>
      </c>
    </row>
    <row r="385" customFormat="false" ht="15" hidden="false" customHeight="false" outlineLevel="0" collapsed="false">
      <c r="A385" s="38" t="n">
        <v>334</v>
      </c>
      <c r="B385" s="38" t="s">
        <v>528</v>
      </c>
      <c r="C385" s="38" t="s">
        <v>57</v>
      </c>
      <c r="D385" s="38"/>
      <c r="E385" s="38" t="s">
        <v>58</v>
      </c>
      <c r="F385" s="39" t="n">
        <v>57</v>
      </c>
      <c r="G385" s="39" t="n">
        <v>36</v>
      </c>
      <c r="H385" s="40" t="n">
        <v>1223.9</v>
      </c>
      <c r="I385" s="40" t="n">
        <v>-19.35</v>
      </c>
      <c r="J385" s="40" t="n">
        <v>-275.99</v>
      </c>
      <c r="K385" s="41" t="n">
        <f aca="false">H385+I385+J385</f>
        <v>928.56</v>
      </c>
      <c r="L385" s="42" t="n">
        <f aca="false">IF($K$1282=0,0,K385/$K$1282)</f>
        <v>7.69204597382197E-005</v>
      </c>
      <c r="M385" s="43" t="n">
        <f aca="false">IF(F385&lt;=0,0,K385/F385)</f>
        <v>16.2905263157895</v>
      </c>
      <c r="N385" s="40" t="n">
        <v>19.99</v>
      </c>
      <c r="O385" s="44" t="n">
        <v>0.39</v>
      </c>
      <c r="P385" s="43" t="n">
        <f aca="false">O385*'Price Groups'!$B$5</f>
        <v>8.775</v>
      </c>
      <c r="Q385" s="45" t="n">
        <f aca="false">IF(OR(N385="",P385=""),"",(N385-P385)/N385)</f>
        <v>0.561030515257629</v>
      </c>
      <c r="R385" s="46" t="n">
        <v>1</v>
      </c>
      <c r="S385" s="47" t="n">
        <f aca="false">IF(R385="-",0,IFERROR(VLOOKUP(R385,'Price Groups'!$A$13:$C$17,3,FALSE()),0))</f>
        <v>0.22</v>
      </c>
      <c r="T385" s="41" t="n">
        <f aca="false">IF(OR(N385="",R385="-"),"",CEILING(ROUND(N385*(1+S385),2),IF(N385*(1+S385)&lt;100,0.5,IF(N385*(1+S385)&lt;1000,1,5))))</f>
        <v>24.5</v>
      </c>
      <c r="U385" s="45" t="n">
        <f aca="false">IF(OR(T385="",P385=""),"",(T385-P385)/T385)</f>
        <v>0.641836734693878</v>
      </c>
      <c r="V385" s="45" t="n">
        <f aca="false">IF(T385="",0,T385/N385-1)</f>
        <v>0.225612806403202</v>
      </c>
      <c r="W385" s="38" t="s">
        <v>94</v>
      </c>
    </row>
    <row r="386" customFormat="false" ht="15" hidden="false" customHeight="false" outlineLevel="0" collapsed="false">
      <c r="A386" s="19" t="n">
        <v>335</v>
      </c>
      <c r="B386" s="19" t="s">
        <v>529</v>
      </c>
      <c r="C386" s="19" t="s">
        <v>57</v>
      </c>
      <c r="D386" s="19"/>
      <c r="E386" s="19" t="s">
        <v>58</v>
      </c>
      <c r="F386" s="20" t="n">
        <v>56</v>
      </c>
      <c r="G386" s="20" t="n">
        <v>28</v>
      </c>
      <c r="H386" s="21" t="n">
        <v>619.08</v>
      </c>
      <c r="I386" s="21" t="n">
        <v>-6</v>
      </c>
      <c r="J386" s="21" t="n">
        <v>-8.01</v>
      </c>
      <c r="K386" s="22" t="n">
        <f aca="false">H386+I386+J386</f>
        <v>605.07</v>
      </c>
      <c r="L386" s="23" t="n">
        <f aca="false">IF($K$1282=0,0,K386/$K$1282)</f>
        <v>5.01230535170636E-005</v>
      </c>
      <c r="M386" s="24" t="n">
        <f aca="false">IF(F386&lt;=0,0,K386/F386)</f>
        <v>10.8048214285714</v>
      </c>
      <c r="N386" s="21" t="n">
        <v>8.01</v>
      </c>
      <c r="O386" s="49" t="n">
        <v>0.25</v>
      </c>
      <c r="P386" s="24" t="n">
        <f aca="false">O386*'Price Groups'!$B$5</f>
        <v>5.625</v>
      </c>
      <c r="Q386" s="26" t="n">
        <f aca="false">IF(OR(N386="",P386=""),"",(N386-P386)/N386)</f>
        <v>0.297752808988764</v>
      </c>
      <c r="R386" s="27" t="n">
        <v>1</v>
      </c>
      <c r="S386" s="28" t="n">
        <f aca="false">IF(R386="-",0,IFERROR(VLOOKUP(R386,'Price Groups'!$A$13:$C$17,3,FALSE()),0))</f>
        <v>0.22</v>
      </c>
      <c r="T386" s="22" t="n">
        <f aca="false">IF(OR(N386="",R386="-"),"",CEILING(ROUND(N386*(1+S386),2),IF(N386*(1+S386)&lt;100,0.5,IF(N386*(1+S386)&lt;1000,1,5))))</f>
        <v>10</v>
      </c>
      <c r="U386" s="26" t="n">
        <f aca="false">IF(OR(T386="",P386=""),"",(T386-P386)/T386)</f>
        <v>0.4375</v>
      </c>
      <c r="V386" s="26" t="n">
        <f aca="false">IF(T386="",0,T386/N386-1)</f>
        <v>0.248439450686642</v>
      </c>
      <c r="W386" s="19" t="s">
        <v>94</v>
      </c>
    </row>
    <row r="387" customFormat="false" ht="15" hidden="false" customHeight="false" outlineLevel="0" collapsed="false">
      <c r="A387" s="38" t="n">
        <v>336</v>
      </c>
      <c r="B387" s="38" t="s">
        <v>530</v>
      </c>
      <c r="C387" s="38" t="s">
        <v>57</v>
      </c>
      <c r="D387" s="38" t="s">
        <v>531</v>
      </c>
      <c r="E387" s="38" t="s">
        <v>58</v>
      </c>
      <c r="F387" s="39" t="n">
        <v>56</v>
      </c>
      <c r="G387" s="39" t="n">
        <v>34</v>
      </c>
      <c r="H387" s="40" t="n">
        <v>12490.21</v>
      </c>
      <c r="I387" s="40" t="n">
        <v>-110.98</v>
      </c>
      <c r="J387" s="40" t="n">
        <v>-5033.53</v>
      </c>
      <c r="K387" s="41" t="n">
        <f aca="false">H387+I387+J387</f>
        <v>7345.7</v>
      </c>
      <c r="L387" s="42" t="n">
        <f aca="false">IF($K$1282=0,0,K387/$K$1282)</f>
        <v>0.000608506312030499</v>
      </c>
      <c r="M387" s="43" t="n">
        <f aca="false">IF(F387&lt;=0,0,K387/F387)</f>
        <v>131.173214285714</v>
      </c>
      <c r="N387" s="40" t="n">
        <v>99.99</v>
      </c>
      <c r="O387" s="44" t="n">
        <v>2.4</v>
      </c>
      <c r="P387" s="43" t="n">
        <f aca="false">O387*'Price Groups'!$B$5</f>
        <v>54</v>
      </c>
      <c r="Q387" s="45" t="n">
        <f aca="false">IF(OR(N387="",P387=""),"",(N387-P387)/N387)</f>
        <v>0.45994599459946</v>
      </c>
      <c r="R387" s="46" t="n">
        <v>2</v>
      </c>
      <c r="S387" s="47" t="n">
        <f aca="false">IF(R387="-",0,IFERROR(VLOOKUP(R387,'Price Groups'!$A$13:$C$17,3,FALSE()),0))</f>
        <v>0.18</v>
      </c>
      <c r="T387" s="41" t="n">
        <f aca="false">IF(OR(N387="",R387="-"),"",CEILING(ROUND(N387*(1+S387),2),IF(N387*(1+S387)&lt;100,0.5,IF(N387*(1+S387)&lt;1000,1,5))))</f>
        <v>118</v>
      </c>
      <c r="U387" s="45" t="n">
        <f aca="false">IF(OR(T387="",P387=""),"",(T387-P387)/T387)</f>
        <v>0.542372881355932</v>
      </c>
      <c r="V387" s="45" t="n">
        <f aca="false">IF(T387="",0,T387/N387-1)</f>
        <v>0.18011801180118</v>
      </c>
      <c r="W387" s="38" t="s">
        <v>195</v>
      </c>
    </row>
    <row r="388" customFormat="false" ht="15" hidden="false" customHeight="false" outlineLevel="0" collapsed="false">
      <c r="A388" s="19" t="n">
        <v>337</v>
      </c>
      <c r="B388" s="19" t="s">
        <v>532</v>
      </c>
      <c r="C388" s="19" t="s">
        <v>57</v>
      </c>
      <c r="D388" s="19"/>
      <c r="E388" s="19" t="s">
        <v>58</v>
      </c>
      <c r="F388" s="20" t="n">
        <v>56</v>
      </c>
      <c r="G388" s="20" t="n">
        <v>33</v>
      </c>
      <c r="H388" s="21" t="n">
        <v>10589</v>
      </c>
      <c r="I388" s="21" t="n">
        <v>-77.6</v>
      </c>
      <c r="J388" s="21" t="n">
        <v>0</v>
      </c>
      <c r="K388" s="22" t="n">
        <f aca="false">H388+I388+J388</f>
        <v>10511.4</v>
      </c>
      <c r="L388" s="23" t="n">
        <f aca="false">IF($K$1282=0,0,K388/$K$1282)</f>
        <v>0.00087074795435117</v>
      </c>
      <c r="M388" s="24" t="n">
        <f aca="false">IF(F388&lt;=0,0,K388/F388)</f>
        <v>187.703571428571</v>
      </c>
      <c r="N388" s="21" t="n">
        <v>194</v>
      </c>
      <c r="O388" s="49" t="n">
        <v>2.91</v>
      </c>
      <c r="P388" s="24" t="n">
        <f aca="false">O388*'Price Groups'!$B$5</f>
        <v>65.475</v>
      </c>
      <c r="Q388" s="26" t="n">
        <f aca="false">IF(OR(N388="",P388=""),"",(N388-P388)/N388)</f>
        <v>0.6625</v>
      </c>
      <c r="R388" s="27" t="n">
        <v>1</v>
      </c>
      <c r="S388" s="28" t="n">
        <f aca="false">IF(R388="-",0,IFERROR(VLOOKUP(R388,'Price Groups'!$A$13:$C$17,3,FALSE()),0))</f>
        <v>0.22</v>
      </c>
      <c r="T388" s="22" t="n">
        <f aca="false">IF(OR(N388="",R388="-"),"",CEILING(ROUND(N388*(1+S388),2),IF(N388*(1+S388)&lt;100,0.5,IF(N388*(1+S388)&lt;1000,1,5))))</f>
        <v>237</v>
      </c>
      <c r="U388" s="26" t="n">
        <f aca="false">IF(OR(T388="",P388=""),"",(T388-P388)/T388)</f>
        <v>0.72373417721519</v>
      </c>
      <c r="V388" s="26" t="n">
        <f aca="false">IF(T388="",0,T388/N388-1)</f>
        <v>0.221649484536083</v>
      </c>
      <c r="W388" s="19" t="s">
        <v>94</v>
      </c>
    </row>
    <row r="389" customFormat="false" ht="15" hidden="false" customHeight="false" outlineLevel="0" collapsed="false">
      <c r="A389" s="38" t="n">
        <v>338</v>
      </c>
      <c r="B389" s="38" t="s">
        <v>533</v>
      </c>
      <c r="C389" s="38" t="s">
        <v>57</v>
      </c>
      <c r="D389" s="38"/>
      <c r="E389" s="38" t="s">
        <v>58</v>
      </c>
      <c r="F389" s="39" t="n">
        <v>56</v>
      </c>
      <c r="G389" s="39" t="n">
        <v>30</v>
      </c>
      <c r="H389" s="40" t="n">
        <v>4709.71</v>
      </c>
      <c r="I389" s="40" t="n">
        <v>-1469.8</v>
      </c>
      <c r="J389" s="40" t="n">
        <v>-657</v>
      </c>
      <c r="K389" s="41" t="n">
        <f aca="false">H389+I389+J389</f>
        <v>2582.91</v>
      </c>
      <c r="L389" s="42" t="n">
        <f aca="false">IF($K$1282=0,0,K389/$K$1282)</f>
        <v>0.000213964229196223</v>
      </c>
      <c r="M389" s="43" t="n">
        <f aca="false">IF(F389&lt;=0,0,K389/F389)</f>
        <v>46.1233928571429</v>
      </c>
      <c r="N389" s="40" t="n">
        <v>79.99</v>
      </c>
      <c r="O389" s="44" t="n">
        <v>1.73</v>
      </c>
      <c r="P389" s="43" t="n">
        <f aca="false">O389*'Price Groups'!$B$5</f>
        <v>38.925</v>
      </c>
      <c r="Q389" s="45" t="n">
        <f aca="false">IF(OR(N389="",P389=""),"",(N389-P389)/N389)</f>
        <v>0.513376672084011</v>
      </c>
      <c r="R389" s="46" t="n">
        <v>1</v>
      </c>
      <c r="S389" s="47" t="n">
        <f aca="false">IF(R389="-",0,IFERROR(VLOOKUP(R389,'Price Groups'!$A$13:$C$17,3,FALSE()),0))</f>
        <v>0.22</v>
      </c>
      <c r="T389" s="41" t="n">
        <f aca="false">IF(OR(N389="",R389="-"),"",CEILING(ROUND(N389*(1+S389),2),IF(N389*(1+S389)&lt;100,0.5,IF(N389*(1+S389)&lt;1000,1,5))))</f>
        <v>98</v>
      </c>
      <c r="U389" s="45" t="n">
        <f aca="false">IF(OR(T389="",P389=""),"",(T389-P389)/T389)</f>
        <v>0.60280612244898</v>
      </c>
      <c r="V389" s="45" t="n">
        <f aca="false">IF(T389="",0,T389/N389-1)</f>
        <v>0.225153144143018</v>
      </c>
      <c r="W389" s="38" t="s">
        <v>94</v>
      </c>
    </row>
    <row r="390" customFormat="false" ht="15" hidden="false" customHeight="false" outlineLevel="0" collapsed="false">
      <c r="A390" s="19" t="n">
        <v>339</v>
      </c>
      <c r="B390" s="19" t="s">
        <v>534</v>
      </c>
      <c r="C390" s="19" t="s">
        <v>57</v>
      </c>
      <c r="D390" s="19"/>
      <c r="E390" s="19" t="s">
        <v>58</v>
      </c>
      <c r="F390" s="20" t="n">
        <v>56</v>
      </c>
      <c r="G390" s="20" t="n">
        <v>20</v>
      </c>
      <c r="H390" s="21" t="n">
        <v>1418.55</v>
      </c>
      <c r="I390" s="21" t="n">
        <v>-19.01</v>
      </c>
      <c r="J390" s="21" t="n">
        <v>-50.97</v>
      </c>
      <c r="K390" s="22" t="n">
        <f aca="false">H390+I390+J390</f>
        <v>1348.57</v>
      </c>
      <c r="L390" s="23" t="n">
        <f aca="false">IF($K$1282=0,0,K390/$K$1282)</f>
        <v>0.000111713431969039</v>
      </c>
      <c r="M390" s="24" t="n">
        <f aca="false">IF(F390&lt;=0,0,K390/F390)</f>
        <v>24.0816071428571</v>
      </c>
      <c r="N390" s="21" t="n">
        <v>16.99</v>
      </c>
      <c r="O390" s="49" t="n">
        <v>0.53</v>
      </c>
      <c r="P390" s="24" t="n">
        <f aca="false">O390*'Price Groups'!$B$5</f>
        <v>11.925</v>
      </c>
      <c r="Q390" s="26" t="n">
        <f aca="false">IF(OR(N390="",P390=""),"",(N390-P390)/N390)</f>
        <v>0.298116539140671</v>
      </c>
      <c r="R390" s="27" t="n">
        <v>1</v>
      </c>
      <c r="S390" s="28" t="n">
        <f aca="false">IF(R390="-",0,IFERROR(VLOOKUP(R390,'Price Groups'!$A$13:$C$17,3,FALSE()),0))</f>
        <v>0.22</v>
      </c>
      <c r="T390" s="22" t="n">
        <f aca="false">IF(OR(N390="",R390="-"),"",CEILING(ROUND(N390*(1+S390),2),IF(N390*(1+S390)&lt;100,0.5,IF(N390*(1+S390)&lt;1000,1,5))))</f>
        <v>21</v>
      </c>
      <c r="U390" s="26" t="n">
        <f aca="false">IF(OR(T390="",P390=""),"",(T390-P390)/T390)</f>
        <v>0.432142857142857</v>
      </c>
      <c r="V390" s="26" t="n">
        <f aca="false">IF(T390="",0,T390/N390-1)</f>
        <v>0.236021188934668</v>
      </c>
      <c r="W390" s="19" t="s">
        <v>94</v>
      </c>
    </row>
    <row r="391" customFormat="false" ht="15" hidden="false" customHeight="false" outlineLevel="0" collapsed="false">
      <c r="A391" s="38" t="n">
        <v>340</v>
      </c>
      <c r="B391" s="38" t="s">
        <v>535</v>
      </c>
      <c r="C391" s="38" t="s">
        <v>57</v>
      </c>
      <c r="D391" s="38"/>
      <c r="E391" s="38" t="s">
        <v>58</v>
      </c>
      <c r="F391" s="39" t="n">
        <v>55</v>
      </c>
      <c r="G391" s="39" t="n">
        <v>37</v>
      </c>
      <c r="H391" s="40" t="n">
        <v>34439.43</v>
      </c>
      <c r="I391" s="40" t="n">
        <v>-43.55</v>
      </c>
      <c r="J391" s="40" t="n">
        <v>-1199.98</v>
      </c>
      <c r="K391" s="41" t="n">
        <f aca="false">H391+I391+J391</f>
        <v>33195.9</v>
      </c>
      <c r="L391" s="42" t="n">
        <f aca="false">IF($K$1282=0,0,K391/$K$1282)</f>
        <v>0.00274989649502883</v>
      </c>
      <c r="M391" s="43" t="n">
        <f aca="false">IF(F391&lt;=0,0,K391/F391)</f>
        <v>603.561818181818</v>
      </c>
      <c r="N391" s="40" t="n">
        <v>599.99</v>
      </c>
      <c r="O391" s="44" t="n">
        <v>13.18</v>
      </c>
      <c r="P391" s="43" t="n">
        <f aca="false">O391*'Price Groups'!$B$5</f>
        <v>296.55</v>
      </c>
      <c r="Q391" s="45" t="n">
        <f aca="false">IF(OR(N391="",P391=""),"",(N391-P391)/N391)</f>
        <v>0.505741762362706</v>
      </c>
      <c r="R391" s="46" t="n">
        <v>3</v>
      </c>
      <c r="S391" s="47" t="n">
        <f aca="false">IF(R391="-",0,IFERROR(VLOOKUP(R391,'Price Groups'!$A$13:$C$17,3,FALSE()),0))</f>
        <v>0.16</v>
      </c>
      <c r="T391" s="41" t="n">
        <f aca="false">IF(OR(N391="",R391="-"),"",CEILING(ROUND(N391*(1+S391),2),IF(N391*(1+S391)&lt;100,0.5,IF(N391*(1+S391)&lt;1000,1,5))))</f>
        <v>696</v>
      </c>
      <c r="U391" s="45" t="n">
        <f aca="false">IF(OR(T391="",P391=""),"",(T391-P391)/T391)</f>
        <v>0.573922413793103</v>
      </c>
      <c r="V391" s="45" t="n">
        <f aca="false">IF(T391="",0,T391/N391-1)</f>
        <v>0.160019333655561</v>
      </c>
      <c r="W391" s="38" t="s">
        <v>107</v>
      </c>
    </row>
    <row r="392" customFormat="false" ht="15" hidden="false" customHeight="false" outlineLevel="0" collapsed="false">
      <c r="A392" s="19" t="n">
        <v>341</v>
      </c>
      <c r="B392" s="19" t="s">
        <v>536</v>
      </c>
      <c r="C392" s="19" t="s">
        <v>57</v>
      </c>
      <c r="D392" s="19"/>
      <c r="E392" s="19" t="s">
        <v>58</v>
      </c>
      <c r="F392" s="20" t="n">
        <v>55</v>
      </c>
      <c r="G392" s="20" t="n">
        <v>21</v>
      </c>
      <c r="H392" s="21" t="n">
        <v>16249.72</v>
      </c>
      <c r="I392" s="21" t="n">
        <v>-34.38</v>
      </c>
      <c r="J392" s="21" t="n">
        <v>-855</v>
      </c>
      <c r="K392" s="22" t="n">
        <f aca="false">H392+I392+J392</f>
        <v>15360.34</v>
      </c>
      <c r="L392" s="23" t="n">
        <f aca="false">IF($K$1282=0,0,K392/$K$1282)</f>
        <v>0.00127242656859585</v>
      </c>
      <c r="M392" s="24" t="n">
        <f aca="false">IF(F392&lt;=0,0,K392/F392)</f>
        <v>279.278909090909</v>
      </c>
      <c r="N392" s="21" t="n">
        <v>285</v>
      </c>
      <c r="O392" s="49" t="n">
        <v>6.35</v>
      </c>
      <c r="P392" s="24" t="n">
        <f aca="false">O392*'Price Groups'!$B$5</f>
        <v>142.875</v>
      </c>
      <c r="Q392" s="26" t="n">
        <f aca="false">IF(OR(N392="",P392=""),"",(N392-P392)/N392)</f>
        <v>0.498684210526316</v>
      </c>
      <c r="R392" s="27" t="n">
        <v>3</v>
      </c>
      <c r="S392" s="28" t="n">
        <f aca="false">IF(R392="-",0,IFERROR(VLOOKUP(R392,'Price Groups'!$A$13:$C$17,3,FALSE()),0))</f>
        <v>0.16</v>
      </c>
      <c r="T392" s="22" t="n">
        <f aca="false">IF(OR(N392="",R392="-"),"",CEILING(ROUND(N392*(1+S392),2),IF(N392*(1+S392)&lt;100,0.5,IF(N392*(1+S392)&lt;1000,1,5))))</f>
        <v>331</v>
      </c>
      <c r="U392" s="26" t="n">
        <f aca="false">IF(OR(T392="",P392=""),"",(T392-P392)/T392)</f>
        <v>0.568353474320242</v>
      </c>
      <c r="V392" s="26" t="n">
        <f aca="false">IF(T392="",0,T392/N392-1)</f>
        <v>0.16140350877193</v>
      </c>
      <c r="W392" s="19" t="s">
        <v>107</v>
      </c>
    </row>
    <row r="393" customFormat="false" ht="15" hidden="false" customHeight="false" outlineLevel="0" collapsed="false">
      <c r="A393" s="38" t="n">
        <v>342</v>
      </c>
      <c r="B393" s="38" t="s">
        <v>537</v>
      </c>
      <c r="C393" s="38" t="s">
        <v>57</v>
      </c>
      <c r="D393" s="38" t="s">
        <v>538</v>
      </c>
      <c r="E393" s="38" t="s">
        <v>58</v>
      </c>
      <c r="F393" s="39" t="n">
        <v>55</v>
      </c>
      <c r="G393" s="39" t="n">
        <v>38</v>
      </c>
      <c r="H393" s="40" t="n">
        <v>3377.93</v>
      </c>
      <c r="I393" s="40" t="n">
        <v>-24.58</v>
      </c>
      <c r="J393" s="40" t="n">
        <v>-361.02</v>
      </c>
      <c r="K393" s="41" t="n">
        <f aca="false">H393+I393+J393</f>
        <v>2992.33</v>
      </c>
      <c r="L393" s="42" t="n">
        <f aca="false">IF($K$1282=0,0,K393/$K$1282)</f>
        <v>0.000247879942371486</v>
      </c>
      <c r="M393" s="43" t="n">
        <f aca="false">IF(F393&lt;=0,0,K393/F393)</f>
        <v>54.406</v>
      </c>
      <c r="N393" s="40" t="n">
        <v>49.99</v>
      </c>
      <c r="O393" s="44" t="n">
        <v>1.25</v>
      </c>
      <c r="P393" s="43" t="n">
        <f aca="false">O393*'Price Groups'!$B$5</f>
        <v>28.125</v>
      </c>
      <c r="Q393" s="45" t="n">
        <f aca="false">IF(OR(N393="",P393=""),"",(N393-P393)/N393)</f>
        <v>0.437387477495499</v>
      </c>
      <c r="R393" s="46" t="n">
        <v>1</v>
      </c>
      <c r="S393" s="47" t="n">
        <f aca="false">IF(R393="-",0,IFERROR(VLOOKUP(R393,'Price Groups'!$A$13:$C$17,3,FALSE()),0))</f>
        <v>0.22</v>
      </c>
      <c r="T393" s="41" t="n">
        <f aca="false">IF(OR(N393="",R393="-"),"",CEILING(ROUND(N393*(1+S393),2),IF(N393*(1+S393)&lt;100,0.5,IF(N393*(1+S393)&lt;1000,1,5))))</f>
        <v>61</v>
      </c>
      <c r="U393" s="45" t="n">
        <f aca="false">IF(OR(T393="",P393=""),"",(T393-P393)/T393)</f>
        <v>0.538934426229508</v>
      </c>
      <c r="V393" s="45" t="n">
        <f aca="false">IF(T393="",0,T393/N393-1)</f>
        <v>0.220244048809762</v>
      </c>
      <c r="W393" s="38" t="s">
        <v>94</v>
      </c>
    </row>
    <row r="394" customFormat="false" ht="15" hidden="false" customHeight="false" outlineLevel="0" collapsed="false">
      <c r="A394" s="19" t="n">
        <v>343</v>
      </c>
      <c r="B394" s="19" t="s">
        <v>539</v>
      </c>
      <c r="C394" s="19" t="s">
        <v>57</v>
      </c>
      <c r="D394" s="19"/>
      <c r="E394" s="19" t="s">
        <v>58</v>
      </c>
      <c r="F394" s="20" t="n">
        <v>55</v>
      </c>
      <c r="G394" s="20" t="n">
        <v>15</v>
      </c>
      <c r="H394" s="21" t="n">
        <v>3399.32</v>
      </c>
      <c r="I394" s="21" t="n">
        <v>-122.7</v>
      </c>
      <c r="J394" s="21" t="n">
        <v>-649.87</v>
      </c>
      <c r="K394" s="22" t="n">
        <f aca="false">H394+I394+J394</f>
        <v>2626.75</v>
      </c>
      <c r="L394" s="23" t="n">
        <f aca="false">IF($K$1282=0,0,K394/$K$1282)</f>
        <v>0.00021759586630629</v>
      </c>
      <c r="M394" s="24" t="n">
        <f aca="false">IF(F394&lt;=0,0,K394/F394)</f>
        <v>47.7590909090909</v>
      </c>
      <c r="N394" s="21" t="n">
        <v>49.99</v>
      </c>
      <c r="O394" s="49" t="n">
        <v>1.11</v>
      </c>
      <c r="P394" s="24" t="n">
        <f aca="false">O394*'Price Groups'!$B$5</f>
        <v>24.975</v>
      </c>
      <c r="Q394" s="26" t="n">
        <f aca="false">IF(OR(N394="",P394=""),"",(N394-P394)/N394)</f>
        <v>0.500400080016003</v>
      </c>
      <c r="R394" s="27" t="n">
        <v>1</v>
      </c>
      <c r="S394" s="28" t="n">
        <f aca="false">IF(R394="-",0,IFERROR(VLOOKUP(R394,'Price Groups'!$A$13:$C$17,3,FALSE()),0))</f>
        <v>0.22</v>
      </c>
      <c r="T394" s="22" t="n">
        <f aca="false">IF(OR(N394="",R394="-"),"",CEILING(ROUND(N394*(1+S394),2),IF(N394*(1+S394)&lt;100,0.5,IF(N394*(1+S394)&lt;1000,1,5))))</f>
        <v>61</v>
      </c>
      <c r="U394" s="26" t="n">
        <f aca="false">IF(OR(T394="",P394=""),"",(T394-P394)/T394)</f>
        <v>0.590573770491803</v>
      </c>
      <c r="V394" s="26" t="n">
        <f aca="false">IF(T394="",0,T394/N394-1)</f>
        <v>0.220244048809762</v>
      </c>
      <c r="W394" s="19" t="s">
        <v>94</v>
      </c>
    </row>
    <row r="395" customFormat="false" ht="15" hidden="false" customHeight="false" outlineLevel="0" collapsed="false">
      <c r="A395" s="38" t="n">
        <v>344</v>
      </c>
      <c r="B395" s="38" t="s">
        <v>540</v>
      </c>
      <c r="C395" s="38" t="s">
        <v>57</v>
      </c>
      <c r="D395" s="38"/>
      <c r="E395" s="38" t="s">
        <v>58</v>
      </c>
      <c r="F395" s="39" t="n">
        <v>55</v>
      </c>
      <c r="G395" s="39" t="n">
        <v>6</v>
      </c>
      <c r="H395" s="40" t="n">
        <v>10240</v>
      </c>
      <c r="I395" s="40" t="n">
        <v>-31</v>
      </c>
      <c r="J395" s="40" t="n">
        <v>0</v>
      </c>
      <c r="K395" s="41" t="n">
        <f aca="false">H395+I395+J395</f>
        <v>10209</v>
      </c>
      <c r="L395" s="42" t="n">
        <f aca="false">IF($K$1282=0,0,K395/$K$1282)</f>
        <v>0.000845697610781732</v>
      </c>
      <c r="M395" s="43" t="n">
        <f aca="false">IF(F395&lt;=0,0,K395/F395)</f>
        <v>185.618181818182</v>
      </c>
      <c r="N395" s="40" t="n">
        <v>155</v>
      </c>
      <c r="O395" s="44" t="n">
        <v>5.56</v>
      </c>
      <c r="P395" s="43" t="n">
        <f aca="false">O395*'Price Groups'!$B$5</f>
        <v>125.1</v>
      </c>
      <c r="Q395" s="45" t="n">
        <f aca="false">IF(OR(N395="",P395=""),"",(N395-P395)/N395)</f>
        <v>0.192903225806452</v>
      </c>
      <c r="R395" s="46" t="n">
        <v>1</v>
      </c>
      <c r="S395" s="47" t="n">
        <f aca="false">IF(R395="-",0,IFERROR(VLOOKUP(R395,'Price Groups'!$A$13:$C$17,3,FALSE()),0))</f>
        <v>0.22</v>
      </c>
      <c r="T395" s="41" t="n">
        <f aca="false">IF(OR(N395="",R395="-"),"",CEILING(ROUND(N395*(1+S395),2),IF(N395*(1+S395)&lt;100,0.5,IF(N395*(1+S395)&lt;1000,1,5))))</f>
        <v>190</v>
      </c>
      <c r="U395" s="45" t="n">
        <f aca="false">IF(OR(T395="",P395=""),"",(T395-P395)/T395)</f>
        <v>0.341578947368421</v>
      </c>
      <c r="V395" s="45" t="n">
        <f aca="false">IF(T395="",0,T395/N395-1)</f>
        <v>0.225806451612903</v>
      </c>
      <c r="W395" s="38" t="s">
        <v>541</v>
      </c>
    </row>
    <row r="396" customFormat="false" ht="15" hidden="false" customHeight="false" outlineLevel="0" collapsed="false">
      <c r="A396" s="19" t="n">
        <v>345</v>
      </c>
      <c r="B396" s="19" t="s">
        <v>542</v>
      </c>
      <c r="C396" s="19" t="s">
        <v>57</v>
      </c>
      <c r="D396" s="19"/>
      <c r="E396" s="19" t="s">
        <v>58</v>
      </c>
      <c r="F396" s="20" t="n">
        <v>54</v>
      </c>
      <c r="G396" s="20" t="n">
        <v>61</v>
      </c>
      <c r="H396" s="21" t="n">
        <v>35108.82</v>
      </c>
      <c r="I396" s="21" t="n">
        <v>-81.34</v>
      </c>
      <c r="J396" s="21" t="n">
        <v>-5939.11</v>
      </c>
      <c r="K396" s="22" t="n">
        <f aca="false">H396+I396+J396</f>
        <v>29088.37</v>
      </c>
      <c r="L396" s="23" t="n">
        <f aca="false">IF($K$1282=0,0,K396/$K$1282)</f>
        <v>0.00240963512690126</v>
      </c>
      <c r="M396" s="24" t="n">
        <f aca="false">IF(F396&lt;=0,0,K396/F396)</f>
        <v>538.673518518519</v>
      </c>
      <c r="N396" s="21" t="n">
        <v>544.79</v>
      </c>
      <c r="O396" s="49" t="n">
        <v>11.02</v>
      </c>
      <c r="P396" s="24" t="n">
        <f aca="false">O396*'Price Groups'!$B$5</f>
        <v>247.95</v>
      </c>
      <c r="Q396" s="26" t="n">
        <f aca="false">IF(OR(N396="",P396=""),"",(N396-P396)/N396)</f>
        <v>0.544870500559849</v>
      </c>
      <c r="R396" s="27" t="n">
        <v>3</v>
      </c>
      <c r="S396" s="28" t="n">
        <f aca="false">IF(R396="-",0,IFERROR(VLOOKUP(R396,'Price Groups'!$A$13:$C$17,3,FALSE()),0))</f>
        <v>0.16</v>
      </c>
      <c r="T396" s="22" t="n">
        <f aca="false">IF(OR(N396="",R396="-"),"",CEILING(ROUND(N396*(1+S396),2),IF(N396*(1+S396)&lt;100,0.5,IF(N396*(1+S396)&lt;1000,1,5))))</f>
        <v>632</v>
      </c>
      <c r="U396" s="26" t="n">
        <f aca="false">IF(OR(T396="",P396=""),"",(T396-P396)/T396)</f>
        <v>0.607674050632911</v>
      </c>
      <c r="V396" s="26" t="n">
        <f aca="false">IF(T396="",0,T396/N396-1)</f>
        <v>0.160080030837571</v>
      </c>
      <c r="W396" s="19" t="s">
        <v>107</v>
      </c>
    </row>
    <row r="397" customFormat="false" ht="15" hidden="false" customHeight="false" outlineLevel="0" collapsed="false">
      <c r="A397" s="38" t="n">
        <v>346</v>
      </c>
      <c r="B397" s="38" t="s">
        <v>543</v>
      </c>
      <c r="C397" s="38" t="s">
        <v>57</v>
      </c>
      <c r="D397" s="38"/>
      <c r="E397" s="38" t="s">
        <v>58</v>
      </c>
      <c r="F397" s="39" t="n">
        <v>54</v>
      </c>
      <c r="G397" s="39" t="n">
        <v>38</v>
      </c>
      <c r="H397" s="40" t="n">
        <v>4240.6</v>
      </c>
      <c r="I397" s="40" t="n">
        <v>-125.67</v>
      </c>
      <c r="J397" s="40" t="n">
        <v>-718.14</v>
      </c>
      <c r="K397" s="41" t="n">
        <f aca="false">H397+I397+J397</f>
        <v>3396.79</v>
      </c>
      <c r="L397" s="42" t="n">
        <f aca="false">IF($K$1282=0,0,K397/$K$1282)</f>
        <v>0.00028138477689561</v>
      </c>
      <c r="M397" s="43" t="n">
        <f aca="false">IF(F397&lt;=0,0,K397/F397)</f>
        <v>62.9035185185185</v>
      </c>
      <c r="N397" s="40" t="n">
        <v>64.99</v>
      </c>
      <c r="O397" s="44" t="n">
        <v>1.25</v>
      </c>
      <c r="P397" s="43" t="n">
        <f aca="false">O397*'Price Groups'!$B$5</f>
        <v>28.125</v>
      </c>
      <c r="Q397" s="45" t="n">
        <f aca="false">IF(OR(N397="",P397=""),"",(N397-P397)/N397)</f>
        <v>0.567241114017541</v>
      </c>
      <c r="R397" s="46" t="n">
        <v>1</v>
      </c>
      <c r="S397" s="47" t="n">
        <f aca="false">IF(R397="-",0,IFERROR(VLOOKUP(R397,'Price Groups'!$A$13:$C$17,3,FALSE()),0))</f>
        <v>0.22</v>
      </c>
      <c r="T397" s="41" t="n">
        <f aca="false">IF(OR(N397="",R397="-"),"",CEILING(ROUND(N397*(1+S397),2),IF(N397*(1+S397)&lt;100,0.5,IF(N397*(1+S397)&lt;1000,1,5))))</f>
        <v>79.5</v>
      </c>
      <c r="U397" s="45" t="n">
        <f aca="false">IF(OR(T397="",P397=""),"",(T397-P397)/T397)</f>
        <v>0.64622641509434</v>
      </c>
      <c r="V397" s="45" t="n">
        <f aca="false">IF(T397="",0,T397/N397-1)</f>
        <v>0.223265117710417</v>
      </c>
      <c r="W397" s="38" t="s">
        <v>94</v>
      </c>
    </row>
    <row r="398" customFormat="false" ht="15" hidden="false" customHeight="false" outlineLevel="0" collapsed="false">
      <c r="A398" s="19" t="n">
        <v>347</v>
      </c>
      <c r="B398" s="19" t="s">
        <v>544</v>
      </c>
      <c r="C398" s="19" t="s">
        <v>57</v>
      </c>
      <c r="D398" s="19"/>
      <c r="E398" s="19" t="s">
        <v>58</v>
      </c>
      <c r="F398" s="20" t="n">
        <v>54</v>
      </c>
      <c r="G398" s="20" t="n">
        <v>30</v>
      </c>
      <c r="H398" s="21" t="n">
        <v>2241.68</v>
      </c>
      <c r="I398" s="21" t="n">
        <v>-5.69</v>
      </c>
      <c r="J398" s="21" t="n">
        <v>-131.68</v>
      </c>
      <c r="K398" s="22" t="n">
        <f aca="false">H398+I398+J398</f>
        <v>2104.31</v>
      </c>
      <c r="L398" s="23" t="n">
        <f aca="false">IF($K$1282=0,0,K398/$K$1282)</f>
        <v>0.000174317752898825</v>
      </c>
      <c r="M398" s="24" t="n">
        <f aca="false">IF(F398&lt;=0,0,K398/F398)</f>
        <v>38.9687037037037</v>
      </c>
      <c r="N398" s="21" t="n">
        <v>49</v>
      </c>
      <c r="O398" s="49" t="n">
        <v>0.86</v>
      </c>
      <c r="P398" s="24" t="n">
        <f aca="false">O398*'Price Groups'!$B$5</f>
        <v>19.35</v>
      </c>
      <c r="Q398" s="26" t="n">
        <f aca="false">IF(OR(N398="",P398=""),"",(N398-P398)/N398)</f>
        <v>0.605102040816327</v>
      </c>
      <c r="R398" s="27" t="n">
        <v>1</v>
      </c>
      <c r="S398" s="28" t="n">
        <f aca="false">IF(R398="-",0,IFERROR(VLOOKUP(R398,'Price Groups'!$A$13:$C$17,3,FALSE()),0))</f>
        <v>0.22</v>
      </c>
      <c r="T398" s="22" t="n">
        <f aca="false">IF(OR(N398="",R398="-"),"",CEILING(ROUND(N398*(1+S398),2),IF(N398*(1+S398)&lt;100,0.5,IF(N398*(1+S398)&lt;1000,1,5))))</f>
        <v>60</v>
      </c>
      <c r="U398" s="26" t="n">
        <f aca="false">IF(OR(T398="",P398=""),"",(T398-P398)/T398)</f>
        <v>0.6775</v>
      </c>
      <c r="V398" s="26" t="n">
        <f aca="false">IF(T398="",0,T398/N398-1)</f>
        <v>0.224489795918367</v>
      </c>
      <c r="W398" s="19" t="s">
        <v>94</v>
      </c>
    </row>
    <row r="399" customFormat="false" ht="15" hidden="false" customHeight="false" outlineLevel="0" collapsed="false">
      <c r="A399" s="38" t="n">
        <v>348</v>
      </c>
      <c r="B399" s="38" t="s">
        <v>545</v>
      </c>
      <c r="C399" s="38" t="s">
        <v>57</v>
      </c>
      <c r="D399" s="38" t="s">
        <v>546</v>
      </c>
      <c r="E399" s="38" t="s">
        <v>58</v>
      </c>
      <c r="F399" s="39" t="n">
        <v>54</v>
      </c>
      <c r="G399" s="39" t="n">
        <v>36</v>
      </c>
      <c r="H399" s="40" t="n">
        <v>15923</v>
      </c>
      <c r="I399" s="40" t="n">
        <v>-302.25</v>
      </c>
      <c r="J399" s="40" t="n">
        <v>-837</v>
      </c>
      <c r="K399" s="41" t="n">
        <f aca="false">H399+I399+J399</f>
        <v>14783.75</v>
      </c>
      <c r="L399" s="42" t="n">
        <f aca="false">IF($K$1282=0,0,K399/$K$1282)</f>
        <v>0.00122466275378533</v>
      </c>
      <c r="M399" s="43" t="n">
        <f aca="false">IF(F399&lt;=0,0,K399/F399)</f>
        <v>273.773148148148</v>
      </c>
      <c r="N399" s="40" t="n">
        <v>289</v>
      </c>
      <c r="O399" s="44" t="n">
        <v>2.55</v>
      </c>
      <c r="P399" s="43" t="n">
        <f aca="false">O399*'Price Groups'!$B$5</f>
        <v>57.375</v>
      </c>
      <c r="Q399" s="45" t="n">
        <f aca="false">IF(OR(N399="",P399=""),"",(N399-P399)/N399)</f>
        <v>0.801470588235294</v>
      </c>
      <c r="R399" s="46" t="n">
        <v>3</v>
      </c>
      <c r="S399" s="47" t="n">
        <f aca="false">IF(R399="-",0,IFERROR(VLOOKUP(R399,'Price Groups'!$A$13:$C$17,3,FALSE()),0))</f>
        <v>0.16</v>
      </c>
      <c r="T399" s="41" t="n">
        <f aca="false">IF(OR(N399="",R399="-"),"",CEILING(ROUND(N399*(1+S399),2),IF(N399*(1+S399)&lt;100,0.5,IF(N399*(1+S399)&lt;1000,1,5))))</f>
        <v>336</v>
      </c>
      <c r="U399" s="45" t="n">
        <f aca="false">IF(OR(T399="",P399=""),"",(T399-P399)/T399)</f>
        <v>0.829241071428571</v>
      </c>
      <c r="V399" s="45" t="n">
        <f aca="false">IF(T399="",0,T399/N399-1)</f>
        <v>0.162629757785467</v>
      </c>
      <c r="W399" s="38" t="s">
        <v>107</v>
      </c>
    </row>
    <row r="400" customFormat="false" ht="15" hidden="false" customHeight="false" outlineLevel="0" collapsed="false">
      <c r="A400" s="19" t="n">
        <v>349</v>
      </c>
      <c r="B400" s="19" t="s">
        <v>547</v>
      </c>
      <c r="C400" s="19" t="s">
        <v>57</v>
      </c>
      <c r="D400" s="19" t="s">
        <v>548</v>
      </c>
      <c r="E400" s="19" t="s">
        <v>58</v>
      </c>
      <c r="F400" s="20" t="n">
        <v>54</v>
      </c>
      <c r="G400" s="20" t="n">
        <v>17</v>
      </c>
      <c r="H400" s="21" t="n">
        <v>2156.98</v>
      </c>
      <c r="I400" s="21" t="n">
        <v>-20</v>
      </c>
      <c r="J400" s="21" t="n">
        <v>-78</v>
      </c>
      <c r="K400" s="22" t="n">
        <f aca="false">H400+I400+J400</f>
        <v>2058.98</v>
      </c>
      <c r="L400" s="23" t="n">
        <f aca="false">IF($K$1282=0,0,K400/$K$1282)</f>
        <v>0.000170562686516541</v>
      </c>
      <c r="M400" s="24" t="n">
        <f aca="false">IF(F400&lt;=0,0,K400/F400)</f>
        <v>38.1292592592593</v>
      </c>
      <c r="N400" s="21" t="n">
        <v>40.01</v>
      </c>
      <c r="O400" s="49" t="n">
        <v>0.89</v>
      </c>
      <c r="P400" s="24" t="n">
        <f aca="false">O400*'Price Groups'!$B$5</f>
        <v>20.025</v>
      </c>
      <c r="Q400" s="26" t="n">
        <f aca="false">IF(OR(N400="",P400=""),"",(N400-P400)/N400)</f>
        <v>0.499500124968758</v>
      </c>
      <c r="R400" s="27" t="n">
        <v>1</v>
      </c>
      <c r="S400" s="28" t="n">
        <f aca="false">IF(R400="-",0,IFERROR(VLOOKUP(R400,'Price Groups'!$A$13:$C$17,3,FALSE()),0))</f>
        <v>0.22</v>
      </c>
      <c r="T400" s="22" t="n">
        <f aca="false">IF(OR(N400="",R400="-"),"",CEILING(ROUND(N400*(1+S400),2),IF(N400*(1+S400)&lt;100,0.5,IF(N400*(1+S400)&lt;1000,1,5))))</f>
        <v>49</v>
      </c>
      <c r="U400" s="26" t="n">
        <f aca="false">IF(OR(T400="",P400=""),"",(T400-P400)/T400)</f>
        <v>0.591326530612245</v>
      </c>
      <c r="V400" s="26" t="n">
        <f aca="false">IF(T400="",0,T400/N400-1)</f>
        <v>0.224693826543364</v>
      </c>
      <c r="W400" s="19" t="s">
        <v>94</v>
      </c>
    </row>
    <row r="401" customFormat="false" ht="15" hidden="false" customHeight="false" outlineLevel="0" collapsed="false">
      <c r="A401" s="38" t="n">
        <v>350</v>
      </c>
      <c r="B401" s="38" t="s">
        <v>549</v>
      </c>
      <c r="C401" s="38" t="s">
        <v>57</v>
      </c>
      <c r="D401" s="38"/>
      <c r="E401" s="38" t="s">
        <v>58</v>
      </c>
      <c r="F401" s="39" t="n">
        <v>53</v>
      </c>
      <c r="G401" s="39" t="n">
        <v>28</v>
      </c>
      <c r="H401" s="40" t="n">
        <v>12640.08</v>
      </c>
      <c r="I401" s="40" t="n">
        <v>-473.51</v>
      </c>
      <c r="J401" s="40" t="n">
        <v>-2189</v>
      </c>
      <c r="K401" s="41" t="n">
        <f aca="false">H401+I401+J401</f>
        <v>9977.57</v>
      </c>
      <c r="L401" s="42" t="n">
        <f aca="false">IF($K$1282=0,0,K401/$K$1282)</f>
        <v>0.000826526311137965</v>
      </c>
      <c r="M401" s="43" t="n">
        <f aca="false">IF(F401&lt;=0,0,K401/F401)</f>
        <v>188.256037735849</v>
      </c>
      <c r="N401" s="40" t="n">
        <v>198.5</v>
      </c>
      <c r="O401" s="44" t="n">
        <v>4.9</v>
      </c>
      <c r="P401" s="43" t="n">
        <f aca="false">O401*'Price Groups'!$B$5</f>
        <v>110.25</v>
      </c>
      <c r="Q401" s="45" t="n">
        <f aca="false">IF(OR(N401="",P401=""),"",(N401-P401)/N401)</f>
        <v>0.444584382871536</v>
      </c>
      <c r="R401" s="46" t="n">
        <v>1</v>
      </c>
      <c r="S401" s="47" t="n">
        <f aca="false">IF(R401="-",0,IFERROR(VLOOKUP(R401,'Price Groups'!$A$13:$C$17,3,FALSE()),0))</f>
        <v>0.22</v>
      </c>
      <c r="T401" s="41" t="n">
        <f aca="false">IF(OR(N401="",R401="-"),"",CEILING(ROUND(N401*(1+S401),2),IF(N401*(1+S401)&lt;100,0.5,IF(N401*(1+S401)&lt;1000,1,5))))</f>
        <v>243</v>
      </c>
      <c r="U401" s="45" t="n">
        <f aca="false">IF(OR(T401="",P401=""),"",(T401-P401)/T401)</f>
        <v>0.546296296296296</v>
      </c>
      <c r="V401" s="45" t="n">
        <f aca="false">IF(T401="",0,T401/N401-1)</f>
        <v>0.224181360201511</v>
      </c>
      <c r="W401" s="38" t="s">
        <v>94</v>
      </c>
    </row>
    <row r="402" customFormat="false" ht="15" hidden="false" customHeight="false" outlineLevel="0" collapsed="false">
      <c r="A402" s="19" t="n">
        <v>351</v>
      </c>
      <c r="B402" s="19" t="s">
        <v>550</v>
      </c>
      <c r="C402" s="19" t="s">
        <v>57</v>
      </c>
      <c r="D402" s="19"/>
      <c r="E402" s="19" t="s">
        <v>58</v>
      </c>
      <c r="F402" s="20" t="n">
        <v>53</v>
      </c>
      <c r="G402" s="20" t="n">
        <v>30</v>
      </c>
      <c r="H402" s="21" t="n">
        <v>4620.96</v>
      </c>
      <c r="I402" s="21" t="n">
        <v>-34.39</v>
      </c>
      <c r="J402" s="21" t="n">
        <v>-85.49</v>
      </c>
      <c r="K402" s="22" t="n">
        <f aca="false">H402+I402+J402</f>
        <v>4501.08</v>
      </c>
      <c r="L402" s="23" t="n">
        <f aca="false">IF($K$1282=0,0,K402/$K$1282)</f>
        <v>0.000372862435296056</v>
      </c>
      <c r="M402" s="24" t="n">
        <f aca="false">IF(F402&lt;=0,0,K402/F402)</f>
        <v>84.9260377358491</v>
      </c>
      <c r="N402" s="21" t="n">
        <v>85.49</v>
      </c>
      <c r="O402" s="49" t="n">
        <v>1.92</v>
      </c>
      <c r="P402" s="24" t="n">
        <f aca="false">O402*'Price Groups'!$B$5</f>
        <v>43.2</v>
      </c>
      <c r="Q402" s="26" t="n">
        <f aca="false">IF(OR(N402="",P402=""),"",(N402-P402)/N402)</f>
        <v>0.49467774008656</v>
      </c>
      <c r="R402" s="27" t="n">
        <v>1</v>
      </c>
      <c r="S402" s="28" t="n">
        <f aca="false">IF(R402="-",0,IFERROR(VLOOKUP(R402,'Price Groups'!$A$13:$C$17,3,FALSE()),0))</f>
        <v>0.22</v>
      </c>
      <c r="T402" s="22" t="n">
        <f aca="false">IF(OR(N402="",R402="-"),"",CEILING(ROUND(N402*(1+S402),2),IF(N402*(1+S402)&lt;100,0.5,IF(N402*(1+S402)&lt;1000,1,5))))</f>
        <v>105</v>
      </c>
      <c r="U402" s="26" t="n">
        <f aca="false">IF(OR(T402="",P402=""),"",(T402-P402)/T402)</f>
        <v>0.588571428571429</v>
      </c>
      <c r="V402" s="26" t="n">
        <f aca="false">IF(T402="",0,T402/N402-1)</f>
        <v>0.228213826178501</v>
      </c>
      <c r="W402" s="19" t="s">
        <v>94</v>
      </c>
    </row>
    <row r="403" customFormat="false" ht="15" hidden="false" customHeight="false" outlineLevel="0" collapsed="false">
      <c r="A403" s="38" t="n">
        <v>352</v>
      </c>
      <c r="B403" s="38" t="s">
        <v>551</v>
      </c>
      <c r="C403" s="38" t="s">
        <v>57</v>
      </c>
      <c r="D403" s="38"/>
      <c r="E403" s="38" t="s">
        <v>58</v>
      </c>
      <c r="F403" s="39" t="n">
        <v>53</v>
      </c>
      <c r="G403" s="39" t="n">
        <v>51</v>
      </c>
      <c r="H403" s="40" t="n">
        <v>13109.31</v>
      </c>
      <c r="I403" s="40" t="n">
        <v>-37.98</v>
      </c>
      <c r="J403" s="40" t="n">
        <v>-3039.84</v>
      </c>
      <c r="K403" s="41" t="n">
        <f aca="false">H403+I403+J403</f>
        <v>10031.49</v>
      </c>
      <c r="L403" s="42" t="n">
        <f aca="false">IF($K$1282=0,0,K403/$K$1282)</f>
        <v>0.000830992959700346</v>
      </c>
      <c r="M403" s="43" t="n">
        <f aca="false">IF(F403&lt;=0,0,K403/F403)</f>
        <v>189.273396226415</v>
      </c>
      <c r="N403" s="40" t="n">
        <v>207.09</v>
      </c>
      <c r="O403" s="44" t="n">
        <v>3.61</v>
      </c>
      <c r="P403" s="43" t="n">
        <f aca="false">O403*'Price Groups'!$B$5</f>
        <v>81.225</v>
      </c>
      <c r="Q403" s="45" t="n">
        <f aca="false">IF(OR(N403="",P403=""),"",(N403-P403)/N403)</f>
        <v>0.607779226423294</v>
      </c>
      <c r="R403" s="46" t="n">
        <v>1</v>
      </c>
      <c r="S403" s="47" t="n">
        <f aca="false">IF(R403="-",0,IFERROR(VLOOKUP(R403,'Price Groups'!$A$13:$C$17,3,FALSE()),0))</f>
        <v>0.22</v>
      </c>
      <c r="T403" s="41" t="n">
        <f aca="false">IF(OR(N403="",R403="-"),"",CEILING(ROUND(N403*(1+S403),2),IF(N403*(1+S403)&lt;100,0.5,IF(N403*(1+S403)&lt;1000,1,5))))</f>
        <v>253</v>
      </c>
      <c r="U403" s="45" t="n">
        <f aca="false">IF(OR(T403="",P403=""),"",(T403-P403)/T403)</f>
        <v>0.678952569169961</v>
      </c>
      <c r="V403" s="45" t="n">
        <f aca="false">IF(T403="",0,T403/N403-1)</f>
        <v>0.221691052199527</v>
      </c>
      <c r="W403" s="38" t="s">
        <v>94</v>
      </c>
    </row>
    <row r="404" customFormat="false" ht="15" hidden="false" customHeight="false" outlineLevel="0" collapsed="false">
      <c r="A404" s="19" t="n">
        <v>353</v>
      </c>
      <c r="B404" s="19" t="s">
        <v>552</v>
      </c>
      <c r="C404" s="19" t="s">
        <v>57</v>
      </c>
      <c r="D404" s="19"/>
      <c r="E404" s="19" t="s">
        <v>58</v>
      </c>
      <c r="F404" s="20" t="n">
        <v>52</v>
      </c>
      <c r="G404" s="20" t="n">
        <v>31</v>
      </c>
      <c r="H404" s="21" t="n">
        <v>3405.81</v>
      </c>
      <c r="I404" s="21" t="n">
        <v>-94.51</v>
      </c>
      <c r="J404" s="21" t="n">
        <v>0</v>
      </c>
      <c r="K404" s="22" t="n">
        <f aca="false">H404+I404+J404</f>
        <v>3311.3</v>
      </c>
      <c r="L404" s="23" t="n">
        <f aca="false">IF($K$1282=0,0,K404/$K$1282)</f>
        <v>0.000274302918854104</v>
      </c>
      <c r="M404" s="24" t="n">
        <f aca="false">IF(F404&lt;=0,0,K404/F404)</f>
        <v>63.6788461538462</v>
      </c>
      <c r="N404" s="21" t="n">
        <v>64.99</v>
      </c>
      <c r="O404" s="49" t="n">
        <v>1.5</v>
      </c>
      <c r="P404" s="24" t="n">
        <f aca="false">O404*'Price Groups'!$B$5</f>
        <v>33.75</v>
      </c>
      <c r="Q404" s="26" t="n">
        <f aca="false">IF(OR(N404="",P404=""),"",(N404-P404)/N404)</f>
        <v>0.480689336821049</v>
      </c>
      <c r="R404" s="27" t="n">
        <v>1</v>
      </c>
      <c r="S404" s="28" t="n">
        <f aca="false">IF(R404="-",0,IFERROR(VLOOKUP(R404,'Price Groups'!$A$13:$C$17,3,FALSE()),0))</f>
        <v>0.22</v>
      </c>
      <c r="T404" s="22" t="n">
        <f aca="false">IF(OR(N404="",R404="-"),"",CEILING(ROUND(N404*(1+S404),2),IF(N404*(1+S404)&lt;100,0.5,IF(N404*(1+S404)&lt;1000,1,5))))</f>
        <v>79.5</v>
      </c>
      <c r="U404" s="26" t="n">
        <f aca="false">IF(OR(T404="",P404=""),"",(T404-P404)/T404)</f>
        <v>0.575471698113208</v>
      </c>
      <c r="V404" s="26" t="n">
        <f aca="false">IF(T404="",0,T404/N404-1)</f>
        <v>0.223265117710417</v>
      </c>
      <c r="W404" s="19" t="s">
        <v>94</v>
      </c>
    </row>
    <row r="405" customFormat="false" ht="15" hidden="false" customHeight="false" outlineLevel="0" collapsed="false">
      <c r="A405" s="38" t="n">
        <v>354</v>
      </c>
      <c r="B405" s="38" t="s">
        <v>553</v>
      </c>
      <c r="C405" s="38" t="s">
        <v>57</v>
      </c>
      <c r="D405" s="38"/>
      <c r="E405" s="38" t="s">
        <v>58</v>
      </c>
      <c r="F405" s="39" t="n">
        <v>52</v>
      </c>
      <c r="G405" s="39" t="n">
        <v>28</v>
      </c>
      <c r="H405" s="40" t="n">
        <v>1101</v>
      </c>
      <c r="I405" s="40" t="n">
        <v>-4.66</v>
      </c>
      <c r="J405" s="40" t="n">
        <v>-95</v>
      </c>
      <c r="K405" s="41" t="n">
        <f aca="false">H405+I405+J405</f>
        <v>1001.34</v>
      </c>
      <c r="L405" s="42" t="n">
        <f aca="false">IF($K$1282=0,0,K405/$K$1282)</f>
        <v>8.29494412361817E-005</v>
      </c>
      <c r="M405" s="43" t="n">
        <f aca="false">IF(F405&lt;=0,0,K405/F405)</f>
        <v>19.2565384615385</v>
      </c>
      <c r="N405" s="40" t="n">
        <v>18</v>
      </c>
      <c r="O405" s="44" t="n">
        <v>0.43</v>
      </c>
      <c r="P405" s="43" t="n">
        <f aca="false">O405*'Price Groups'!$B$5</f>
        <v>9.675</v>
      </c>
      <c r="Q405" s="45" t="n">
        <f aca="false">IF(OR(N405="",P405=""),"",(N405-P405)/N405)</f>
        <v>0.4625</v>
      </c>
      <c r="R405" s="46" t="n">
        <v>1</v>
      </c>
      <c r="S405" s="47" t="n">
        <f aca="false">IF(R405="-",0,IFERROR(VLOOKUP(R405,'Price Groups'!$A$13:$C$17,3,FALSE()),0))</f>
        <v>0.22</v>
      </c>
      <c r="T405" s="41" t="n">
        <f aca="false">IF(OR(N405="",R405="-"),"",CEILING(ROUND(N405*(1+S405),2),IF(N405*(1+S405)&lt;100,0.5,IF(N405*(1+S405)&lt;1000,1,5))))</f>
        <v>22</v>
      </c>
      <c r="U405" s="45" t="n">
        <f aca="false">IF(OR(T405="",P405=""),"",(T405-P405)/T405)</f>
        <v>0.560227272727273</v>
      </c>
      <c r="V405" s="45" t="n">
        <f aca="false">IF(T405="",0,T405/N405-1)</f>
        <v>0.222222222222222</v>
      </c>
      <c r="W405" s="38" t="s">
        <v>94</v>
      </c>
    </row>
    <row r="406" customFormat="false" ht="15" hidden="false" customHeight="false" outlineLevel="0" collapsed="false">
      <c r="A406" s="19" t="n">
        <v>355</v>
      </c>
      <c r="B406" s="19" t="s">
        <v>554</v>
      </c>
      <c r="C406" s="19" t="s">
        <v>57</v>
      </c>
      <c r="D406" s="19"/>
      <c r="E406" s="19" t="s">
        <v>58</v>
      </c>
      <c r="F406" s="20" t="n">
        <v>52</v>
      </c>
      <c r="G406" s="20" t="n">
        <v>47</v>
      </c>
      <c r="H406" s="21" t="n">
        <v>35519.44</v>
      </c>
      <c r="I406" s="21" t="n">
        <v>-432.8</v>
      </c>
      <c r="J406" s="21" t="n">
        <v>-4199.93</v>
      </c>
      <c r="K406" s="22" t="n">
        <f aca="false">H406+I406+J406</f>
        <v>30886.71</v>
      </c>
      <c r="L406" s="23" t="n">
        <f aca="false">IF($K$1282=0,0,K406/$K$1282)</f>
        <v>0.00255860680300796</v>
      </c>
      <c r="M406" s="24" t="n">
        <f aca="false">IF(F406&lt;=0,0,K406/F406)</f>
        <v>593.975192307692</v>
      </c>
      <c r="N406" s="21" t="n">
        <v>640</v>
      </c>
      <c r="O406" s="49" t="n">
        <v>12.98</v>
      </c>
      <c r="P406" s="24" t="n">
        <f aca="false">O406*'Price Groups'!$B$5</f>
        <v>292.05</v>
      </c>
      <c r="Q406" s="26" t="n">
        <f aca="false">IF(OR(N406="",P406=""),"",(N406-P406)/N406)</f>
        <v>0.543671875</v>
      </c>
      <c r="R406" s="27" t="n">
        <v>3</v>
      </c>
      <c r="S406" s="28" t="n">
        <f aca="false">IF(R406="-",0,IFERROR(VLOOKUP(R406,'Price Groups'!$A$13:$C$17,3,FALSE()),0))</f>
        <v>0.16</v>
      </c>
      <c r="T406" s="22" t="n">
        <f aca="false">IF(OR(N406="",R406="-"),"",CEILING(ROUND(N406*(1+S406),2),IF(N406*(1+S406)&lt;100,0.5,IF(N406*(1+S406)&lt;1000,1,5))))</f>
        <v>743</v>
      </c>
      <c r="U406" s="26" t="n">
        <f aca="false">IF(OR(T406="",P406=""),"",(T406-P406)/T406)</f>
        <v>0.60693135935397</v>
      </c>
      <c r="V406" s="26" t="n">
        <f aca="false">IF(T406="",0,T406/N406-1)</f>
        <v>0.1609375</v>
      </c>
      <c r="W406" s="19" t="s">
        <v>107</v>
      </c>
    </row>
    <row r="407" customFormat="false" ht="15" hidden="false" customHeight="false" outlineLevel="0" collapsed="false">
      <c r="A407" s="38" t="n">
        <v>356</v>
      </c>
      <c r="B407" s="38" t="s">
        <v>555</v>
      </c>
      <c r="C407" s="38" t="s">
        <v>57</v>
      </c>
      <c r="D407" s="38"/>
      <c r="E407" s="38" t="s">
        <v>58</v>
      </c>
      <c r="F407" s="39" t="n">
        <v>52</v>
      </c>
      <c r="G407" s="39" t="n">
        <v>39</v>
      </c>
      <c r="H407" s="40" t="n">
        <v>9300</v>
      </c>
      <c r="I407" s="40" t="n">
        <v>-67.49</v>
      </c>
      <c r="J407" s="40" t="n">
        <v>-1500</v>
      </c>
      <c r="K407" s="41" t="n">
        <f aca="false">H407+I407+J407</f>
        <v>7732.51</v>
      </c>
      <c r="L407" s="42" t="n">
        <f aca="false">IF($K$1282=0,0,K407/$K$1282)</f>
        <v>0.000640549048128695</v>
      </c>
      <c r="M407" s="43" t="n">
        <f aca="false">IF(F407&lt;=0,0,K407/F407)</f>
        <v>148.702115384615</v>
      </c>
      <c r="N407" s="40" t="n">
        <v>150</v>
      </c>
      <c r="O407" s="44" t="n">
        <v>6.25</v>
      </c>
      <c r="P407" s="43" t="n">
        <f aca="false">O407*'Price Groups'!$B$5</f>
        <v>140.625</v>
      </c>
      <c r="Q407" s="45" t="n">
        <f aca="false">IF(OR(N407="",P407=""),"",(N407-P407)/N407)</f>
        <v>0.0625</v>
      </c>
      <c r="R407" s="46" t="n">
        <v>1</v>
      </c>
      <c r="S407" s="47" t="n">
        <f aca="false">IF(R407="-",0,IFERROR(VLOOKUP(R407,'Price Groups'!$A$13:$C$17,3,FALSE()),0))</f>
        <v>0.22</v>
      </c>
      <c r="T407" s="41" t="n">
        <f aca="false">IF(OR(N407="",R407="-"),"",CEILING(ROUND(N407*(1+S407),2),IF(N407*(1+S407)&lt;100,0.5,IF(N407*(1+S407)&lt;1000,1,5))))</f>
        <v>183</v>
      </c>
      <c r="U407" s="45" t="n">
        <f aca="false">IF(OR(T407="",P407=""),"",(T407-P407)/T407)</f>
        <v>0.23155737704918</v>
      </c>
      <c r="V407" s="45" t="n">
        <f aca="false">IF(T407="",0,T407/N407-1)</f>
        <v>0.22</v>
      </c>
      <c r="W407" s="38" t="s">
        <v>556</v>
      </c>
    </row>
    <row r="408" customFormat="false" ht="15" hidden="false" customHeight="false" outlineLevel="0" collapsed="false">
      <c r="A408" s="19" t="n">
        <v>357</v>
      </c>
      <c r="B408" s="19" t="s">
        <v>557</v>
      </c>
      <c r="C408" s="19" t="s">
        <v>57</v>
      </c>
      <c r="D408" s="19"/>
      <c r="E408" s="19" t="s">
        <v>58</v>
      </c>
      <c r="F408" s="20" t="n">
        <v>51</v>
      </c>
      <c r="G408" s="20" t="n">
        <v>37</v>
      </c>
      <c r="H408" s="21" t="n">
        <v>1374.43</v>
      </c>
      <c r="I408" s="21" t="n">
        <v>-9.96</v>
      </c>
      <c r="J408" s="21" t="n">
        <v>-159.93</v>
      </c>
      <c r="K408" s="22" t="n">
        <f aca="false">H408+I408+J408</f>
        <v>1204.54</v>
      </c>
      <c r="L408" s="23" t="n">
        <f aca="false">IF($K$1282=0,0,K408/$K$1282)</f>
        <v>9.97822117828413E-005</v>
      </c>
      <c r="M408" s="24" t="n">
        <f aca="false">IF(F408&lt;=0,0,K408/F408)</f>
        <v>23.618431372549</v>
      </c>
      <c r="N408" s="21" t="n">
        <v>24.99</v>
      </c>
      <c r="O408" s="49" t="n">
        <v>0.48</v>
      </c>
      <c r="P408" s="24" t="n">
        <f aca="false">O408*'Price Groups'!$B$5</f>
        <v>10.8</v>
      </c>
      <c r="Q408" s="26" t="n">
        <f aca="false">IF(OR(N408="",P408=""),"",(N408-P408)/N408)</f>
        <v>0.567827130852341</v>
      </c>
      <c r="R408" s="27" t="n">
        <v>1</v>
      </c>
      <c r="S408" s="28" t="n">
        <f aca="false">IF(R408="-",0,IFERROR(VLOOKUP(R408,'Price Groups'!$A$13:$C$17,3,FALSE()),0))</f>
        <v>0.22</v>
      </c>
      <c r="T408" s="22" t="n">
        <f aca="false">IF(OR(N408="",R408="-"),"",CEILING(ROUND(N408*(1+S408),2),IF(N408*(1+S408)&lt;100,0.5,IF(N408*(1+S408)&lt;1000,1,5))))</f>
        <v>30.5</v>
      </c>
      <c r="U408" s="26" t="n">
        <f aca="false">IF(OR(T408="",P408=""),"",(T408-P408)/T408)</f>
        <v>0.645901639344262</v>
      </c>
      <c r="V408" s="26" t="n">
        <f aca="false">IF(T408="",0,T408/N408-1)</f>
        <v>0.220488195278111</v>
      </c>
      <c r="W408" s="19" t="s">
        <v>94</v>
      </c>
    </row>
    <row r="409" customFormat="false" ht="15" hidden="false" customHeight="false" outlineLevel="0" collapsed="false">
      <c r="A409" s="38" t="n">
        <v>358</v>
      </c>
      <c r="B409" s="38" t="s">
        <v>558</v>
      </c>
      <c r="C409" s="38" t="s">
        <v>57</v>
      </c>
      <c r="D409" s="38"/>
      <c r="E409" s="38" t="s">
        <v>58</v>
      </c>
      <c r="F409" s="39" t="n">
        <v>51</v>
      </c>
      <c r="G409" s="39" t="n">
        <v>37</v>
      </c>
      <c r="H409" s="40" t="n">
        <v>2494</v>
      </c>
      <c r="I409" s="40" t="n">
        <v>-8.89</v>
      </c>
      <c r="J409" s="40" t="n">
        <v>-301</v>
      </c>
      <c r="K409" s="41" t="n">
        <f aca="false">H409+I409+J409</f>
        <v>2184.11</v>
      </c>
      <c r="L409" s="42" t="n">
        <f aca="false">IF($K$1282=0,0,K409/$K$1282)</f>
        <v>0.000180928260229649</v>
      </c>
      <c r="M409" s="43" t="n">
        <f aca="false">IF(F409&lt;=0,0,K409/F409)</f>
        <v>42.8256862745098</v>
      </c>
      <c r="N409" s="40" t="n">
        <v>43</v>
      </c>
      <c r="O409" s="44" t="n">
        <v>0.92</v>
      </c>
      <c r="P409" s="43" t="n">
        <f aca="false">O409*'Price Groups'!$B$5</f>
        <v>20.7</v>
      </c>
      <c r="Q409" s="45" t="n">
        <f aca="false">IF(OR(N409="",P409=""),"",(N409-P409)/N409)</f>
        <v>0.518604651162791</v>
      </c>
      <c r="R409" s="46" t="n">
        <v>1</v>
      </c>
      <c r="S409" s="47" t="n">
        <f aca="false">IF(R409="-",0,IFERROR(VLOOKUP(R409,'Price Groups'!$A$13:$C$17,3,FALSE()),0))</f>
        <v>0.22</v>
      </c>
      <c r="T409" s="41" t="n">
        <f aca="false">IF(OR(N409="",R409="-"),"",CEILING(ROUND(N409*(1+S409),2),IF(N409*(1+S409)&lt;100,0.5,IF(N409*(1+S409)&lt;1000,1,5))))</f>
        <v>52.5</v>
      </c>
      <c r="U409" s="45" t="n">
        <f aca="false">IF(OR(T409="",P409=""),"",(T409-P409)/T409)</f>
        <v>0.605714285714286</v>
      </c>
      <c r="V409" s="45" t="n">
        <f aca="false">IF(T409="",0,T409/N409-1)</f>
        <v>0.220930232558139</v>
      </c>
      <c r="W409" s="38" t="s">
        <v>94</v>
      </c>
    </row>
    <row r="410" customFormat="false" ht="15" hidden="false" customHeight="false" outlineLevel="0" collapsed="false">
      <c r="A410" s="19" t="n">
        <v>359</v>
      </c>
      <c r="B410" s="19" t="s">
        <v>559</v>
      </c>
      <c r="C410" s="19" t="s">
        <v>57</v>
      </c>
      <c r="D410" s="19"/>
      <c r="E410" s="19" t="s">
        <v>58</v>
      </c>
      <c r="F410" s="20" t="n">
        <v>50</v>
      </c>
      <c r="G410" s="20" t="n">
        <v>42</v>
      </c>
      <c r="H410" s="21" t="n">
        <v>1215.15</v>
      </c>
      <c r="I410" s="21" t="n">
        <v>-15.41</v>
      </c>
      <c r="J410" s="21" t="n">
        <v>-176.05</v>
      </c>
      <c r="K410" s="22" t="n">
        <f aca="false">H410+I410+J410</f>
        <v>1023.69</v>
      </c>
      <c r="L410" s="23" t="n">
        <f aca="false">IF($K$1282=0,0,K410/$K$1282)</f>
        <v>8.48008803194388E-005</v>
      </c>
      <c r="M410" s="24" t="n">
        <f aca="false">IF(F410&lt;=0,0,K410/F410)</f>
        <v>20.4738</v>
      </c>
      <c r="N410" s="21" t="n">
        <v>24.99</v>
      </c>
      <c r="O410" s="49" t="n">
        <v>0.46</v>
      </c>
      <c r="P410" s="24" t="n">
        <f aca="false">O410*'Price Groups'!$B$5</f>
        <v>10.35</v>
      </c>
      <c r="Q410" s="26" t="n">
        <f aca="false">IF(OR(N410="",P410=""),"",(N410-P410)/N410)</f>
        <v>0.585834333733493</v>
      </c>
      <c r="R410" s="27" t="n">
        <v>1</v>
      </c>
      <c r="S410" s="28" t="n">
        <f aca="false">IF(R410="-",0,IFERROR(VLOOKUP(R410,'Price Groups'!$A$13:$C$17,3,FALSE()),0))</f>
        <v>0.22</v>
      </c>
      <c r="T410" s="22" t="n">
        <f aca="false">IF(OR(N410="",R410="-"),"",CEILING(ROUND(N410*(1+S410),2),IF(N410*(1+S410)&lt;100,0.5,IF(N410*(1+S410)&lt;1000,1,5))))</f>
        <v>30.5</v>
      </c>
      <c r="U410" s="26" t="n">
        <f aca="false">IF(OR(T410="",P410=""),"",(T410-P410)/T410)</f>
        <v>0.660655737704918</v>
      </c>
      <c r="V410" s="26" t="n">
        <f aca="false">IF(T410="",0,T410/N410-1)</f>
        <v>0.220488195278111</v>
      </c>
      <c r="W410" s="19" t="s">
        <v>94</v>
      </c>
    </row>
    <row r="411" customFormat="false" ht="15" hidden="false" customHeight="false" outlineLevel="0" collapsed="false">
      <c r="A411" s="38" t="n">
        <v>360</v>
      </c>
      <c r="B411" s="38" t="s">
        <v>560</v>
      </c>
      <c r="C411" s="38" t="s">
        <v>57</v>
      </c>
      <c r="D411" s="38"/>
      <c r="E411" s="38" t="s">
        <v>58</v>
      </c>
      <c r="F411" s="39" t="n">
        <v>50</v>
      </c>
      <c r="G411" s="39" t="n">
        <v>38</v>
      </c>
      <c r="H411" s="40" t="n">
        <v>14578.32</v>
      </c>
      <c r="I411" s="40" t="n">
        <v>-176.96</v>
      </c>
      <c r="J411" s="40" t="n">
        <v>-294.68</v>
      </c>
      <c r="K411" s="41" t="n">
        <f aca="false">H411+I411+J411</f>
        <v>14106.68</v>
      </c>
      <c r="L411" s="42" t="n">
        <f aca="false">IF($K$1282=0,0,K411/$K$1282)</f>
        <v>0.00116857533275173</v>
      </c>
      <c r="M411" s="43" t="n">
        <f aca="false">IF(F411&lt;=0,0,K411/F411)</f>
        <v>282.1336</v>
      </c>
      <c r="N411" s="40" t="n">
        <v>294.68</v>
      </c>
      <c r="O411" s="44" t="n">
        <v>5.1</v>
      </c>
      <c r="P411" s="43" t="n">
        <f aca="false">O411*'Price Groups'!$B$5</f>
        <v>114.75</v>
      </c>
      <c r="Q411" s="45" t="n">
        <f aca="false">IF(OR(N411="",P411=""),"",(N411-P411)/N411)</f>
        <v>0.610594543233338</v>
      </c>
      <c r="R411" s="46" t="n">
        <v>3</v>
      </c>
      <c r="S411" s="47" t="n">
        <f aca="false">IF(R411="-",0,IFERROR(VLOOKUP(R411,'Price Groups'!$A$13:$C$17,3,FALSE()),0))</f>
        <v>0.16</v>
      </c>
      <c r="T411" s="41" t="n">
        <f aca="false">IF(OR(N411="",R411="-"),"",CEILING(ROUND(N411*(1+S411),2),IF(N411*(1+S411)&lt;100,0.5,IF(N411*(1+S411)&lt;1000,1,5))))</f>
        <v>342</v>
      </c>
      <c r="U411" s="45" t="n">
        <f aca="false">IF(OR(T411="",P411=""),"",(T411-P411)/T411)</f>
        <v>0.664473684210526</v>
      </c>
      <c r="V411" s="45" t="n">
        <f aca="false">IF(T411="",0,T411/N411-1)</f>
        <v>0.160580969186915</v>
      </c>
      <c r="W411" s="38" t="s">
        <v>107</v>
      </c>
    </row>
    <row r="412" customFormat="false" ht="15" hidden="false" customHeight="false" outlineLevel="0" collapsed="false">
      <c r="A412" s="19" t="n">
        <v>361</v>
      </c>
      <c r="B412" s="19" t="s">
        <v>561</v>
      </c>
      <c r="C412" s="19" t="s">
        <v>57</v>
      </c>
      <c r="D412" s="19"/>
      <c r="E412" s="19" t="s">
        <v>58</v>
      </c>
      <c r="F412" s="20" t="n">
        <v>50</v>
      </c>
      <c r="G412" s="20" t="n">
        <v>34</v>
      </c>
      <c r="H412" s="21" t="n">
        <v>4767.65</v>
      </c>
      <c r="I412" s="21" t="n">
        <v>-16.34</v>
      </c>
      <c r="J412" s="21" t="n">
        <v>-718.36</v>
      </c>
      <c r="K412" s="22" t="n">
        <f aca="false">H412+I412+J412</f>
        <v>4032.95</v>
      </c>
      <c r="L412" s="23" t="n">
        <f aca="false">IF($K$1282=0,0,K412/$K$1282)</f>
        <v>0.000334083277441687</v>
      </c>
      <c r="M412" s="24" t="n">
        <f aca="false">IF(F412&lt;=0,0,K412/F412)</f>
        <v>80.659</v>
      </c>
      <c r="N412" s="21" t="n">
        <v>79.99</v>
      </c>
      <c r="O412" s="49" t="n">
        <v>1.8</v>
      </c>
      <c r="P412" s="24" t="n">
        <f aca="false">O412*'Price Groups'!$B$5</f>
        <v>40.5</v>
      </c>
      <c r="Q412" s="26" t="n">
        <f aca="false">IF(OR(N412="",P412=""),"",(N412-P412)/N412)</f>
        <v>0.493686710838855</v>
      </c>
      <c r="R412" s="27" t="n">
        <v>1</v>
      </c>
      <c r="S412" s="28" t="n">
        <f aca="false">IF(R412="-",0,IFERROR(VLOOKUP(R412,'Price Groups'!$A$13:$C$17,3,FALSE()),0))</f>
        <v>0.22</v>
      </c>
      <c r="T412" s="22" t="n">
        <f aca="false">IF(OR(N412="",R412="-"),"",CEILING(ROUND(N412*(1+S412),2),IF(N412*(1+S412)&lt;100,0.5,IF(N412*(1+S412)&lt;1000,1,5))))</f>
        <v>98</v>
      </c>
      <c r="U412" s="26" t="n">
        <f aca="false">IF(OR(T412="",P412=""),"",(T412-P412)/T412)</f>
        <v>0.586734693877551</v>
      </c>
      <c r="V412" s="26" t="n">
        <f aca="false">IF(T412="",0,T412/N412-1)</f>
        <v>0.225153144143018</v>
      </c>
      <c r="W412" s="19" t="s">
        <v>94</v>
      </c>
    </row>
    <row r="413" customFormat="false" ht="15" hidden="false" customHeight="false" outlineLevel="0" collapsed="false">
      <c r="A413" s="38" t="n">
        <v>362</v>
      </c>
      <c r="B413" s="38" t="s">
        <v>562</v>
      </c>
      <c r="C413" s="38" t="s">
        <v>57</v>
      </c>
      <c r="D413" s="38"/>
      <c r="E413" s="38" t="s">
        <v>58</v>
      </c>
      <c r="F413" s="39" t="n">
        <v>50</v>
      </c>
      <c r="G413" s="39" t="n">
        <v>48</v>
      </c>
      <c r="H413" s="40" t="n">
        <v>11874.44</v>
      </c>
      <c r="I413" s="40" t="n">
        <v>-42.48</v>
      </c>
      <c r="J413" s="40" t="n">
        <v>-1274.94</v>
      </c>
      <c r="K413" s="41" t="n">
        <f aca="false">H413+I413+J413</f>
        <v>10557.02</v>
      </c>
      <c r="L413" s="42" t="n">
        <f aca="false">IF($K$1282=0,0,K413/$K$1282)</f>
        <v>0.000874527043880395</v>
      </c>
      <c r="M413" s="43" t="n">
        <f aca="false">IF(F413&lt;=0,0,K413/F413)</f>
        <v>211.1404</v>
      </c>
      <c r="N413" s="40" t="n">
        <v>199.99</v>
      </c>
      <c r="O413" s="44" t="n">
        <v>5.5</v>
      </c>
      <c r="P413" s="43" t="n">
        <f aca="false">O413*'Price Groups'!$B$5</f>
        <v>123.75</v>
      </c>
      <c r="Q413" s="45" t="n">
        <f aca="false">IF(OR(N413="",P413=""),"",(N413-P413)/N413)</f>
        <v>0.381219060953048</v>
      </c>
      <c r="R413" s="46" t="n">
        <v>1</v>
      </c>
      <c r="S413" s="47" t="n">
        <f aca="false">IF(R413="-",0,IFERROR(VLOOKUP(R413,'Price Groups'!$A$13:$C$17,3,FALSE()),0))</f>
        <v>0.22</v>
      </c>
      <c r="T413" s="41" t="n">
        <f aca="false">IF(OR(N413="",R413="-"),"",CEILING(ROUND(N413*(1+S413),2),IF(N413*(1+S413)&lt;100,0.5,IF(N413*(1+S413)&lt;1000,1,5))))</f>
        <v>244</v>
      </c>
      <c r="U413" s="45" t="n">
        <f aca="false">IF(OR(T413="",P413=""),"",(T413-P413)/T413)</f>
        <v>0.492827868852459</v>
      </c>
      <c r="V413" s="45" t="n">
        <f aca="false">IF(T413="",0,T413/N413-1)</f>
        <v>0.220061003050152</v>
      </c>
      <c r="W413" s="38" t="s">
        <v>94</v>
      </c>
    </row>
    <row r="414" customFormat="false" ht="15" hidden="false" customHeight="false" outlineLevel="0" collapsed="false">
      <c r="A414" s="19" t="n">
        <v>363</v>
      </c>
      <c r="B414" s="19" t="s">
        <v>563</v>
      </c>
      <c r="C414" s="19" t="s">
        <v>57</v>
      </c>
      <c r="D414" s="19"/>
      <c r="E414" s="19" t="s">
        <v>58</v>
      </c>
      <c r="F414" s="20" t="n">
        <v>50</v>
      </c>
      <c r="G414" s="20" t="n">
        <v>23</v>
      </c>
      <c r="H414" s="21" t="n">
        <v>1395.02</v>
      </c>
      <c r="I414" s="21" t="n">
        <v>-14.95</v>
      </c>
      <c r="J414" s="21" t="n">
        <v>-119.96</v>
      </c>
      <c r="K414" s="22" t="n">
        <f aca="false">H414+I414+J414</f>
        <v>1260.11</v>
      </c>
      <c r="L414" s="23" t="n">
        <f aca="false">IF($K$1282=0,0,K414/$K$1282)</f>
        <v>0.000104385543767476</v>
      </c>
      <c r="M414" s="24" t="n">
        <f aca="false">IF(F414&lt;=0,0,K414/F414)</f>
        <v>25.2022</v>
      </c>
      <c r="N414" s="21" t="n">
        <v>29.99</v>
      </c>
      <c r="O414" s="49" t="n">
        <v>0.47</v>
      </c>
      <c r="P414" s="24" t="n">
        <f aca="false">O414*'Price Groups'!$B$5</f>
        <v>10.575</v>
      </c>
      <c r="Q414" s="26" t="n">
        <f aca="false">IF(OR(N414="",P414=""),"",(N414-P414)/N414)</f>
        <v>0.647382460820273</v>
      </c>
      <c r="R414" s="27" t="n">
        <v>1</v>
      </c>
      <c r="S414" s="28" t="n">
        <f aca="false">IF(R414="-",0,IFERROR(VLOOKUP(R414,'Price Groups'!$A$13:$C$17,3,FALSE()),0))</f>
        <v>0.22</v>
      </c>
      <c r="T414" s="22" t="n">
        <f aca="false">IF(OR(N414="",R414="-"),"",CEILING(ROUND(N414*(1+S414),2),IF(N414*(1+S414)&lt;100,0.5,IF(N414*(1+S414)&lt;1000,1,5))))</f>
        <v>37</v>
      </c>
      <c r="U414" s="26" t="n">
        <f aca="false">IF(OR(T414="",P414=""),"",(T414-P414)/T414)</f>
        <v>0.714189189189189</v>
      </c>
      <c r="V414" s="26" t="n">
        <f aca="false">IF(T414="",0,T414/N414-1)</f>
        <v>0.233744581527176</v>
      </c>
      <c r="W414" s="19" t="s">
        <v>94</v>
      </c>
    </row>
    <row r="415" customFormat="false" ht="15" hidden="false" customHeight="false" outlineLevel="0" collapsed="false">
      <c r="A415" s="38" t="n">
        <v>364</v>
      </c>
      <c r="B415" s="38" t="s">
        <v>564</v>
      </c>
      <c r="C415" s="38" t="s">
        <v>57</v>
      </c>
      <c r="D415" s="38"/>
      <c r="E415" s="38" t="s">
        <v>58</v>
      </c>
      <c r="F415" s="39" t="n">
        <v>50</v>
      </c>
      <c r="G415" s="39" t="n">
        <v>21</v>
      </c>
      <c r="H415" s="40" t="n">
        <v>1843.44</v>
      </c>
      <c r="I415" s="40" t="n">
        <v>-3.99</v>
      </c>
      <c r="J415" s="40" t="n">
        <v>-39.99</v>
      </c>
      <c r="K415" s="41" t="n">
        <f aca="false">H415+I415+J415</f>
        <v>1799.46</v>
      </c>
      <c r="L415" s="42" t="n">
        <f aca="false">IF($K$1282=0,0,K415/$K$1282)</f>
        <v>0.000149064455156949</v>
      </c>
      <c r="M415" s="43" t="n">
        <f aca="false">IF(F415&lt;=0,0,K415/F415)</f>
        <v>35.9892</v>
      </c>
      <c r="N415" s="40" t="n">
        <v>39.99</v>
      </c>
      <c r="O415" s="44" t="n">
        <v>0.84</v>
      </c>
      <c r="P415" s="43" t="n">
        <f aca="false">O415*'Price Groups'!$B$5</f>
        <v>18.9</v>
      </c>
      <c r="Q415" s="45" t="n">
        <f aca="false">IF(OR(N415="",P415=""),"",(N415-P415)/N415)</f>
        <v>0.527381845461365</v>
      </c>
      <c r="R415" s="46" t="n">
        <v>1</v>
      </c>
      <c r="S415" s="47" t="n">
        <f aca="false">IF(R415="-",0,IFERROR(VLOOKUP(R415,'Price Groups'!$A$13:$C$17,3,FALSE()),0))</f>
        <v>0.22</v>
      </c>
      <c r="T415" s="41" t="n">
        <f aca="false">IF(OR(N415="",R415="-"),"",CEILING(ROUND(N415*(1+S415),2),IF(N415*(1+S415)&lt;100,0.5,IF(N415*(1+S415)&lt;1000,1,5))))</f>
        <v>49</v>
      </c>
      <c r="U415" s="45" t="n">
        <f aca="false">IF(OR(T415="",P415=""),"",(T415-P415)/T415)</f>
        <v>0.614285714285714</v>
      </c>
      <c r="V415" s="45" t="n">
        <f aca="false">IF(T415="",0,T415/N415-1)</f>
        <v>0.225306326581645</v>
      </c>
      <c r="W415" s="38" t="s">
        <v>94</v>
      </c>
    </row>
    <row r="416" customFormat="false" ht="15" hidden="false" customHeight="false" outlineLevel="0" collapsed="false">
      <c r="A416" s="19" t="n">
        <v>365</v>
      </c>
      <c r="B416" s="19" t="s">
        <v>565</v>
      </c>
      <c r="C416" s="19" t="s">
        <v>57</v>
      </c>
      <c r="D416" s="19"/>
      <c r="E416" s="19" t="s">
        <v>58</v>
      </c>
      <c r="F416" s="20" t="n">
        <v>49</v>
      </c>
      <c r="G416" s="20" t="n">
        <v>43</v>
      </c>
      <c r="H416" s="21" t="n">
        <v>6700.98</v>
      </c>
      <c r="I416" s="21" t="n">
        <v>-21.2</v>
      </c>
      <c r="J416" s="21" t="n">
        <v>-1273.78</v>
      </c>
      <c r="K416" s="22" t="n">
        <f aca="false">H416+I416+J416</f>
        <v>5406</v>
      </c>
      <c r="L416" s="23" t="n">
        <f aca="false">IF($K$1282=0,0,K416/$K$1282)</f>
        <v>0.000447824594366347</v>
      </c>
      <c r="M416" s="24" t="n">
        <f aca="false">IF(F416&lt;=0,0,K416/F416)</f>
        <v>110.326530612245</v>
      </c>
      <c r="N416" s="21" t="n">
        <v>101.26</v>
      </c>
      <c r="O416" s="49" t="n">
        <v>3.16</v>
      </c>
      <c r="P416" s="24" t="n">
        <f aca="false">O416*'Price Groups'!$B$5</f>
        <v>71.1</v>
      </c>
      <c r="Q416" s="26" t="n">
        <f aca="false">IF(OR(N416="",P416=""),"",(N416-P416)/N416)</f>
        <v>0.297847126209757</v>
      </c>
      <c r="R416" s="27" t="n">
        <v>1</v>
      </c>
      <c r="S416" s="28" t="n">
        <f aca="false">IF(R416="-",0,IFERROR(VLOOKUP(R416,'Price Groups'!$A$13:$C$17,3,FALSE()),0))</f>
        <v>0.22</v>
      </c>
      <c r="T416" s="22" t="n">
        <f aca="false">IF(OR(N416="",R416="-"),"",CEILING(ROUND(N416*(1+S416),2),IF(N416*(1+S416)&lt;100,0.5,IF(N416*(1+S416)&lt;1000,1,5))))</f>
        <v>124</v>
      </c>
      <c r="U416" s="26" t="n">
        <f aca="false">IF(OR(T416="",P416=""),"",(T416-P416)/T416)</f>
        <v>0.426612903225806</v>
      </c>
      <c r="V416" s="26" t="n">
        <f aca="false">IF(T416="",0,T416/N416-1)</f>
        <v>0.224570412798736</v>
      </c>
      <c r="W416" s="19" t="s">
        <v>94</v>
      </c>
    </row>
    <row r="417" customFormat="false" ht="15" hidden="false" customHeight="false" outlineLevel="0" collapsed="false">
      <c r="A417" s="38" t="n">
        <v>366</v>
      </c>
      <c r="B417" s="38" t="s">
        <v>566</v>
      </c>
      <c r="C417" s="38" t="s">
        <v>57</v>
      </c>
      <c r="D417" s="38"/>
      <c r="E417" s="38" t="s">
        <v>58</v>
      </c>
      <c r="F417" s="39" t="n">
        <v>49</v>
      </c>
      <c r="G417" s="39" t="n">
        <v>29</v>
      </c>
      <c r="H417" s="40" t="n">
        <v>19639.47</v>
      </c>
      <c r="I417" s="40" t="n">
        <v>-386.91</v>
      </c>
      <c r="J417" s="40" t="n">
        <v>-1479.96</v>
      </c>
      <c r="K417" s="41" t="n">
        <f aca="false">H417+I417+J417</f>
        <v>17772.6</v>
      </c>
      <c r="L417" s="42" t="n">
        <f aca="false">IF($K$1282=0,0,K417/$K$1282)</f>
        <v>0.00147225441839352</v>
      </c>
      <c r="M417" s="43" t="n">
        <f aca="false">IF(F417&lt;=0,0,K417/F417)</f>
        <v>362.70612244898</v>
      </c>
      <c r="N417" s="40" t="n">
        <v>374.99</v>
      </c>
      <c r="O417" s="44" t="n">
        <v>8.31</v>
      </c>
      <c r="P417" s="43" t="n">
        <f aca="false">O417*'Price Groups'!$B$5</f>
        <v>186.975</v>
      </c>
      <c r="Q417" s="45" t="n">
        <f aca="false">IF(OR(N417="",P417=""),"",(N417-P417)/N417)</f>
        <v>0.501386703645431</v>
      </c>
      <c r="R417" s="46" t="n">
        <v>3</v>
      </c>
      <c r="S417" s="47" t="n">
        <f aca="false">IF(R417="-",0,IFERROR(VLOOKUP(R417,'Price Groups'!$A$13:$C$17,3,FALSE()),0))</f>
        <v>0.16</v>
      </c>
      <c r="T417" s="41" t="n">
        <f aca="false">IF(OR(N417="",R417="-"),"",CEILING(ROUND(N417*(1+S417),2),IF(N417*(1+S417)&lt;100,0.5,IF(N417*(1+S417)&lt;1000,1,5))))</f>
        <v>435</v>
      </c>
      <c r="U417" s="45" t="n">
        <f aca="false">IF(OR(T417="",P417=""),"",(T417-P417)/T417)</f>
        <v>0.570172413793103</v>
      </c>
      <c r="V417" s="45" t="n">
        <f aca="false">IF(T417="",0,T417/N417-1)</f>
        <v>0.160030934158244</v>
      </c>
      <c r="W417" s="38" t="s">
        <v>107</v>
      </c>
    </row>
    <row r="418" customFormat="false" ht="15" hidden="false" customHeight="false" outlineLevel="0" collapsed="false">
      <c r="A418" s="19" t="n">
        <v>367</v>
      </c>
      <c r="B418" s="19" t="s">
        <v>567</v>
      </c>
      <c r="C418" s="19" t="s">
        <v>57</v>
      </c>
      <c r="D418" s="19"/>
      <c r="E418" s="19" t="s">
        <v>58</v>
      </c>
      <c r="F418" s="20" t="n">
        <v>49</v>
      </c>
      <c r="G418" s="20" t="n">
        <v>53</v>
      </c>
      <c r="H418" s="21" t="n">
        <v>45313.2</v>
      </c>
      <c r="I418" s="21" t="n">
        <v>-354.64</v>
      </c>
      <c r="J418" s="21" t="n">
        <v>-12903.2</v>
      </c>
      <c r="K418" s="22" t="n">
        <f aca="false">H418+I418+J418</f>
        <v>32055.36</v>
      </c>
      <c r="L418" s="23" t="n">
        <f aca="false">IF($K$1282=0,0,K418/$K$1282)</f>
        <v>0.00265541594326068</v>
      </c>
      <c r="M418" s="24" t="n">
        <f aca="false">IF(F418&lt;=0,0,K418/F418)</f>
        <v>654.191020408163</v>
      </c>
      <c r="N418" s="21" t="n">
        <v>657.2</v>
      </c>
      <c r="O418" s="49" t="n">
        <v>12.18</v>
      </c>
      <c r="P418" s="24" t="n">
        <f aca="false">O418*'Price Groups'!$B$5</f>
        <v>274.05</v>
      </c>
      <c r="Q418" s="26" t="n">
        <f aca="false">IF(OR(N418="",P418=""),"",(N418-P418)/N418)</f>
        <v>0.58300365185636</v>
      </c>
      <c r="R418" s="27" t="n">
        <v>3</v>
      </c>
      <c r="S418" s="28" t="n">
        <f aca="false">IF(R418="-",0,IFERROR(VLOOKUP(R418,'Price Groups'!$A$13:$C$17,3,FALSE()),0))</f>
        <v>0.16</v>
      </c>
      <c r="T418" s="22" t="n">
        <f aca="false">IF(OR(N418="",R418="-"),"",CEILING(ROUND(N418*(1+S418),2),IF(N418*(1+S418)&lt;100,0.5,IF(N418*(1+S418)&lt;1000,1,5))))</f>
        <v>763</v>
      </c>
      <c r="U418" s="26" t="n">
        <f aca="false">IF(OR(T418="",P418=""),"",(T418-P418)/T418)</f>
        <v>0.640825688073395</v>
      </c>
      <c r="V418" s="26" t="n">
        <f aca="false">IF(T418="",0,T418/N418-1)</f>
        <v>0.160986001217285</v>
      </c>
      <c r="W418" s="19" t="s">
        <v>107</v>
      </c>
    </row>
    <row r="419" customFormat="false" ht="15" hidden="false" customHeight="false" outlineLevel="0" collapsed="false">
      <c r="A419" s="38" t="n">
        <v>368</v>
      </c>
      <c r="B419" s="38" t="s">
        <v>170</v>
      </c>
      <c r="C419" s="38" t="s">
        <v>307</v>
      </c>
      <c r="D419" s="38" t="s">
        <v>169</v>
      </c>
      <c r="E419" s="38" t="s">
        <v>58</v>
      </c>
      <c r="F419" s="39" t="n">
        <v>48</v>
      </c>
      <c r="G419" s="39" t="n">
        <v>54</v>
      </c>
      <c r="H419" s="40" t="n">
        <v>29921.1</v>
      </c>
      <c r="I419" s="40" t="n">
        <v>-201.68</v>
      </c>
      <c r="J419" s="40" t="n">
        <v>-7198.93</v>
      </c>
      <c r="K419" s="41" t="n">
        <f aca="false">H419+I419+J419</f>
        <v>22520.49</v>
      </c>
      <c r="L419" s="42" t="n">
        <f aca="false">IF($K$1282=0,0,K419/$K$1282)</f>
        <v>0.00186556220850562</v>
      </c>
      <c r="M419" s="43" t="n">
        <f aca="false">IF(F419&lt;=0,0,K419/F419)</f>
        <v>469.176875</v>
      </c>
      <c r="N419" s="40" t="n">
        <v>565</v>
      </c>
      <c r="O419" s="44" t="n">
        <v>8.88</v>
      </c>
      <c r="P419" s="43" t="n">
        <f aca="false">O419*'Price Groups'!$B$5</f>
        <v>199.8</v>
      </c>
      <c r="Q419" s="45" t="n">
        <f aca="false">IF(OR(N419="",P419=""),"",(N419-P419)/N419)</f>
        <v>0.646371681415929</v>
      </c>
      <c r="R419" s="46" t="n">
        <v>3</v>
      </c>
      <c r="S419" s="47" t="n">
        <f aca="false">IF(R419="-",0,IFERROR(VLOOKUP(R419,'Price Groups'!$A$13:$C$17,3,FALSE()),0))</f>
        <v>0.16</v>
      </c>
      <c r="T419" s="41" t="n">
        <f aca="false">IF(OR(N419="",R419="-"),"",CEILING(ROUND(N419*(1+S419),2),IF(N419*(1+S419)&lt;100,0.5,IF(N419*(1+S419)&lt;1000,1,5))))</f>
        <v>656</v>
      </c>
      <c r="U419" s="45" t="n">
        <f aca="false">IF(OR(T419="",P419=""),"",(T419-P419)/T419)</f>
        <v>0.695426829268293</v>
      </c>
      <c r="V419" s="45" t="n">
        <f aca="false">IF(T419="",0,T419/N419-1)</f>
        <v>0.161061946902655</v>
      </c>
      <c r="W419" s="38" t="s">
        <v>568</v>
      </c>
    </row>
    <row r="420" customFormat="false" ht="15" hidden="false" customHeight="false" outlineLevel="0" collapsed="false">
      <c r="A420" s="19" t="n">
        <v>369</v>
      </c>
      <c r="B420" s="19" t="s">
        <v>569</v>
      </c>
      <c r="C420" s="19" t="s">
        <v>57</v>
      </c>
      <c r="D420" s="19"/>
      <c r="E420" s="19" t="s">
        <v>58</v>
      </c>
      <c r="F420" s="20" t="n">
        <v>48</v>
      </c>
      <c r="G420" s="20" t="n">
        <v>22</v>
      </c>
      <c r="H420" s="21" t="n">
        <v>3717.39</v>
      </c>
      <c r="I420" s="21" t="n">
        <v>-40.71</v>
      </c>
      <c r="J420" s="21" t="n">
        <v>-402.45</v>
      </c>
      <c r="K420" s="22" t="n">
        <f aca="false">H420+I420+J420</f>
        <v>3274.23</v>
      </c>
      <c r="L420" s="23" t="n">
        <f aca="false">IF($K$1282=0,0,K420/$K$1282)</f>
        <v>0.000271232097967467</v>
      </c>
      <c r="M420" s="24" t="n">
        <f aca="false">IF(F420&lt;=0,0,K420/F420)</f>
        <v>68.213125</v>
      </c>
      <c r="N420" s="21" t="n">
        <v>73.8</v>
      </c>
      <c r="O420" s="49" t="n">
        <v>1.52</v>
      </c>
      <c r="P420" s="24" t="n">
        <f aca="false">O420*'Price Groups'!$B$5</f>
        <v>34.2</v>
      </c>
      <c r="Q420" s="26" t="n">
        <f aca="false">IF(OR(N420="",P420=""),"",(N420-P420)/N420)</f>
        <v>0.536585365853659</v>
      </c>
      <c r="R420" s="27" t="n">
        <v>1</v>
      </c>
      <c r="S420" s="28" t="n">
        <f aca="false">IF(R420="-",0,IFERROR(VLOOKUP(R420,'Price Groups'!$A$13:$C$17,3,FALSE()),0))</f>
        <v>0.22</v>
      </c>
      <c r="T420" s="22" t="n">
        <f aca="false">IF(OR(N420="",R420="-"),"",CEILING(ROUND(N420*(1+S420),2),IF(N420*(1+S420)&lt;100,0.5,IF(N420*(1+S420)&lt;1000,1,5))))</f>
        <v>90.5</v>
      </c>
      <c r="U420" s="26" t="n">
        <f aca="false">IF(OR(T420="",P420=""),"",(T420-P420)/T420)</f>
        <v>0.622099447513812</v>
      </c>
      <c r="V420" s="26" t="n">
        <f aca="false">IF(T420="",0,T420/N420-1)</f>
        <v>0.226287262872629</v>
      </c>
      <c r="W420" s="19" t="s">
        <v>94</v>
      </c>
    </row>
    <row r="421" customFormat="false" ht="15" hidden="false" customHeight="false" outlineLevel="0" collapsed="false">
      <c r="A421" s="38" t="n">
        <v>370</v>
      </c>
      <c r="B421" s="38" t="s">
        <v>570</v>
      </c>
      <c r="C421" s="38" t="s">
        <v>57</v>
      </c>
      <c r="D421" s="38"/>
      <c r="E421" s="38" t="s">
        <v>58</v>
      </c>
      <c r="F421" s="39" t="n">
        <v>47</v>
      </c>
      <c r="G421" s="39" t="n">
        <v>35</v>
      </c>
      <c r="H421" s="40" t="n">
        <v>27829.5</v>
      </c>
      <c r="I421" s="40" t="n">
        <v>-249.94</v>
      </c>
      <c r="J421" s="40" t="n">
        <v>-1666.47</v>
      </c>
      <c r="K421" s="41" t="n">
        <f aca="false">H421+I421+J421</f>
        <v>25913.09</v>
      </c>
      <c r="L421" s="42" t="n">
        <f aca="false">IF($K$1282=0,0,K421/$K$1282)</f>
        <v>0.00214659989234714</v>
      </c>
      <c r="M421" s="43" t="n">
        <f aca="false">IF(F421&lt;=0,0,K421/F421)</f>
        <v>551.342340425532</v>
      </c>
      <c r="N421" s="40" t="n">
        <v>566.49</v>
      </c>
      <c r="O421" s="44" t="n">
        <v>10.35</v>
      </c>
      <c r="P421" s="43" t="n">
        <f aca="false">O421*'Price Groups'!$B$5</f>
        <v>232.875</v>
      </c>
      <c r="Q421" s="45" t="n">
        <f aca="false">IF(OR(N421="",P421=""),"",(N421-P421)/N421)</f>
        <v>0.588915956151035</v>
      </c>
      <c r="R421" s="46" t="n">
        <v>3</v>
      </c>
      <c r="S421" s="47" t="n">
        <f aca="false">IF(R421="-",0,IFERROR(VLOOKUP(R421,'Price Groups'!$A$13:$C$17,3,FALSE()),0))</f>
        <v>0.16</v>
      </c>
      <c r="T421" s="41" t="n">
        <f aca="false">IF(OR(N421="",R421="-"),"",CEILING(ROUND(N421*(1+S421),2),IF(N421*(1+S421)&lt;100,0.5,IF(N421*(1+S421)&lt;1000,1,5))))</f>
        <v>658</v>
      </c>
      <c r="U421" s="45" t="n">
        <f aca="false">IF(OR(T421="",P421=""),"",(T421-P421)/T421)</f>
        <v>0.646086626139818</v>
      </c>
      <c r="V421" s="45" t="n">
        <f aca="false">IF(T421="",0,T421/N421-1)</f>
        <v>0.161538597327402</v>
      </c>
      <c r="W421" s="38" t="s">
        <v>107</v>
      </c>
    </row>
    <row r="422" customFormat="false" ht="15" hidden="false" customHeight="false" outlineLevel="0" collapsed="false">
      <c r="A422" s="19" t="n">
        <v>371</v>
      </c>
      <c r="B422" s="19" t="s">
        <v>571</v>
      </c>
      <c r="C422" s="19" t="s">
        <v>57</v>
      </c>
      <c r="D422" s="19"/>
      <c r="E422" s="19" t="s">
        <v>58</v>
      </c>
      <c r="F422" s="20" t="n">
        <v>47</v>
      </c>
      <c r="G422" s="20" t="n">
        <v>25</v>
      </c>
      <c r="H422" s="21" t="n">
        <v>2899.51</v>
      </c>
      <c r="I422" s="21" t="n">
        <v>-959.92</v>
      </c>
      <c r="J422" s="21" t="n">
        <v>-119.98</v>
      </c>
      <c r="K422" s="22" t="n">
        <f aca="false">H422+I422+J422</f>
        <v>1819.61</v>
      </c>
      <c r="L422" s="23" t="n">
        <f aca="false">IF($K$1282=0,0,K422/$K$1282)</f>
        <v>0.000150733649677201</v>
      </c>
      <c r="M422" s="24" t="n">
        <f aca="false">IF(F422&lt;=0,0,K422/F422)</f>
        <v>38.7151063829787</v>
      </c>
      <c r="N422" s="21" t="n">
        <v>59.99</v>
      </c>
      <c r="O422" s="49" t="n">
        <v>1.48</v>
      </c>
      <c r="P422" s="24" t="n">
        <f aca="false">O422*'Price Groups'!$B$5</f>
        <v>33.3</v>
      </c>
      <c r="Q422" s="26" t="n">
        <f aca="false">IF(OR(N422="",P422=""),"",(N422-P422)/N422)</f>
        <v>0.444907484580764</v>
      </c>
      <c r="R422" s="27" t="n">
        <v>1</v>
      </c>
      <c r="S422" s="28" t="n">
        <f aca="false">IF(R422="-",0,IFERROR(VLOOKUP(R422,'Price Groups'!$A$13:$C$17,3,FALSE()),0))</f>
        <v>0.22</v>
      </c>
      <c r="T422" s="22" t="n">
        <f aca="false">IF(OR(N422="",R422="-"),"",CEILING(ROUND(N422*(1+S422),2),IF(N422*(1+S422)&lt;100,0.5,IF(N422*(1+S422)&lt;1000,1,5))))</f>
        <v>73.5</v>
      </c>
      <c r="U422" s="26" t="n">
        <f aca="false">IF(OR(T422="",P422=""),"",(T422-P422)/T422)</f>
        <v>0.546938775510204</v>
      </c>
      <c r="V422" s="26" t="n">
        <f aca="false">IF(T422="",0,T422/N422-1)</f>
        <v>0.225204200700117</v>
      </c>
      <c r="W422" s="19" t="s">
        <v>94</v>
      </c>
    </row>
    <row r="423" customFormat="false" ht="15" hidden="false" customHeight="false" outlineLevel="0" collapsed="false">
      <c r="A423" s="38" t="n">
        <v>372</v>
      </c>
      <c r="B423" s="38" t="s">
        <v>572</v>
      </c>
      <c r="C423" s="38" t="s">
        <v>57</v>
      </c>
      <c r="D423" s="38"/>
      <c r="E423" s="38" t="s">
        <v>58</v>
      </c>
      <c r="F423" s="39" t="n">
        <v>47</v>
      </c>
      <c r="G423" s="39" t="n">
        <v>15</v>
      </c>
      <c r="H423" s="40" t="n">
        <v>2151.84</v>
      </c>
      <c r="I423" s="40" t="n">
        <v>-20.89</v>
      </c>
      <c r="J423" s="40" t="n">
        <v>-173.76</v>
      </c>
      <c r="K423" s="41" t="n">
        <f aca="false">H423+I423+J423</f>
        <v>1957.19</v>
      </c>
      <c r="L423" s="42" t="n">
        <f aca="false">IF($K$1282=0,0,K423/$K$1282)</f>
        <v>0.000162130561940043</v>
      </c>
      <c r="M423" s="43" t="n">
        <f aca="false">IF(F423&lt;=0,0,K423/F423)</f>
        <v>41.6423404255319</v>
      </c>
      <c r="N423" s="40" t="n">
        <v>36</v>
      </c>
      <c r="O423" s="44" t="n">
        <v>1.05</v>
      </c>
      <c r="P423" s="43" t="n">
        <f aca="false">O423*'Price Groups'!$B$5</f>
        <v>23.625</v>
      </c>
      <c r="Q423" s="45" t="n">
        <f aca="false">IF(OR(N423="",P423=""),"",(N423-P423)/N423)</f>
        <v>0.34375</v>
      </c>
      <c r="R423" s="46" t="n">
        <v>1</v>
      </c>
      <c r="S423" s="47" t="n">
        <f aca="false">IF(R423="-",0,IFERROR(VLOOKUP(R423,'Price Groups'!$A$13:$C$17,3,FALSE()),0))</f>
        <v>0.22</v>
      </c>
      <c r="T423" s="41" t="n">
        <f aca="false">IF(OR(N423="",R423="-"),"",CEILING(ROUND(N423*(1+S423),2),IF(N423*(1+S423)&lt;100,0.5,IF(N423*(1+S423)&lt;1000,1,5))))</f>
        <v>44</v>
      </c>
      <c r="U423" s="45" t="n">
        <f aca="false">IF(OR(T423="",P423=""),"",(T423-P423)/T423)</f>
        <v>0.463068181818182</v>
      </c>
      <c r="V423" s="45" t="n">
        <f aca="false">IF(T423="",0,T423/N423-1)</f>
        <v>0.222222222222222</v>
      </c>
      <c r="W423" s="38" t="s">
        <v>94</v>
      </c>
    </row>
    <row r="424" customFormat="false" ht="15" hidden="false" customHeight="false" outlineLevel="0" collapsed="false">
      <c r="A424" s="19" t="n">
        <v>373</v>
      </c>
      <c r="B424" s="19" t="s">
        <v>573</v>
      </c>
      <c r="C424" s="19" t="s">
        <v>57</v>
      </c>
      <c r="D424" s="19"/>
      <c r="E424" s="19" t="s">
        <v>58</v>
      </c>
      <c r="F424" s="20" t="n">
        <v>47</v>
      </c>
      <c r="G424" s="20" t="n">
        <v>51</v>
      </c>
      <c r="H424" s="21" t="n">
        <v>20980.11</v>
      </c>
      <c r="I424" s="21" t="n">
        <v>-114.47</v>
      </c>
      <c r="J424" s="21" t="n">
        <v>-2142.76</v>
      </c>
      <c r="K424" s="22" t="n">
        <f aca="false">H424+I424+J424</f>
        <v>18722.88</v>
      </c>
      <c r="L424" s="23" t="n">
        <f aca="false">IF($K$1282=0,0,K424/$K$1282)</f>
        <v>0.00155097412899922</v>
      </c>
      <c r="M424" s="24" t="n">
        <f aca="false">IF(F424&lt;=0,0,K424/F424)</f>
        <v>398.35914893617</v>
      </c>
      <c r="N424" s="21" t="n">
        <v>449.99</v>
      </c>
      <c r="O424" s="49" t="n">
        <v>10.76</v>
      </c>
      <c r="P424" s="24" t="n">
        <f aca="false">O424*'Price Groups'!$B$5</f>
        <v>242.1</v>
      </c>
      <c r="Q424" s="26" t="n">
        <f aca="false">IF(OR(N424="",P424=""),"",(N424-P424)/N424)</f>
        <v>0.46198804417876</v>
      </c>
      <c r="R424" s="27" t="n">
        <v>3</v>
      </c>
      <c r="S424" s="28" t="n">
        <f aca="false">IF(R424="-",0,IFERROR(VLOOKUP(R424,'Price Groups'!$A$13:$C$17,3,FALSE()),0))</f>
        <v>0.16</v>
      </c>
      <c r="T424" s="22" t="n">
        <f aca="false">IF(OR(N424="",R424="-"),"",CEILING(ROUND(N424*(1+S424),2),IF(N424*(1+S424)&lt;100,0.5,IF(N424*(1+S424)&lt;1000,1,5))))</f>
        <v>522</v>
      </c>
      <c r="U424" s="26" t="n">
        <f aca="false">IF(OR(T424="",P424=""),"",(T424-P424)/T424)</f>
        <v>0.536206896551724</v>
      </c>
      <c r="V424" s="26" t="n">
        <f aca="false">IF(T424="",0,T424/N424-1)</f>
        <v>0.16002577835063</v>
      </c>
      <c r="W424" s="19" t="s">
        <v>107</v>
      </c>
    </row>
    <row r="425" customFormat="false" ht="15" hidden="false" customHeight="false" outlineLevel="0" collapsed="false">
      <c r="A425" s="38" t="n">
        <v>374</v>
      </c>
      <c r="B425" s="38" t="s">
        <v>574</v>
      </c>
      <c r="C425" s="38" t="s">
        <v>57</v>
      </c>
      <c r="D425" s="38"/>
      <c r="E425" s="38" t="s">
        <v>58</v>
      </c>
      <c r="F425" s="39" t="n">
        <v>47</v>
      </c>
      <c r="G425" s="39" t="n">
        <v>23</v>
      </c>
      <c r="H425" s="40" t="n">
        <v>1119.81</v>
      </c>
      <c r="I425" s="40" t="n">
        <v>-1.93</v>
      </c>
      <c r="J425" s="40" t="n">
        <v>-95</v>
      </c>
      <c r="K425" s="41" t="n">
        <f aca="false">H425+I425+J425</f>
        <v>1022.88</v>
      </c>
      <c r="L425" s="42" t="n">
        <f aca="false">IF($K$1282=0,0,K425/$K$1282)</f>
        <v>8.47337811848778E-005</v>
      </c>
      <c r="M425" s="43" t="n">
        <f aca="false">IF(F425&lt;=0,0,K425/F425)</f>
        <v>21.7634042553191</v>
      </c>
      <c r="N425" s="40" t="n">
        <v>19</v>
      </c>
      <c r="O425" s="44" t="n">
        <v>0.47</v>
      </c>
      <c r="P425" s="43" t="n">
        <f aca="false">O425*'Price Groups'!$B$5</f>
        <v>10.575</v>
      </c>
      <c r="Q425" s="45" t="n">
        <f aca="false">IF(OR(N425="",P425=""),"",(N425-P425)/N425)</f>
        <v>0.443421052631579</v>
      </c>
      <c r="R425" s="46" t="n">
        <v>1</v>
      </c>
      <c r="S425" s="47" t="n">
        <f aca="false">IF(R425="-",0,IFERROR(VLOOKUP(R425,'Price Groups'!$A$13:$C$17,3,FALSE()),0))</f>
        <v>0.22</v>
      </c>
      <c r="T425" s="41" t="n">
        <f aca="false">IF(OR(N425="",R425="-"),"",CEILING(ROUND(N425*(1+S425),2),IF(N425*(1+S425)&lt;100,0.5,IF(N425*(1+S425)&lt;1000,1,5))))</f>
        <v>23.5</v>
      </c>
      <c r="U425" s="45" t="n">
        <f aca="false">IF(OR(T425="",P425=""),"",(T425-P425)/T425)</f>
        <v>0.55</v>
      </c>
      <c r="V425" s="45" t="n">
        <f aca="false">IF(T425="",0,T425/N425-1)</f>
        <v>0.236842105263158</v>
      </c>
      <c r="W425" s="38" t="s">
        <v>94</v>
      </c>
    </row>
    <row r="426" customFormat="false" ht="15" hidden="false" customHeight="false" outlineLevel="0" collapsed="false">
      <c r="A426" s="19" t="n">
        <v>375</v>
      </c>
      <c r="B426" s="19" t="s">
        <v>575</v>
      </c>
      <c r="C426" s="19" t="s">
        <v>57</v>
      </c>
      <c r="D426" s="19"/>
      <c r="E426" s="19" t="s">
        <v>58</v>
      </c>
      <c r="F426" s="20" t="n">
        <v>47</v>
      </c>
      <c r="G426" s="20" t="n">
        <v>37</v>
      </c>
      <c r="H426" s="21" t="n">
        <v>26929.04</v>
      </c>
      <c r="I426" s="21" t="n">
        <v>-72.49</v>
      </c>
      <c r="J426" s="21" t="n">
        <v>0</v>
      </c>
      <c r="K426" s="22" t="n">
        <f aca="false">H426+I426+J426</f>
        <v>26856.55</v>
      </c>
      <c r="L426" s="23" t="n">
        <f aca="false">IF($K$1282=0,0,K426/$K$1282)</f>
        <v>0.00222475464480753</v>
      </c>
      <c r="M426" s="24" t="n">
        <f aca="false">IF(F426&lt;=0,0,K426/F426)</f>
        <v>571.415957446809</v>
      </c>
      <c r="N426" s="21" t="n">
        <v>599.99</v>
      </c>
      <c r="O426" s="49" t="n">
        <v>13.8</v>
      </c>
      <c r="P426" s="24" t="n">
        <f aca="false">O426*'Price Groups'!$B$5</f>
        <v>310.5</v>
      </c>
      <c r="Q426" s="26" t="n">
        <f aca="false">IF(OR(N426="",P426=""),"",(N426-P426)/N426)</f>
        <v>0.482491374856248</v>
      </c>
      <c r="R426" s="27" t="n">
        <v>3</v>
      </c>
      <c r="S426" s="28" t="n">
        <f aca="false">IF(R426="-",0,IFERROR(VLOOKUP(R426,'Price Groups'!$A$13:$C$17,3,FALSE()),0))</f>
        <v>0.16</v>
      </c>
      <c r="T426" s="22" t="n">
        <f aca="false">IF(OR(N426="",R426="-"),"",CEILING(ROUND(N426*(1+S426),2),IF(N426*(1+S426)&lt;100,0.5,IF(N426*(1+S426)&lt;1000,1,5))))</f>
        <v>696</v>
      </c>
      <c r="U426" s="26" t="n">
        <f aca="false">IF(OR(T426="",P426=""),"",(T426-P426)/T426)</f>
        <v>0.553879310344828</v>
      </c>
      <c r="V426" s="26" t="n">
        <f aca="false">IF(T426="",0,T426/N426-1)</f>
        <v>0.160019333655561</v>
      </c>
      <c r="W426" s="19" t="s">
        <v>107</v>
      </c>
    </row>
    <row r="427" customFormat="false" ht="15" hidden="false" customHeight="false" outlineLevel="0" collapsed="false">
      <c r="A427" s="38" t="n">
        <v>376</v>
      </c>
      <c r="B427" s="38" t="s">
        <v>576</v>
      </c>
      <c r="C427" s="38" t="s">
        <v>57</v>
      </c>
      <c r="D427" s="38"/>
      <c r="E427" s="38" t="s">
        <v>58</v>
      </c>
      <c r="F427" s="39" t="n">
        <v>47</v>
      </c>
      <c r="G427" s="39" t="n">
        <v>38</v>
      </c>
      <c r="H427" s="40" t="n">
        <v>30879.78</v>
      </c>
      <c r="I427" s="40" t="n">
        <v>-104.9</v>
      </c>
      <c r="J427" s="40" t="n">
        <v>-2991.47</v>
      </c>
      <c r="K427" s="41" t="n">
        <f aca="false">H427+I427+J427</f>
        <v>27783.41</v>
      </c>
      <c r="L427" s="42" t="n">
        <f aca="false">IF($K$1282=0,0,K427/$K$1282)</f>
        <v>0.00230153427920161</v>
      </c>
      <c r="M427" s="43" t="n">
        <f aca="false">IF(F427&lt;=0,0,K427/F427)</f>
        <v>591.136382978723</v>
      </c>
      <c r="N427" s="40" t="n">
        <v>549.99</v>
      </c>
      <c r="O427" s="44" t="n">
        <v>10</v>
      </c>
      <c r="P427" s="43" t="n">
        <f aca="false">O427*'Price Groups'!$B$5</f>
        <v>225</v>
      </c>
      <c r="Q427" s="45" t="n">
        <f aca="false">IF(OR(N427="",P427=""),"",(N427-P427)/N427)</f>
        <v>0.590901652757323</v>
      </c>
      <c r="R427" s="46" t="n">
        <v>3</v>
      </c>
      <c r="S427" s="47" t="n">
        <f aca="false">IF(R427="-",0,IFERROR(VLOOKUP(R427,'Price Groups'!$A$13:$C$17,3,FALSE()),0))</f>
        <v>0.16</v>
      </c>
      <c r="T427" s="41" t="n">
        <f aca="false">IF(OR(N427="",R427="-"),"",CEILING(ROUND(N427*(1+S427),2),IF(N427*(1+S427)&lt;100,0.5,IF(N427*(1+S427)&lt;1000,1,5))))</f>
        <v>638</v>
      </c>
      <c r="U427" s="45" t="n">
        <f aca="false">IF(OR(T427="",P427=""),"",(T427-P427)/T427)</f>
        <v>0.647335423197492</v>
      </c>
      <c r="V427" s="45" t="n">
        <f aca="false">IF(T427="",0,T427/N427-1)</f>
        <v>0.160021091292569</v>
      </c>
      <c r="W427" s="38" t="s">
        <v>107</v>
      </c>
    </row>
    <row r="428" customFormat="false" ht="15" hidden="false" customHeight="false" outlineLevel="0" collapsed="false">
      <c r="A428" s="19" t="n">
        <v>377</v>
      </c>
      <c r="B428" s="19" t="s">
        <v>232</v>
      </c>
      <c r="C428" s="19" t="s">
        <v>307</v>
      </c>
      <c r="D428" s="19" t="s">
        <v>231</v>
      </c>
      <c r="E428" s="19" t="s">
        <v>58</v>
      </c>
      <c r="F428" s="20" t="n">
        <v>47</v>
      </c>
      <c r="G428" s="20" t="n">
        <v>48</v>
      </c>
      <c r="H428" s="21" t="n">
        <v>20075</v>
      </c>
      <c r="I428" s="21" t="n">
        <v>-222.64</v>
      </c>
      <c r="J428" s="21" t="n">
        <v>-2920</v>
      </c>
      <c r="K428" s="22" t="n">
        <f aca="false">H428+I428+J428</f>
        <v>16932.36</v>
      </c>
      <c r="L428" s="23" t="n">
        <f aca="false">IF($K$1282=0,0,K428/$K$1282)</f>
        <v>0.00140265024947558</v>
      </c>
      <c r="M428" s="24" t="n">
        <f aca="false">IF(F428&lt;=0,0,K428/F428)</f>
        <v>360.262978723404</v>
      </c>
      <c r="N428" s="21" t="n">
        <v>365</v>
      </c>
      <c r="O428" s="49" t="n">
        <v>7.5</v>
      </c>
      <c r="P428" s="24" t="n">
        <f aca="false">O428*'Price Groups'!$B$5</f>
        <v>168.75</v>
      </c>
      <c r="Q428" s="26" t="n">
        <f aca="false">IF(OR(N428="",P428=""),"",(N428-P428)/N428)</f>
        <v>0.537671232876712</v>
      </c>
      <c r="R428" s="27" t="n">
        <v>3</v>
      </c>
      <c r="S428" s="28" t="n">
        <f aca="false">IF(R428="-",0,IFERROR(VLOOKUP(R428,'Price Groups'!$A$13:$C$17,3,FALSE()),0))</f>
        <v>0.16</v>
      </c>
      <c r="T428" s="22" t="n">
        <f aca="false">IF(OR(N428="",R428="-"),"",CEILING(ROUND(N428*(1+S428),2),IF(N428*(1+S428)&lt;100,0.5,IF(N428*(1+S428)&lt;1000,1,5))))</f>
        <v>424</v>
      </c>
      <c r="U428" s="26" t="n">
        <f aca="false">IF(OR(T428="",P428=""),"",(T428-P428)/T428)</f>
        <v>0.602004716981132</v>
      </c>
      <c r="V428" s="26" t="n">
        <f aca="false">IF(T428="",0,T428/N428-1)</f>
        <v>0.161643835616438</v>
      </c>
      <c r="W428" s="19" t="s">
        <v>577</v>
      </c>
    </row>
    <row r="429" customFormat="false" ht="15" hidden="false" customHeight="false" outlineLevel="0" collapsed="false">
      <c r="A429" s="38" t="n">
        <v>378</v>
      </c>
      <c r="B429" s="38" t="s">
        <v>578</v>
      </c>
      <c r="C429" s="38" t="s">
        <v>57</v>
      </c>
      <c r="D429" s="38"/>
      <c r="E429" s="38" t="s">
        <v>58</v>
      </c>
      <c r="F429" s="39" t="n">
        <v>47</v>
      </c>
      <c r="G429" s="39" t="n">
        <v>22</v>
      </c>
      <c r="H429" s="40" t="n">
        <v>4735.68</v>
      </c>
      <c r="I429" s="40" t="n">
        <v>-143.4</v>
      </c>
      <c r="J429" s="40" t="n">
        <v>-739.91</v>
      </c>
      <c r="K429" s="41" t="n">
        <f aca="false">H429+I429+J429</f>
        <v>3852.37</v>
      </c>
      <c r="L429" s="42" t="n">
        <f aca="false">IF($K$1282=0,0,K429/$K$1282)</f>
        <v>0.000319124312356472</v>
      </c>
      <c r="M429" s="43" t="n">
        <f aca="false">IF(F429&lt;=0,0,K429/F429)</f>
        <v>81.9653191489362</v>
      </c>
      <c r="N429" s="40" t="n">
        <v>79.99</v>
      </c>
      <c r="O429" s="44" t="n">
        <v>1.82</v>
      </c>
      <c r="P429" s="43" t="n">
        <f aca="false">O429*'Price Groups'!$B$5</f>
        <v>40.95</v>
      </c>
      <c r="Q429" s="45" t="n">
        <f aca="false">IF(OR(N429="",P429=""),"",(N429-P429)/N429)</f>
        <v>0.488061007625953</v>
      </c>
      <c r="R429" s="46" t="n">
        <v>1</v>
      </c>
      <c r="S429" s="47" t="n">
        <f aca="false">IF(R429="-",0,IFERROR(VLOOKUP(R429,'Price Groups'!$A$13:$C$17,3,FALSE()),0))</f>
        <v>0.22</v>
      </c>
      <c r="T429" s="41" t="n">
        <f aca="false">IF(OR(N429="",R429="-"),"",CEILING(ROUND(N429*(1+S429),2),IF(N429*(1+S429)&lt;100,0.5,IF(N429*(1+S429)&lt;1000,1,5))))</f>
        <v>98</v>
      </c>
      <c r="U429" s="45" t="n">
        <f aca="false">IF(OR(T429="",P429=""),"",(T429-P429)/T429)</f>
        <v>0.582142857142857</v>
      </c>
      <c r="V429" s="45" t="n">
        <f aca="false">IF(T429="",0,T429/N429-1)</f>
        <v>0.225153144143018</v>
      </c>
      <c r="W429" s="38" t="s">
        <v>94</v>
      </c>
    </row>
    <row r="430" customFormat="false" ht="15" hidden="false" customHeight="false" outlineLevel="0" collapsed="false">
      <c r="A430" s="19" t="n">
        <v>379</v>
      </c>
      <c r="B430" s="19" t="s">
        <v>579</v>
      </c>
      <c r="C430" s="19" t="s">
        <v>57</v>
      </c>
      <c r="D430" s="19"/>
      <c r="E430" s="19" t="s">
        <v>58</v>
      </c>
      <c r="F430" s="20" t="n">
        <v>46</v>
      </c>
      <c r="G430" s="20" t="n">
        <v>29</v>
      </c>
      <c r="H430" s="21" t="n">
        <v>7548.02</v>
      </c>
      <c r="I430" s="21" t="n">
        <v>-63.84</v>
      </c>
      <c r="J430" s="21" t="n">
        <v>-309.98</v>
      </c>
      <c r="K430" s="22" t="n">
        <f aca="false">H430+I430+J430</f>
        <v>7174.2</v>
      </c>
      <c r="L430" s="23" t="n">
        <f aca="false">IF($K$1282=0,0,K430/$K$1282)</f>
        <v>0.000594299519959869</v>
      </c>
      <c r="M430" s="24" t="n">
        <f aca="false">IF(F430&lt;=0,0,K430/F430)</f>
        <v>155.960869565217</v>
      </c>
      <c r="N430" s="21" t="n">
        <v>162.74</v>
      </c>
      <c r="O430" s="49" t="n">
        <v>3.5</v>
      </c>
      <c r="P430" s="24" t="n">
        <f aca="false">O430*'Price Groups'!$B$5</f>
        <v>78.75</v>
      </c>
      <c r="Q430" s="26" t="n">
        <f aca="false">IF(OR(N430="",P430=""),"",(N430-P430)/N430)</f>
        <v>0.516099299496129</v>
      </c>
      <c r="R430" s="27" t="n">
        <v>1</v>
      </c>
      <c r="S430" s="28" t="n">
        <f aca="false">IF(R430="-",0,IFERROR(VLOOKUP(R430,'Price Groups'!$A$13:$C$17,3,FALSE()),0))</f>
        <v>0.22</v>
      </c>
      <c r="T430" s="22" t="n">
        <f aca="false">IF(OR(N430="",R430="-"),"",CEILING(ROUND(N430*(1+S430),2),IF(N430*(1+S430)&lt;100,0.5,IF(N430*(1+S430)&lt;1000,1,5))))</f>
        <v>199</v>
      </c>
      <c r="U430" s="26" t="n">
        <f aca="false">IF(OR(T430="",P430=""),"",(T430-P430)/T430)</f>
        <v>0.60427135678392</v>
      </c>
      <c r="V430" s="26" t="n">
        <f aca="false">IF(T430="",0,T430/N430-1)</f>
        <v>0.222809389209782</v>
      </c>
      <c r="W430" s="19" t="s">
        <v>94</v>
      </c>
    </row>
    <row r="431" customFormat="false" ht="15" hidden="false" customHeight="false" outlineLevel="0" collapsed="false">
      <c r="A431" s="38" t="n">
        <v>380</v>
      </c>
      <c r="B431" s="38" t="s">
        <v>580</v>
      </c>
      <c r="C431" s="38" t="s">
        <v>57</v>
      </c>
      <c r="D431" s="38"/>
      <c r="E431" s="38" t="s">
        <v>58</v>
      </c>
      <c r="F431" s="39" t="n">
        <v>46</v>
      </c>
      <c r="G431" s="39" t="n">
        <v>31</v>
      </c>
      <c r="H431" s="40" t="n">
        <v>8569.48</v>
      </c>
      <c r="I431" s="40" t="n">
        <v>-118.93</v>
      </c>
      <c r="J431" s="40" t="n">
        <v>-969.94</v>
      </c>
      <c r="K431" s="41" t="n">
        <f aca="false">H431+I431+J431</f>
        <v>7480.61</v>
      </c>
      <c r="L431" s="42" t="n">
        <f aca="false">IF($K$1282=0,0,K431/$K$1282)</f>
        <v>0.000619682045664603</v>
      </c>
      <c r="M431" s="43" t="n">
        <f aca="false">IF(F431&lt;=0,0,K431/F431)</f>
        <v>162.621956521739</v>
      </c>
      <c r="N431" s="40" t="n">
        <v>169.99</v>
      </c>
      <c r="O431" s="44" t="n">
        <v>4.17</v>
      </c>
      <c r="P431" s="43" t="n">
        <f aca="false">O431*'Price Groups'!$B$5</f>
        <v>93.825</v>
      </c>
      <c r="Q431" s="45" t="n">
        <f aca="false">IF(OR(N431="",P431=""),"",(N431-P431)/N431)</f>
        <v>0.448055767986352</v>
      </c>
      <c r="R431" s="46" t="n">
        <v>1</v>
      </c>
      <c r="S431" s="47" t="n">
        <f aca="false">IF(R431="-",0,IFERROR(VLOOKUP(R431,'Price Groups'!$A$13:$C$17,3,FALSE()),0))</f>
        <v>0.22</v>
      </c>
      <c r="T431" s="41" t="n">
        <f aca="false">IF(OR(N431="",R431="-"),"",CEILING(ROUND(N431*(1+S431),2),IF(N431*(1+S431)&lt;100,0.5,IF(N431*(1+S431)&lt;1000,1,5))))</f>
        <v>208</v>
      </c>
      <c r="U431" s="45" t="n">
        <f aca="false">IF(OR(T431="",P431=""),"",(T431-P431)/T431)</f>
        <v>0.548918269230769</v>
      </c>
      <c r="V431" s="45" t="n">
        <f aca="false">IF(T431="",0,T431/N431-1)</f>
        <v>0.22360138831696</v>
      </c>
      <c r="W431" s="38" t="s">
        <v>94</v>
      </c>
    </row>
    <row r="432" customFormat="false" ht="15" hidden="false" customHeight="false" outlineLevel="0" collapsed="false">
      <c r="A432" s="19" t="n">
        <v>381</v>
      </c>
      <c r="B432" s="19" t="s">
        <v>581</v>
      </c>
      <c r="C432" s="19" t="s">
        <v>57</v>
      </c>
      <c r="D432" s="19"/>
      <c r="E432" s="19" t="s">
        <v>58</v>
      </c>
      <c r="F432" s="20" t="n">
        <v>46</v>
      </c>
      <c r="G432" s="20" t="n">
        <v>13</v>
      </c>
      <c r="H432" s="21" t="n">
        <v>3429.62</v>
      </c>
      <c r="I432" s="21" t="n">
        <v>-25.56</v>
      </c>
      <c r="J432" s="21" t="n">
        <v>-765</v>
      </c>
      <c r="K432" s="22" t="n">
        <f aca="false">H432+I432+J432</f>
        <v>2639.06</v>
      </c>
      <c r="L432" s="23" t="n">
        <f aca="false">IF($K$1282=0,0,K432/$K$1282)</f>
        <v>0.000218615607474742</v>
      </c>
      <c r="M432" s="24" t="n">
        <f aca="false">IF(F432&lt;=0,0,K432/F432)</f>
        <v>57.3708695652174</v>
      </c>
      <c r="N432" s="21" t="n">
        <v>49.99</v>
      </c>
      <c r="O432" s="49" t="n">
        <v>1.05</v>
      </c>
      <c r="P432" s="24" t="n">
        <f aca="false">O432*'Price Groups'!$B$5</f>
        <v>23.625</v>
      </c>
      <c r="Q432" s="26" t="n">
        <f aca="false">IF(OR(N432="",P432=""),"",(N432-P432)/N432)</f>
        <v>0.527405481096219</v>
      </c>
      <c r="R432" s="27" t="n">
        <v>1</v>
      </c>
      <c r="S432" s="28" t="n">
        <f aca="false">IF(R432="-",0,IFERROR(VLOOKUP(R432,'Price Groups'!$A$13:$C$17,3,FALSE()),0))</f>
        <v>0.22</v>
      </c>
      <c r="T432" s="22" t="n">
        <f aca="false">IF(OR(N432="",R432="-"),"",CEILING(ROUND(N432*(1+S432),2),IF(N432*(1+S432)&lt;100,0.5,IF(N432*(1+S432)&lt;1000,1,5))))</f>
        <v>61</v>
      </c>
      <c r="U432" s="26" t="n">
        <f aca="false">IF(OR(T432="",P432=""),"",(T432-P432)/T432)</f>
        <v>0.612704918032787</v>
      </c>
      <c r="V432" s="26" t="n">
        <f aca="false">IF(T432="",0,T432/N432-1)</f>
        <v>0.220244048809762</v>
      </c>
      <c r="W432" s="19" t="s">
        <v>94</v>
      </c>
    </row>
    <row r="433" customFormat="false" ht="15" hidden="false" customHeight="false" outlineLevel="0" collapsed="false">
      <c r="A433" s="38" t="n">
        <v>382</v>
      </c>
      <c r="B433" s="38" t="s">
        <v>582</v>
      </c>
      <c r="C433" s="38" t="s">
        <v>57</v>
      </c>
      <c r="D433" s="38" t="s">
        <v>583</v>
      </c>
      <c r="E433" s="38" t="s">
        <v>58</v>
      </c>
      <c r="F433" s="39" t="n">
        <v>45</v>
      </c>
      <c r="G433" s="39" t="n">
        <v>33</v>
      </c>
      <c r="H433" s="40" t="n">
        <v>2660.88</v>
      </c>
      <c r="I433" s="40" t="n">
        <v>-3.69</v>
      </c>
      <c r="J433" s="40" t="n">
        <v>-564.83</v>
      </c>
      <c r="K433" s="41" t="n">
        <f aca="false">H433+I433+J433</f>
        <v>2092.36</v>
      </c>
      <c r="L433" s="42" t="n">
        <f aca="false">IF($K$1282=0,0,K433/$K$1282)</f>
        <v>0.000173327833567956</v>
      </c>
      <c r="M433" s="43" t="n">
        <f aca="false">IF(F433&lt;=0,0,K433/F433)</f>
        <v>46.4968888888889</v>
      </c>
      <c r="N433" s="40" t="n">
        <v>49.99</v>
      </c>
      <c r="O433" s="44" t="n">
        <v>1.22</v>
      </c>
      <c r="P433" s="43" t="n">
        <f aca="false">O433*'Price Groups'!$B$5</f>
        <v>27.45</v>
      </c>
      <c r="Q433" s="45" t="n">
        <f aca="false">IF(OR(N433="",P433=""),"",(N433-P433)/N433)</f>
        <v>0.450890178035607</v>
      </c>
      <c r="R433" s="46" t="n">
        <v>1</v>
      </c>
      <c r="S433" s="47" t="n">
        <f aca="false">IF(R433="-",0,IFERROR(VLOOKUP(R433,'Price Groups'!$A$13:$C$17,3,FALSE()),0))</f>
        <v>0.22</v>
      </c>
      <c r="T433" s="41" t="n">
        <f aca="false">IF(OR(N433="",R433="-"),"",CEILING(ROUND(N433*(1+S433),2),IF(N433*(1+S433)&lt;100,0.5,IF(N433*(1+S433)&lt;1000,1,5))))</f>
        <v>61</v>
      </c>
      <c r="U433" s="45" t="n">
        <f aca="false">IF(OR(T433="",P433=""),"",(T433-P433)/T433)</f>
        <v>0.55</v>
      </c>
      <c r="V433" s="45" t="n">
        <f aca="false">IF(T433="",0,T433/N433-1)</f>
        <v>0.220244048809762</v>
      </c>
      <c r="W433" s="38" t="s">
        <v>94</v>
      </c>
    </row>
    <row r="434" customFormat="false" ht="15" hidden="false" customHeight="false" outlineLevel="0" collapsed="false">
      <c r="A434" s="19" t="n">
        <v>383</v>
      </c>
      <c r="B434" s="19" t="s">
        <v>584</v>
      </c>
      <c r="C434" s="19" t="s">
        <v>57</v>
      </c>
      <c r="D434" s="19"/>
      <c r="E434" s="19" t="s">
        <v>58</v>
      </c>
      <c r="F434" s="20" t="n">
        <v>45</v>
      </c>
      <c r="G434" s="20" t="n">
        <v>33</v>
      </c>
      <c r="H434" s="21" t="n">
        <v>1028.42</v>
      </c>
      <c r="I434" s="21" t="n">
        <v>-15.99</v>
      </c>
      <c r="J434" s="21" t="n">
        <v>-65.16</v>
      </c>
      <c r="K434" s="22" t="n">
        <f aca="false">H434+I434+J434</f>
        <v>947.27</v>
      </c>
      <c r="L434" s="23" t="n">
        <f aca="false">IF($K$1282=0,0,K434/$K$1282)</f>
        <v>7.84703669081409E-005</v>
      </c>
      <c r="M434" s="24" t="n">
        <f aca="false">IF(F434&lt;=0,0,K434/F434)</f>
        <v>21.0504444444444</v>
      </c>
      <c r="N434" s="21" t="n">
        <v>24.7</v>
      </c>
      <c r="O434" s="49" t="n">
        <v>0.51</v>
      </c>
      <c r="P434" s="24" t="n">
        <f aca="false">O434*'Price Groups'!$B$5</f>
        <v>11.475</v>
      </c>
      <c r="Q434" s="26" t="n">
        <f aca="false">IF(OR(N434="",P434=""),"",(N434-P434)/N434)</f>
        <v>0.535425101214575</v>
      </c>
      <c r="R434" s="27" t="n">
        <v>1</v>
      </c>
      <c r="S434" s="28" t="n">
        <f aca="false">IF(R434="-",0,IFERROR(VLOOKUP(R434,'Price Groups'!$A$13:$C$17,3,FALSE()),0))</f>
        <v>0.22</v>
      </c>
      <c r="T434" s="22" t="n">
        <f aca="false">IF(OR(N434="",R434="-"),"",CEILING(ROUND(N434*(1+S434),2),IF(N434*(1+S434)&lt;100,0.5,IF(N434*(1+S434)&lt;1000,1,5))))</f>
        <v>30.5</v>
      </c>
      <c r="U434" s="26" t="n">
        <f aca="false">IF(OR(T434="",P434=""),"",(T434-P434)/T434)</f>
        <v>0.623770491803279</v>
      </c>
      <c r="V434" s="26" t="n">
        <f aca="false">IF(T434="",0,T434/N434-1)</f>
        <v>0.234817813765182</v>
      </c>
      <c r="W434" s="19" t="s">
        <v>94</v>
      </c>
    </row>
    <row r="435" customFormat="false" ht="15" hidden="false" customHeight="false" outlineLevel="0" collapsed="false">
      <c r="A435" s="38" t="n">
        <v>384</v>
      </c>
      <c r="B435" s="38" t="s">
        <v>585</v>
      </c>
      <c r="C435" s="38" t="s">
        <v>57</v>
      </c>
      <c r="D435" s="38"/>
      <c r="E435" s="38" t="s">
        <v>58</v>
      </c>
      <c r="F435" s="39" t="n">
        <v>45</v>
      </c>
      <c r="G435" s="39" t="n">
        <v>12</v>
      </c>
      <c r="H435" s="40" t="n">
        <v>912</v>
      </c>
      <c r="I435" s="40" t="n">
        <v>-570</v>
      </c>
      <c r="J435" s="40" t="n">
        <v>-57</v>
      </c>
      <c r="K435" s="41" t="n">
        <f aca="false">H435+I435+J435</f>
        <v>285</v>
      </c>
      <c r="L435" s="42" t="n">
        <f aca="false">IF($K$1282=0,0,K435/$K$1282)</f>
        <v>2.36089547529428E-005</v>
      </c>
      <c r="M435" s="43" t="n">
        <f aca="false">IF(F435&lt;=0,0,K435/F435)</f>
        <v>6.33333333333333</v>
      </c>
      <c r="N435" s="40" t="n">
        <v>19</v>
      </c>
      <c r="O435" s="44" t="n">
        <v>0.53</v>
      </c>
      <c r="P435" s="43" t="n">
        <f aca="false">O435*'Price Groups'!$B$5</f>
        <v>11.925</v>
      </c>
      <c r="Q435" s="45" t="n">
        <f aca="false">IF(OR(N435="",P435=""),"",(N435-P435)/N435)</f>
        <v>0.372368421052632</v>
      </c>
      <c r="R435" s="46" t="n">
        <v>1</v>
      </c>
      <c r="S435" s="47" t="n">
        <f aca="false">IF(R435="-",0,IFERROR(VLOOKUP(R435,'Price Groups'!$A$13:$C$17,3,FALSE()),0))</f>
        <v>0.22</v>
      </c>
      <c r="T435" s="41" t="n">
        <f aca="false">IF(OR(N435="",R435="-"),"",CEILING(ROUND(N435*(1+S435),2),IF(N435*(1+S435)&lt;100,0.5,IF(N435*(1+S435)&lt;1000,1,5))))</f>
        <v>23.5</v>
      </c>
      <c r="U435" s="45" t="n">
        <f aca="false">IF(OR(T435="",P435=""),"",(T435-P435)/T435)</f>
        <v>0.492553191489362</v>
      </c>
      <c r="V435" s="45" t="n">
        <f aca="false">IF(T435="",0,T435/N435-1)</f>
        <v>0.236842105263158</v>
      </c>
      <c r="W435" s="38" t="s">
        <v>94</v>
      </c>
    </row>
    <row r="436" customFormat="false" ht="15" hidden="false" customHeight="false" outlineLevel="0" collapsed="false">
      <c r="A436" s="19" t="n">
        <v>385</v>
      </c>
      <c r="B436" s="19" t="s">
        <v>586</v>
      </c>
      <c r="C436" s="19" t="s">
        <v>57</v>
      </c>
      <c r="D436" s="19"/>
      <c r="E436" s="19" t="s">
        <v>58</v>
      </c>
      <c r="F436" s="20" t="n">
        <v>44</v>
      </c>
      <c r="G436" s="20" t="n">
        <v>43</v>
      </c>
      <c r="H436" s="21" t="n">
        <v>2995.06</v>
      </c>
      <c r="I436" s="21" t="n">
        <v>-30.89</v>
      </c>
      <c r="J436" s="21" t="n">
        <v>-530.37</v>
      </c>
      <c r="K436" s="22" t="n">
        <f aca="false">H436+I436+J436</f>
        <v>2433.8</v>
      </c>
      <c r="L436" s="23" t="n">
        <f aca="false">IF($K$1282=0,0,K436/$K$1282)</f>
        <v>0.000201612189746359</v>
      </c>
      <c r="M436" s="24" t="n">
        <f aca="false">IF(F436&lt;=0,0,K436/F436)</f>
        <v>55.3136363636364</v>
      </c>
      <c r="N436" s="21" t="n">
        <v>89</v>
      </c>
      <c r="O436" s="49" t="n">
        <v>0.75</v>
      </c>
      <c r="P436" s="24" t="n">
        <f aca="false">O436*'Price Groups'!$B$5</f>
        <v>16.875</v>
      </c>
      <c r="Q436" s="26" t="n">
        <f aca="false">IF(OR(N436="",P436=""),"",(N436-P436)/N436)</f>
        <v>0.810393258426966</v>
      </c>
      <c r="R436" s="27" t="n">
        <v>1</v>
      </c>
      <c r="S436" s="28" t="n">
        <f aca="false">IF(R436="-",0,IFERROR(VLOOKUP(R436,'Price Groups'!$A$13:$C$17,3,FALSE()),0))</f>
        <v>0.22</v>
      </c>
      <c r="T436" s="22" t="n">
        <f aca="false">IF(OR(N436="",R436="-"),"",CEILING(ROUND(N436*(1+S436),2),IF(N436*(1+S436)&lt;100,0.5,IF(N436*(1+S436)&lt;1000,1,5))))</f>
        <v>109</v>
      </c>
      <c r="U436" s="26" t="n">
        <f aca="false">IF(OR(T436="",P436=""),"",(T436-P436)/T436)</f>
        <v>0.845183486238532</v>
      </c>
      <c r="V436" s="26" t="n">
        <f aca="false">IF(T436="",0,T436/N436-1)</f>
        <v>0.224719101123596</v>
      </c>
      <c r="W436" s="19" t="s">
        <v>94</v>
      </c>
    </row>
    <row r="437" customFormat="false" ht="15" hidden="false" customHeight="false" outlineLevel="0" collapsed="false">
      <c r="A437" s="38" t="n">
        <v>386</v>
      </c>
      <c r="B437" s="38" t="s">
        <v>587</v>
      </c>
      <c r="C437" s="38" t="s">
        <v>57</v>
      </c>
      <c r="D437" s="38"/>
      <c r="E437" s="38" t="s">
        <v>58</v>
      </c>
      <c r="F437" s="39" t="n">
        <v>44</v>
      </c>
      <c r="G437" s="39" t="n">
        <v>35</v>
      </c>
      <c r="H437" s="40" t="n">
        <v>3309.69</v>
      </c>
      <c r="I437" s="40" t="n">
        <v>-11.11</v>
      </c>
      <c r="J437" s="40" t="n">
        <v>-844.38</v>
      </c>
      <c r="K437" s="41" t="n">
        <f aca="false">H437+I437+J437</f>
        <v>2454.2</v>
      </c>
      <c r="L437" s="42" t="n">
        <f aca="false">IF($K$1282=0,0,K437/$K$1282)</f>
        <v>0.000203302093876043</v>
      </c>
      <c r="M437" s="43" t="n">
        <f aca="false">IF(F437&lt;=0,0,K437/F437)</f>
        <v>55.7772727272727</v>
      </c>
      <c r="N437" s="40" t="n">
        <v>54.99</v>
      </c>
      <c r="O437" s="44" t="n">
        <v>1.03</v>
      </c>
      <c r="P437" s="43" t="n">
        <f aca="false">O437*'Price Groups'!$B$5</f>
        <v>23.175</v>
      </c>
      <c r="Q437" s="45" t="n">
        <f aca="false">IF(OR(N437="",P437=""),"",(N437-P437)/N437)</f>
        <v>0.578559738134206</v>
      </c>
      <c r="R437" s="46" t="n">
        <v>1</v>
      </c>
      <c r="S437" s="47" t="n">
        <f aca="false">IF(R437="-",0,IFERROR(VLOOKUP(R437,'Price Groups'!$A$13:$C$17,3,FALSE()),0))</f>
        <v>0.22</v>
      </c>
      <c r="T437" s="41" t="n">
        <f aca="false">IF(OR(N437="",R437="-"),"",CEILING(ROUND(N437*(1+S437),2),IF(N437*(1+S437)&lt;100,0.5,IF(N437*(1+S437)&lt;1000,1,5))))</f>
        <v>67.5</v>
      </c>
      <c r="U437" s="45" t="n">
        <f aca="false">IF(OR(T437="",P437=""),"",(T437-P437)/T437)</f>
        <v>0.656666666666667</v>
      </c>
      <c r="V437" s="45" t="n">
        <f aca="false">IF(T437="",0,T437/N437-1)</f>
        <v>0.227495908346972</v>
      </c>
      <c r="W437" s="38" t="s">
        <v>94</v>
      </c>
    </row>
    <row r="438" customFormat="false" ht="15" hidden="false" customHeight="false" outlineLevel="0" collapsed="false">
      <c r="A438" s="19" t="n">
        <v>387</v>
      </c>
      <c r="B438" s="19" t="s">
        <v>588</v>
      </c>
      <c r="C438" s="19" t="s">
        <v>57</v>
      </c>
      <c r="D438" s="19"/>
      <c r="E438" s="19" t="s">
        <v>58</v>
      </c>
      <c r="F438" s="20" t="n">
        <v>44</v>
      </c>
      <c r="G438" s="20" t="n">
        <v>37</v>
      </c>
      <c r="H438" s="21" t="n">
        <v>6821.38</v>
      </c>
      <c r="I438" s="21" t="n">
        <v>-69.5</v>
      </c>
      <c r="J438" s="21" t="n">
        <v>-1534.77</v>
      </c>
      <c r="K438" s="22" t="n">
        <f aca="false">H438+I438+J438</f>
        <v>5217.11</v>
      </c>
      <c r="L438" s="23" t="n">
        <f aca="false">IF($K$1282=0,0,K438/$K$1282)</f>
        <v>0.000432177241863599</v>
      </c>
      <c r="M438" s="24" t="n">
        <f aca="false">IF(F438&lt;=0,0,K438/F438)</f>
        <v>118.570681818182</v>
      </c>
      <c r="N438" s="21" t="n">
        <v>124.99</v>
      </c>
      <c r="O438" s="49" t="n">
        <v>2.64</v>
      </c>
      <c r="P438" s="24" t="n">
        <f aca="false">O438*'Price Groups'!$B$5</f>
        <v>59.4</v>
      </c>
      <c r="Q438" s="26" t="n">
        <f aca="false">IF(OR(N438="",P438=""),"",(N438-P438)/N438)</f>
        <v>0.524761980958477</v>
      </c>
      <c r="R438" s="27" t="n">
        <v>1</v>
      </c>
      <c r="S438" s="28" t="n">
        <f aca="false">IF(R438="-",0,IFERROR(VLOOKUP(R438,'Price Groups'!$A$13:$C$17,3,FALSE()),0))</f>
        <v>0.22</v>
      </c>
      <c r="T438" s="22" t="n">
        <f aca="false">IF(OR(N438="",R438="-"),"",CEILING(ROUND(N438*(1+S438),2),IF(N438*(1+S438)&lt;100,0.5,IF(N438*(1+S438)&lt;1000,1,5))))</f>
        <v>153</v>
      </c>
      <c r="U438" s="26" t="n">
        <f aca="false">IF(OR(T438="",P438=""),"",(T438-P438)/T438)</f>
        <v>0.611764705882353</v>
      </c>
      <c r="V438" s="26" t="n">
        <f aca="false">IF(T438="",0,T438/N438-1)</f>
        <v>0.224097927834227</v>
      </c>
      <c r="W438" s="19" t="s">
        <v>94</v>
      </c>
    </row>
    <row r="439" customFormat="false" ht="15" hidden="false" customHeight="false" outlineLevel="0" collapsed="false">
      <c r="A439" s="38" t="n">
        <v>388</v>
      </c>
      <c r="B439" s="38" t="s">
        <v>589</v>
      </c>
      <c r="C439" s="38" t="s">
        <v>57</v>
      </c>
      <c r="D439" s="38"/>
      <c r="E439" s="38" t="s">
        <v>58</v>
      </c>
      <c r="F439" s="39" t="n">
        <v>44</v>
      </c>
      <c r="G439" s="39" t="n">
        <v>26</v>
      </c>
      <c r="H439" s="40" t="n">
        <v>11249.55</v>
      </c>
      <c r="I439" s="40" t="n">
        <v>-49.98</v>
      </c>
      <c r="J439" s="40" t="n">
        <v>-249.99</v>
      </c>
      <c r="K439" s="41" t="n">
        <f aca="false">H439+I439+J439</f>
        <v>10949.58</v>
      </c>
      <c r="L439" s="42" t="n">
        <f aca="false">IF($K$1282=0,0,K439/$K$1282)</f>
        <v>0.000907046100995536</v>
      </c>
      <c r="M439" s="43" t="n">
        <f aca="false">IF(F439&lt;=0,0,K439/F439)</f>
        <v>248.854090909091</v>
      </c>
      <c r="N439" s="40" t="n">
        <v>249.99</v>
      </c>
      <c r="O439" s="44" t="n">
        <v>6.45</v>
      </c>
      <c r="P439" s="43" t="n">
        <f aca="false">O439*'Price Groups'!$B$5</f>
        <v>145.125</v>
      </c>
      <c r="Q439" s="45" t="n">
        <f aca="false">IF(OR(N439="",P439=""),"",(N439-P439)/N439)</f>
        <v>0.419476779071163</v>
      </c>
      <c r="R439" s="46" t="n">
        <v>3</v>
      </c>
      <c r="S439" s="47" t="n">
        <f aca="false">IF(R439="-",0,IFERROR(VLOOKUP(R439,'Price Groups'!$A$13:$C$17,3,FALSE()),0))</f>
        <v>0.16</v>
      </c>
      <c r="T439" s="41" t="n">
        <f aca="false">IF(OR(N439="",R439="-"),"",CEILING(ROUND(N439*(1+S439),2),IF(N439*(1+S439)&lt;100,0.5,IF(N439*(1+S439)&lt;1000,1,5))))</f>
        <v>290</v>
      </c>
      <c r="U439" s="45" t="n">
        <f aca="false">IF(OR(T439="",P439=""),"",(T439-P439)/T439)</f>
        <v>0.499568965517241</v>
      </c>
      <c r="V439" s="45" t="n">
        <f aca="false">IF(T439="",0,T439/N439-1)</f>
        <v>0.160046401856074</v>
      </c>
      <c r="W439" s="38" t="s">
        <v>107</v>
      </c>
    </row>
    <row r="440" customFormat="false" ht="15" hidden="false" customHeight="false" outlineLevel="0" collapsed="false">
      <c r="A440" s="19" t="n">
        <v>389</v>
      </c>
      <c r="B440" s="19" t="s">
        <v>227</v>
      </c>
      <c r="C440" s="19" t="s">
        <v>307</v>
      </c>
      <c r="D440" s="19" t="s">
        <v>226</v>
      </c>
      <c r="E440" s="19" t="s">
        <v>58</v>
      </c>
      <c r="F440" s="20" t="n">
        <v>44</v>
      </c>
      <c r="G440" s="20" t="n">
        <v>47</v>
      </c>
      <c r="H440" s="21" t="n">
        <v>17004.21</v>
      </c>
      <c r="I440" s="21" t="n">
        <v>-97.28</v>
      </c>
      <c r="J440" s="21" t="n">
        <v>-3232.29</v>
      </c>
      <c r="K440" s="22" t="n">
        <f aca="false">H440+I440+J440</f>
        <v>13674.64</v>
      </c>
      <c r="L440" s="23" t="n">
        <f aca="false">IF($K$1282=0,0,K440/$K$1282)</f>
        <v>0.00113278581411503</v>
      </c>
      <c r="M440" s="24" t="n">
        <f aca="false">IF(F440&lt;=0,0,K440/F440)</f>
        <v>310.787272727273</v>
      </c>
      <c r="N440" s="21" t="n">
        <v>355.35</v>
      </c>
      <c r="O440" s="49" t="n">
        <v>6.75</v>
      </c>
      <c r="P440" s="24" t="n">
        <f aca="false">O440*'Price Groups'!$B$5</f>
        <v>151.875</v>
      </c>
      <c r="Q440" s="26" t="n">
        <f aca="false">IF(OR(N440="",P440=""),"",(N440-P440)/N440)</f>
        <v>0.572604474461798</v>
      </c>
      <c r="R440" s="27" t="n">
        <v>3</v>
      </c>
      <c r="S440" s="28" t="n">
        <f aca="false">IF(R440="-",0,IFERROR(VLOOKUP(R440,'Price Groups'!$A$13:$C$17,3,FALSE()),0))</f>
        <v>0.16</v>
      </c>
      <c r="T440" s="22" t="n">
        <f aca="false">IF(OR(N440="",R440="-"),"",CEILING(ROUND(N440*(1+S440),2),IF(N440*(1+S440)&lt;100,0.5,IF(N440*(1+S440)&lt;1000,1,5))))</f>
        <v>413</v>
      </c>
      <c r="U440" s="26" t="n">
        <f aca="false">IF(OR(T440="",P440=""),"",(T440-P440)/T440)</f>
        <v>0.63226392251816</v>
      </c>
      <c r="V440" s="26" t="n">
        <f aca="false">IF(T440="",0,T440/N440-1)</f>
        <v>0.162234416772196</v>
      </c>
      <c r="W440" s="19" t="s">
        <v>590</v>
      </c>
    </row>
    <row r="441" customFormat="false" ht="15" hidden="false" customHeight="false" outlineLevel="0" collapsed="false">
      <c r="A441" s="38" t="n">
        <v>390</v>
      </c>
      <c r="B441" s="38" t="s">
        <v>189</v>
      </c>
      <c r="C441" s="38" t="s">
        <v>307</v>
      </c>
      <c r="D441" s="38" t="s">
        <v>188</v>
      </c>
      <c r="E441" s="38" t="s">
        <v>58</v>
      </c>
      <c r="F441" s="39" t="n">
        <v>44</v>
      </c>
      <c r="G441" s="39" t="n">
        <v>33</v>
      </c>
      <c r="H441" s="40" t="n">
        <v>16372.72</v>
      </c>
      <c r="I441" s="40" t="n">
        <v>-134.99</v>
      </c>
      <c r="J441" s="40" t="n">
        <v>-1889.96</v>
      </c>
      <c r="K441" s="41" t="n">
        <f aca="false">H441+I441+J441</f>
        <v>14347.77</v>
      </c>
      <c r="L441" s="42" t="n">
        <f aca="false">IF($K$1282=0,0,K441/$K$1282)</f>
        <v>0.00118854685170397</v>
      </c>
      <c r="M441" s="43" t="n">
        <f aca="false">IF(F441&lt;=0,0,K441/F441)</f>
        <v>326.085681818182</v>
      </c>
      <c r="N441" s="40" t="n">
        <v>385</v>
      </c>
      <c r="O441" s="44" t="n">
        <v>6.7</v>
      </c>
      <c r="P441" s="43" t="n">
        <f aca="false">O441*'Price Groups'!$B$5</f>
        <v>150.75</v>
      </c>
      <c r="Q441" s="45" t="n">
        <f aca="false">IF(OR(N441="",P441=""),"",(N441-P441)/N441)</f>
        <v>0.608441558441558</v>
      </c>
      <c r="R441" s="46" t="n">
        <v>3</v>
      </c>
      <c r="S441" s="47" t="n">
        <f aca="false">IF(R441="-",0,IFERROR(VLOOKUP(R441,'Price Groups'!$A$13:$C$17,3,FALSE()),0))</f>
        <v>0.16</v>
      </c>
      <c r="T441" s="41" t="n">
        <f aca="false">IF(OR(N441="",R441="-"),"",CEILING(ROUND(N441*(1+S441),2),IF(N441*(1+S441)&lt;100,0.5,IF(N441*(1+S441)&lt;1000,1,5))))</f>
        <v>447</v>
      </c>
      <c r="U441" s="45" t="n">
        <f aca="false">IF(OR(T441="",P441=""),"",(T441-P441)/T441)</f>
        <v>0.662751677852349</v>
      </c>
      <c r="V441" s="45" t="n">
        <f aca="false">IF(T441="",0,T441/N441-1)</f>
        <v>0.161038961038961</v>
      </c>
      <c r="W441" s="38" t="s">
        <v>591</v>
      </c>
    </row>
    <row r="442" customFormat="false" ht="15" hidden="false" customHeight="false" outlineLevel="0" collapsed="false">
      <c r="A442" s="19" t="n">
        <v>391</v>
      </c>
      <c r="B442" s="19" t="s">
        <v>592</v>
      </c>
      <c r="C442" s="19" t="s">
        <v>57</v>
      </c>
      <c r="D442" s="19"/>
      <c r="E442" s="19" t="s">
        <v>58</v>
      </c>
      <c r="F442" s="20" t="n">
        <v>44</v>
      </c>
      <c r="G442" s="20" t="n">
        <v>29</v>
      </c>
      <c r="H442" s="21" t="n">
        <v>1307.63</v>
      </c>
      <c r="I442" s="21" t="n">
        <v>-18.34</v>
      </c>
      <c r="J442" s="21" t="n">
        <v>-83.99</v>
      </c>
      <c r="K442" s="22" t="n">
        <f aca="false">H442+I442+J442</f>
        <v>1205.3</v>
      </c>
      <c r="L442" s="23" t="n">
        <f aca="false">IF($K$1282=0,0,K442/$K$1282)</f>
        <v>9.98451689955158E-005</v>
      </c>
      <c r="M442" s="24" t="n">
        <f aca="false">IF(F442&lt;=0,0,K442/F442)</f>
        <v>27.3931818181818</v>
      </c>
      <c r="N442" s="21" t="n">
        <v>29.99</v>
      </c>
      <c r="O442" s="49" t="n">
        <v>0.65</v>
      </c>
      <c r="P442" s="24" t="n">
        <f aca="false">O442*'Price Groups'!$B$5</f>
        <v>14.625</v>
      </c>
      <c r="Q442" s="26" t="n">
        <f aca="false">IF(OR(N442="",P442=""),"",(N442-P442)/N442)</f>
        <v>0.512337445815272</v>
      </c>
      <c r="R442" s="27" t="n">
        <v>1</v>
      </c>
      <c r="S442" s="28" t="n">
        <f aca="false">IF(R442="-",0,IFERROR(VLOOKUP(R442,'Price Groups'!$A$13:$C$17,3,FALSE()),0))</f>
        <v>0.22</v>
      </c>
      <c r="T442" s="22" t="n">
        <f aca="false">IF(OR(N442="",R442="-"),"",CEILING(ROUND(N442*(1+S442),2),IF(N442*(1+S442)&lt;100,0.5,IF(N442*(1+S442)&lt;1000,1,5))))</f>
        <v>37</v>
      </c>
      <c r="U442" s="26" t="n">
        <f aca="false">IF(OR(T442="",P442=""),"",(T442-P442)/T442)</f>
        <v>0.60472972972973</v>
      </c>
      <c r="V442" s="26" t="n">
        <f aca="false">IF(T442="",0,T442/N442-1)</f>
        <v>0.233744581527176</v>
      </c>
      <c r="W442" s="19" t="s">
        <v>94</v>
      </c>
    </row>
    <row r="443" customFormat="false" ht="15" hidden="false" customHeight="false" outlineLevel="0" collapsed="false">
      <c r="A443" s="38" t="n">
        <v>392</v>
      </c>
      <c r="B443" s="38" t="s">
        <v>593</v>
      </c>
      <c r="C443" s="38" t="s">
        <v>57</v>
      </c>
      <c r="D443" s="38"/>
      <c r="E443" s="38" t="s">
        <v>58</v>
      </c>
      <c r="F443" s="39" t="n">
        <v>44</v>
      </c>
      <c r="G443" s="39" t="n">
        <v>21</v>
      </c>
      <c r="H443" s="40" t="n">
        <v>1799.55</v>
      </c>
      <c r="I443" s="40" t="n">
        <v>-36.37</v>
      </c>
      <c r="J443" s="40" t="n">
        <v>-39.99</v>
      </c>
      <c r="K443" s="41" t="n">
        <f aca="false">H443+I443+J443</f>
        <v>1723.19</v>
      </c>
      <c r="L443" s="42" t="n">
        <f aca="false">IF($K$1282=0,0,K443/$K$1282)</f>
        <v>0.000142746367511311</v>
      </c>
      <c r="M443" s="43" t="n">
        <f aca="false">IF(F443&lt;=0,0,K443/F443)</f>
        <v>39.1634090909091</v>
      </c>
      <c r="N443" s="40" t="n">
        <v>39.99</v>
      </c>
      <c r="O443" s="44" t="n">
        <v>0.95</v>
      </c>
      <c r="P443" s="43" t="n">
        <f aca="false">O443*'Price Groups'!$B$5</f>
        <v>21.375</v>
      </c>
      <c r="Q443" s="45" t="n">
        <f aca="false">IF(OR(N443="",P443=""),"",(N443-P443)/N443)</f>
        <v>0.465491372843211</v>
      </c>
      <c r="R443" s="46" t="n">
        <v>1</v>
      </c>
      <c r="S443" s="47" t="n">
        <f aca="false">IF(R443="-",0,IFERROR(VLOOKUP(R443,'Price Groups'!$A$13:$C$17,3,FALSE()),0))</f>
        <v>0.22</v>
      </c>
      <c r="T443" s="41" t="n">
        <f aca="false">IF(OR(N443="",R443="-"),"",CEILING(ROUND(N443*(1+S443),2),IF(N443*(1+S443)&lt;100,0.5,IF(N443*(1+S443)&lt;1000,1,5))))</f>
        <v>49</v>
      </c>
      <c r="U443" s="45" t="n">
        <f aca="false">IF(OR(T443="",P443=""),"",(T443-P443)/T443)</f>
        <v>0.563775510204082</v>
      </c>
      <c r="V443" s="45" t="n">
        <f aca="false">IF(T443="",0,T443/N443-1)</f>
        <v>0.225306326581645</v>
      </c>
      <c r="W443" s="38" t="s">
        <v>94</v>
      </c>
    </row>
    <row r="444" customFormat="false" ht="15" hidden="false" customHeight="false" outlineLevel="0" collapsed="false">
      <c r="A444" s="19" t="n">
        <v>393</v>
      </c>
      <c r="B444" s="19" t="s">
        <v>594</v>
      </c>
      <c r="C444" s="19" t="s">
        <v>57</v>
      </c>
      <c r="D444" s="19"/>
      <c r="E444" s="19" t="s">
        <v>58</v>
      </c>
      <c r="F444" s="20" t="n">
        <v>44</v>
      </c>
      <c r="G444" s="20" t="n">
        <v>44</v>
      </c>
      <c r="H444" s="21" t="n">
        <v>72200</v>
      </c>
      <c r="I444" s="21" t="n">
        <v>-755.7</v>
      </c>
      <c r="J444" s="21" t="n">
        <v>-4600</v>
      </c>
      <c r="K444" s="22" t="n">
        <f aca="false">H444+I444+J444</f>
        <v>66844.3</v>
      </c>
      <c r="L444" s="23" t="n">
        <f aca="false">IF($K$1282=0,0,K444/$K$1282)</f>
        <v>0.00553727738313031</v>
      </c>
      <c r="M444" s="24" t="n">
        <f aca="false">IF(F444&lt;=0,0,K444/F444)</f>
        <v>1519.18863636364</v>
      </c>
      <c r="N444" s="21" t="n">
        <v>900</v>
      </c>
      <c r="O444" s="49" t="n">
        <v>53.3</v>
      </c>
      <c r="P444" s="24" t="n">
        <f aca="false">O444*'Price Groups'!$B$5</f>
        <v>1199.25</v>
      </c>
      <c r="Q444" s="26" t="n">
        <f aca="false">IF(OR(N444="",P444=""),"",(N444-P444)/N444)</f>
        <v>-0.3325</v>
      </c>
      <c r="R444" s="27" t="n">
        <v>1</v>
      </c>
      <c r="S444" s="28" t="n">
        <f aca="false">IF(R444="-",0,IFERROR(VLOOKUP(R444,'Price Groups'!$A$13:$C$17,3,FALSE()),0))</f>
        <v>0.22</v>
      </c>
      <c r="T444" s="22" t="n">
        <f aca="false">IF(OR(N444="",R444="-"),"",CEILING(ROUND(N444*(1+S444),2),IF(N444*(1+S444)&lt;100,0.5,IF(N444*(1+S444)&lt;1000,1,5))))</f>
        <v>1100</v>
      </c>
      <c r="U444" s="26" t="n">
        <f aca="false">IF(OR(T444="",P444=""),"",(T444-P444)/T444)</f>
        <v>-0.0902272727272727</v>
      </c>
      <c r="V444" s="26" t="n">
        <f aca="false">IF(T444="",0,T444/N444-1)</f>
        <v>0.222222222222222</v>
      </c>
      <c r="W444" s="19" t="s">
        <v>595</v>
      </c>
    </row>
    <row r="445" customFormat="false" ht="15" hidden="false" customHeight="false" outlineLevel="0" collapsed="false">
      <c r="A445" s="38" t="n">
        <v>394</v>
      </c>
      <c r="B445" s="38" t="s">
        <v>596</v>
      </c>
      <c r="C445" s="38" t="s">
        <v>57</v>
      </c>
      <c r="D445" s="38"/>
      <c r="E445" s="38" t="s">
        <v>58</v>
      </c>
      <c r="F445" s="39" t="n">
        <v>44</v>
      </c>
      <c r="G445" s="39" t="n">
        <v>44</v>
      </c>
      <c r="H445" s="40" t="n">
        <v>8399.44</v>
      </c>
      <c r="I445" s="40" t="n">
        <v>-29.98</v>
      </c>
      <c r="J445" s="40" t="n">
        <v>-1799.88</v>
      </c>
      <c r="K445" s="41" t="n">
        <f aca="false">H445+I445+J445</f>
        <v>6569.58</v>
      </c>
      <c r="L445" s="42" t="n">
        <f aca="false">IF($K$1282=0,0,K445/$K$1282)</f>
        <v>0.000544213743739783</v>
      </c>
      <c r="M445" s="43" t="n">
        <f aca="false">IF(F445&lt;=0,0,K445/F445)</f>
        <v>149.308636363636</v>
      </c>
      <c r="N445" s="40" t="n">
        <v>149.99</v>
      </c>
      <c r="O445" s="44" t="n">
        <v>2.8</v>
      </c>
      <c r="P445" s="43" t="n">
        <f aca="false">O445*'Price Groups'!$B$5</f>
        <v>63</v>
      </c>
      <c r="Q445" s="45" t="n">
        <f aca="false">IF(OR(N445="",P445=""),"",(N445-P445)/N445)</f>
        <v>0.579971998133209</v>
      </c>
      <c r="R445" s="46" t="n">
        <v>1</v>
      </c>
      <c r="S445" s="47" t="n">
        <f aca="false">IF(R445="-",0,IFERROR(VLOOKUP(R445,'Price Groups'!$A$13:$C$17,3,FALSE()),0))</f>
        <v>0.22</v>
      </c>
      <c r="T445" s="41" t="n">
        <f aca="false">IF(OR(N445="",R445="-"),"",CEILING(ROUND(N445*(1+S445),2),IF(N445*(1+S445)&lt;100,0.5,IF(N445*(1+S445)&lt;1000,1,5))))</f>
        <v>183</v>
      </c>
      <c r="U445" s="45" t="n">
        <f aca="false">IF(OR(T445="",P445=""),"",(T445-P445)/T445)</f>
        <v>0.655737704918033</v>
      </c>
      <c r="V445" s="45" t="n">
        <f aca="false">IF(T445="",0,T445/N445-1)</f>
        <v>0.220081338755917</v>
      </c>
      <c r="W445" s="38" t="s">
        <v>94</v>
      </c>
    </row>
    <row r="446" customFormat="false" ht="15" hidden="false" customHeight="false" outlineLevel="0" collapsed="false">
      <c r="A446" s="19" t="n">
        <v>395</v>
      </c>
      <c r="B446" s="19" t="s">
        <v>597</v>
      </c>
      <c r="C446" s="19" t="s">
        <v>57</v>
      </c>
      <c r="D446" s="19" t="s">
        <v>598</v>
      </c>
      <c r="E446" s="19" t="s">
        <v>58</v>
      </c>
      <c r="F446" s="20" t="n">
        <v>44</v>
      </c>
      <c r="G446" s="20" t="n">
        <v>23</v>
      </c>
      <c r="H446" s="21" t="n">
        <v>711.76</v>
      </c>
      <c r="I446" s="21" t="n">
        <v>-1.86</v>
      </c>
      <c r="J446" s="21" t="n">
        <v>-48.42</v>
      </c>
      <c r="K446" s="22" t="n">
        <f aca="false">H446+I446+J446</f>
        <v>661.48</v>
      </c>
      <c r="L446" s="23" t="n">
        <f aca="false">IF($K$1282=0,0,K446/$K$1282)</f>
        <v>5.47959697893917E-005</v>
      </c>
      <c r="M446" s="24" t="n">
        <f aca="false">IF(F446&lt;=0,0,K446/F446)</f>
        <v>15.0336363636364</v>
      </c>
      <c r="N446" s="21" t="n">
        <v>14.42</v>
      </c>
      <c r="O446" s="49" t="n">
        <v>0.45</v>
      </c>
      <c r="P446" s="24" t="n">
        <f aca="false">O446*'Price Groups'!$B$5</f>
        <v>10.125</v>
      </c>
      <c r="Q446" s="26" t="n">
        <f aca="false">IF(OR(N446="",P446=""),"",(N446-P446)/N446)</f>
        <v>0.297850208044383</v>
      </c>
      <c r="R446" s="27" t="n">
        <v>1</v>
      </c>
      <c r="S446" s="28" t="n">
        <f aca="false">IF(R446="-",0,IFERROR(VLOOKUP(R446,'Price Groups'!$A$13:$C$17,3,FALSE()),0))</f>
        <v>0.22</v>
      </c>
      <c r="T446" s="22" t="n">
        <f aca="false">IF(OR(N446="",R446="-"),"",CEILING(ROUND(N446*(1+S446),2),IF(N446*(1+S446)&lt;100,0.5,IF(N446*(1+S446)&lt;1000,1,5))))</f>
        <v>18</v>
      </c>
      <c r="U446" s="26" t="n">
        <f aca="false">IF(OR(T446="",P446=""),"",(T446-P446)/T446)</f>
        <v>0.4375</v>
      </c>
      <c r="V446" s="26" t="n">
        <f aca="false">IF(T446="",0,T446/N446-1)</f>
        <v>0.248266296809986</v>
      </c>
      <c r="W446" s="19" t="s">
        <v>94</v>
      </c>
    </row>
    <row r="447" customFormat="false" ht="15" hidden="false" customHeight="false" outlineLevel="0" collapsed="false">
      <c r="A447" s="38" t="n">
        <v>396</v>
      </c>
      <c r="B447" s="38" t="s">
        <v>599</v>
      </c>
      <c r="C447" s="38" t="s">
        <v>57</v>
      </c>
      <c r="D447" s="38"/>
      <c r="E447" s="38" t="s">
        <v>58</v>
      </c>
      <c r="F447" s="39" t="n">
        <v>43</v>
      </c>
      <c r="G447" s="39" t="n">
        <v>12</v>
      </c>
      <c r="H447" s="40" t="n">
        <v>1739</v>
      </c>
      <c r="I447" s="40" t="n">
        <v>-109.17</v>
      </c>
      <c r="J447" s="40" t="n">
        <v>-140.6</v>
      </c>
      <c r="K447" s="41" t="n">
        <f aca="false">H447+I447+J447</f>
        <v>1489.23</v>
      </c>
      <c r="L447" s="42" t="n">
        <f aca="false">IF($K$1282=0,0,K447/$K$1282)</f>
        <v>0.000123365486620088</v>
      </c>
      <c r="M447" s="43" t="n">
        <f aca="false">IF(F447&lt;=0,0,K447/F447)</f>
        <v>34.6332558139535</v>
      </c>
      <c r="N447" s="40" t="n">
        <v>37</v>
      </c>
      <c r="O447" s="44" t="n">
        <v>0.69</v>
      </c>
      <c r="P447" s="43" t="n">
        <f aca="false">O447*'Price Groups'!$B$5</f>
        <v>15.525</v>
      </c>
      <c r="Q447" s="45" t="n">
        <f aca="false">IF(OR(N447="",P447=""),"",(N447-P447)/N447)</f>
        <v>0.580405405405405</v>
      </c>
      <c r="R447" s="46" t="n">
        <v>1</v>
      </c>
      <c r="S447" s="47" t="n">
        <f aca="false">IF(R447="-",0,IFERROR(VLOOKUP(R447,'Price Groups'!$A$13:$C$17,3,FALSE()),0))</f>
        <v>0.22</v>
      </c>
      <c r="T447" s="41" t="n">
        <f aca="false">IF(OR(N447="",R447="-"),"",CEILING(ROUND(N447*(1+S447),2),IF(N447*(1+S447)&lt;100,0.5,IF(N447*(1+S447)&lt;1000,1,5))))</f>
        <v>45.5</v>
      </c>
      <c r="U447" s="45" t="n">
        <f aca="false">IF(OR(T447="",P447=""),"",(T447-P447)/T447)</f>
        <v>0.658791208791209</v>
      </c>
      <c r="V447" s="45" t="n">
        <f aca="false">IF(T447="",0,T447/N447-1)</f>
        <v>0.22972972972973</v>
      </c>
      <c r="W447" s="38" t="s">
        <v>94</v>
      </c>
    </row>
    <row r="448" customFormat="false" ht="15" hidden="false" customHeight="false" outlineLevel="0" collapsed="false">
      <c r="A448" s="19" t="n">
        <v>397</v>
      </c>
      <c r="B448" s="19" t="s">
        <v>600</v>
      </c>
      <c r="C448" s="19" t="s">
        <v>57</v>
      </c>
      <c r="D448" s="19"/>
      <c r="E448" s="19" t="s">
        <v>58</v>
      </c>
      <c r="F448" s="20" t="n">
        <v>43</v>
      </c>
      <c r="G448" s="20" t="n">
        <v>25</v>
      </c>
      <c r="H448" s="21" t="n">
        <v>4399.56</v>
      </c>
      <c r="I448" s="21" t="n">
        <v>-9.99</v>
      </c>
      <c r="J448" s="21" t="n">
        <v>-99.99</v>
      </c>
      <c r="K448" s="22" t="n">
        <f aca="false">H448+I448+J448</f>
        <v>4289.58</v>
      </c>
      <c r="L448" s="23" t="n">
        <f aca="false">IF($K$1282=0,0,K448/$K$1282)</f>
        <v>0.000355342105716241</v>
      </c>
      <c r="M448" s="24" t="n">
        <f aca="false">IF(F448&lt;=0,0,K448/F448)</f>
        <v>99.7576744186047</v>
      </c>
      <c r="N448" s="21" t="n">
        <v>99.99</v>
      </c>
      <c r="O448" s="49" t="n">
        <v>2.23</v>
      </c>
      <c r="P448" s="24" t="n">
        <f aca="false">O448*'Price Groups'!$B$5</f>
        <v>50.175</v>
      </c>
      <c r="Q448" s="26" t="n">
        <f aca="false">IF(OR(N448="",P448=""),"",(N448-P448)/N448)</f>
        <v>0.498199819981998</v>
      </c>
      <c r="R448" s="27" t="n">
        <v>1</v>
      </c>
      <c r="S448" s="28" t="n">
        <f aca="false">IF(R448="-",0,IFERROR(VLOOKUP(R448,'Price Groups'!$A$13:$C$17,3,FALSE()),0))</f>
        <v>0.22</v>
      </c>
      <c r="T448" s="22" t="n">
        <f aca="false">IF(OR(N448="",R448="-"),"",CEILING(ROUND(N448*(1+S448),2),IF(N448*(1+S448)&lt;100,0.5,IF(N448*(1+S448)&lt;1000,1,5))))</f>
        <v>122</v>
      </c>
      <c r="U448" s="26" t="n">
        <f aca="false">IF(OR(T448="",P448=""),"",(T448-P448)/T448)</f>
        <v>0.588729508196721</v>
      </c>
      <c r="V448" s="26" t="n">
        <f aca="false">IF(T448="",0,T448/N448-1)</f>
        <v>0.22012201220122</v>
      </c>
      <c r="W448" s="19" t="s">
        <v>94</v>
      </c>
    </row>
    <row r="449" customFormat="false" ht="15" hidden="false" customHeight="false" outlineLevel="0" collapsed="false">
      <c r="A449" s="38" t="n">
        <v>398</v>
      </c>
      <c r="B449" s="38" t="s">
        <v>459</v>
      </c>
      <c r="C449" s="38" t="s">
        <v>307</v>
      </c>
      <c r="D449" s="38" t="s">
        <v>458</v>
      </c>
      <c r="E449" s="38" t="s">
        <v>58</v>
      </c>
      <c r="F449" s="39" t="n">
        <v>43</v>
      </c>
      <c r="G449" s="39" t="n">
        <v>33</v>
      </c>
      <c r="H449" s="40" t="n">
        <v>11166.2</v>
      </c>
      <c r="I449" s="40" t="n">
        <v>-75.35</v>
      </c>
      <c r="J449" s="40" t="n">
        <v>-1402.46</v>
      </c>
      <c r="K449" s="41" t="n">
        <f aca="false">H449+I449+J449</f>
        <v>9688.39</v>
      </c>
      <c r="L449" s="42" t="n">
        <f aca="false">IF($K$1282=0,0,K449/$K$1282)</f>
        <v>0.000802571091715312</v>
      </c>
      <c r="M449" s="43" t="n">
        <f aca="false">IF(F449&lt;=0,0,K449/F449)</f>
        <v>225.311395348837</v>
      </c>
      <c r="N449" s="40" t="n">
        <v>250</v>
      </c>
      <c r="O449" s="44" t="n">
        <v>5.25</v>
      </c>
      <c r="P449" s="43" t="n">
        <f aca="false">O449*'Price Groups'!$B$5</f>
        <v>118.125</v>
      </c>
      <c r="Q449" s="45" t="n">
        <f aca="false">IF(OR(N449="",P449=""),"",(N449-P449)/N449)</f>
        <v>0.5275</v>
      </c>
      <c r="R449" s="46" t="n">
        <v>3</v>
      </c>
      <c r="S449" s="47" t="n">
        <f aca="false">IF(R449="-",0,IFERROR(VLOOKUP(R449,'Price Groups'!$A$13:$C$17,3,FALSE()),0))</f>
        <v>0.16</v>
      </c>
      <c r="T449" s="41" t="n">
        <f aca="false">IF(OR(N449="",R449="-"),"",CEILING(ROUND(N449*(1+S449),2),IF(N449*(1+S449)&lt;100,0.5,IF(N449*(1+S449)&lt;1000,1,5))))</f>
        <v>290</v>
      </c>
      <c r="U449" s="45" t="n">
        <f aca="false">IF(OR(T449="",P449=""),"",(T449-P449)/T449)</f>
        <v>0.592672413793103</v>
      </c>
      <c r="V449" s="45" t="n">
        <f aca="false">IF(T449="",0,T449/N449-1)</f>
        <v>0.16</v>
      </c>
      <c r="W449" s="38" t="s">
        <v>601</v>
      </c>
    </row>
    <row r="450" customFormat="false" ht="15" hidden="false" customHeight="false" outlineLevel="0" collapsed="false">
      <c r="A450" s="19" t="n">
        <v>399</v>
      </c>
      <c r="B450" s="19" t="s">
        <v>602</v>
      </c>
      <c r="C450" s="19" t="s">
        <v>57</v>
      </c>
      <c r="D450" s="19"/>
      <c r="E450" s="19" t="s">
        <v>58</v>
      </c>
      <c r="F450" s="20" t="n">
        <v>43</v>
      </c>
      <c r="G450" s="20" t="n">
        <v>28</v>
      </c>
      <c r="H450" s="21" t="n">
        <v>13409.91</v>
      </c>
      <c r="I450" s="21" t="n">
        <v>-482.42</v>
      </c>
      <c r="J450" s="21" t="n">
        <v>-1674</v>
      </c>
      <c r="K450" s="22" t="n">
        <f aca="false">H450+I450+J450</f>
        <v>11253.49</v>
      </c>
      <c r="L450" s="23" t="n">
        <f aca="false">IF($K$1282=0,0,K450/$K$1282)</f>
        <v>0.000932221530605946</v>
      </c>
      <c r="M450" s="24" t="n">
        <f aca="false">IF(F450&lt;=0,0,K450/F450)</f>
        <v>261.709069767442</v>
      </c>
      <c r="N450" s="21" t="n">
        <v>279</v>
      </c>
      <c r="O450" s="49" t="n">
        <v>5.35</v>
      </c>
      <c r="P450" s="24" t="n">
        <f aca="false">O450*'Price Groups'!$B$5</f>
        <v>120.375</v>
      </c>
      <c r="Q450" s="26" t="n">
        <f aca="false">IF(OR(N450="",P450=""),"",(N450-P450)/N450)</f>
        <v>0.568548387096774</v>
      </c>
      <c r="R450" s="27" t="n">
        <v>3</v>
      </c>
      <c r="S450" s="28" t="n">
        <f aca="false">IF(R450="-",0,IFERROR(VLOOKUP(R450,'Price Groups'!$A$13:$C$17,3,FALSE()),0))</f>
        <v>0.16</v>
      </c>
      <c r="T450" s="22" t="n">
        <f aca="false">IF(OR(N450="",R450="-"),"",CEILING(ROUND(N450*(1+S450),2),IF(N450*(1+S450)&lt;100,0.5,IF(N450*(1+S450)&lt;1000,1,5))))</f>
        <v>324</v>
      </c>
      <c r="U450" s="26" t="n">
        <f aca="false">IF(OR(T450="",P450=""),"",(T450-P450)/T450)</f>
        <v>0.628472222222222</v>
      </c>
      <c r="V450" s="26" t="n">
        <f aca="false">IF(T450="",0,T450/N450-1)</f>
        <v>0.161290322580645</v>
      </c>
      <c r="W450" s="19" t="s">
        <v>107</v>
      </c>
    </row>
    <row r="451" customFormat="false" ht="15" hidden="false" customHeight="false" outlineLevel="0" collapsed="false">
      <c r="A451" s="38" t="n">
        <v>400</v>
      </c>
      <c r="B451" s="38" t="s">
        <v>603</v>
      </c>
      <c r="C451" s="38" t="s">
        <v>57</v>
      </c>
      <c r="D451" s="38"/>
      <c r="E451" s="38" t="s">
        <v>58</v>
      </c>
      <c r="F451" s="39" t="n">
        <v>43</v>
      </c>
      <c r="G451" s="39" t="n">
        <v>19</v>
      </c>
      <c r="H451" s="40" t="n">
        <v>11528.92</v>
      </c>
      <c r="I451" s="40" t="n">
        <v>-82.94</v>
      </c>
      <c r="J451" s="40" t="n">
        <v>0</v>
      </c>
      <c r="K451" s="41" t="n">
        <f aca="false">H451+I451+J451</f>
        <v>11445.98</v>
      </c>
      <c r="L451" s="42" t="n">
        <f aca="false">IF($K$1282=0,0,K451/$K$1282)</f>
        <v>0.000948167101484522</v>
      </c>
      <c r="M451" s="43" t="n">
        <f aca="false">IF(F451&lt;=0,0,K451/F451)</f>
        <v>266.185581395349</v>
      </c>
      <c r="N451" s="40" t="n">
        <v>279</v>
      </c>
      <c r="O451" s="44" t="n">
        <v>5.35</v>
      </c>
      <c r="P451" s="43" t="n">
        <f aca="false">O451*'Price Groups'!$B$5</f>
        <v>120.375</v>
      </c>
      <c r="Q451" s="45" t="n">
        <f aca="false">IF(OR(N451="",P451=""),"",(N451-P451)/N451)</f>
        <v>0.568548387096774</v>
      </c>
      <c r="R451" s="46" t="n">
        <v>3</v>
      </c>
      <c r="S451" s="47" t="n">
        <f aca="false">IF(R451="-",0,IFERROR(VLOOKUP(R451,'Price Groups'!$A$13:$C$17,3,FALSE()),0))</f>
        <v>0.16</v>
      </c>
      <c r="T451" s="41" t="n">
        <f aca="false">IF(OR(N451="",R451="-"),"",CEILING(ROUND(N451*(1+S451),2),IF(N451*(1+S451)&lt;100,0.5,IF(N451*(1+S451)&lt;1000,1,5))))</f>
        <v>324</v>
      </c>
      <c r="U451" s="45" t="n">
        <f aca="false">IF(OR(T451="",P451=""),"",(T451-P451)/T451)</f>
        <v>0.628472222222222</v>
      </c>
      <c r="V451" s="45" t="n">
        <f aca="false">IF(T451="",0,T451/N451-1)</f>
        <v>0.161290322580645</v>
      </c>
      <c r="W451" s="38" t="s">
        <v>107</v>
      </c>
    </row>
    <row r="452" customFormat="false" ht="15" hidden="false" customHeight="false" outlineLevel="0" collapsed="false">
      <c r="A452" s="19" t="n">
        <v>401</v>
      </c>
      <c r="B452" s="19" t="s">
        <v>604</v>
      </c>
      <c r="C452" s="19" t="s">
        <v>57</v>
      </c>
      <c r="D452" s="19"/>
      <c r="E452" s="19" t="s">
        <v>58</v>
      </c>
      <c r="F452" s="20" t="n">
        <v>43</v>
      </c>
      <c r="G452" s="20" t="n">
        <v>29</v>
      </c>
      <c r="H452" s="21" t="n">
        <v>12040</v>
      </c>
      <c r="I452" s="21" t="n">
        <v>-84</v>
      </c>
      <c r="J452" s="21" t="n">
        <v>0</v>
      </c>
      <c r="K452" s="22" t="n">
        <f aca="false">H452+I452+J452</f>
        <v>11956</v>
      </c>
      <c r="L452" s="23" t="n">
        <f aca="false">IF($K$1282=0,0,K452/$K$1282)</f>
        <v>0.000990416361495385</v>
      </c>
      <c r="M452" s="24" t="n">
        <f aca="false">IF(F452&lt;=0,0,K452/F452)</f>
        <v>278.046511627907</v>
      </c>
      <c r="N452" s="21" t="n">
        <v>280</v>
      </c>
      <c r="O452" s="49" t="n">
        <v>5.17</v>
      </c>
      <c r="P452" s="24" t="n">
        <f aca="false">O452*'Price Groups'!$B$5</f>
        <v>116.325</v>
      </c>
      <c r="Q452" s="26" t="n">
        <f aca="false">IF(OR(N452="",P452=""),"",(N452-P452)/N452)</f>
        <v>0.584553571428572</v>
      </c>
      <c r="R452" s="27" t="n">
        <v>3</v>
      </c>
      <c r="S452" s="28" t="n">
        <f aca="false">IF(R452="-",0,IFERROR(VLOOKUP(R452,'Price Groups'!$A$13:$C$17,3,FALSE()),0))</f>
        <v>0.16</v>
      </c>
      <c r="T452" s="22" t="n">
        <f aca="false">IF(OR(N452="",R452="-"),"",CEILING(ROUND(N452*(1+S452),2),IF(N452*(1+S452)&lt;100,0.5,IF(N452*(1+S452)&lt;1000,1,5))))</f>
        <v>325</v>
      </c>
      <c r="U452" s="26" t="n">
        <f aca="false">IF(OR(T452="",P452=""),"",(T452-P452)/T452)</f>
        <v>0.642076923076923</v>
      </c>
      <c r="V452" s="26" t="n">
        <f aca="false">IF(T452="",0,T452/N452-1)</f>
        <v>0.160714285714286</v>
      </c>
      <c r="W452" s="19" t="s">
        <v>107</v>
      </c>
    </row>
    <row r="453" customFormat="false" ht="15" hidden="false" customHeight="false" outlineLevel="0" collapsed="false">
      <c r="A453" s="38" t="n">
        <v>402</v>
      </c>
      <c r="B453" s="38" t="s">
        <v>201</v>
      </c>
      <c r="C453" s="38" t="s">
        <v>307</v>
      </c>
      <c r="D453" s="38" t="s">
        <v>200</v>
      </c>
      <c r="E453" s="38" t="s">
        <v>58</v>
      </c>
      <c r="F453" s="39" t="n">
        <v>42</v>
      </c>
      <c r="G453" s="39" t="n">
        <v>43</v>
      </c>
      <c r="H453" s="40" t="n">
        <v>7425</v>
      </c>
      <c r="I453" s="40" t="n">
        <v>-64.81</v>
      </c>
      <c r="J453" s="40" t="n">
        <v>-787</v>
      </c>
      <c r="K453" s="41" t="n">
        <f aca="false">H453+I453+J453</f>
        <v>6573.19</v>
      </c>
      <c r="L453" s="42" t="n">
        <f aca="false">IF($K$1282=0,0,K453/$K$1282)</f>
        <v>0.000544512790499987</v>
      </c>
      <c r="M453" s="43" t="n">
        <f aca="false">IF(F453&lt;=0,0,K453/F453)</f>
        <v>156.504523809524</v>
      </c>
      <c r="N453" s="40" t="n">
        <v>255</v>
      </c>
      <c r="O453" s="44" t="n">
        <v>3.48</v>
      </c>
      <c r="P453" s="43" t="n">
        <f aca="false">O453*'Price Groups'!$B$5</f>
        <v>78.3</v>
      </c>
      <c r="Q453" s="45" t="n">
        <f aca="false">IF(OR(N453="",P453=""),"",(N453-P453)/N453)</f>
        <v>0.692941176470588</v>
      </c>
      <c r="R453" s="46" t="n">
        <v>1</v>
      </c>
      <c r="S453" s="47" t="n">
        <f aca="false">IF(R453="-",0,IFERROR(VLOOKUP(R453,'Price Groups'!$A$13:$C$17,3,FALSE()),0))</f>
        <v>0.22</v>
      </c>
      <c r="T453" s="41" t="n">
        <f aca="false">IF(OR(N453="",R453="-"),"",CEILING(ROUND(N453*(1+S453),2),IF(N453*(1+S453)&lt;100,0.5,IF(N453*(1+S453)&lt;1000,1,5))))</f>
        <v>312</v>
      </c>
      <c r="U453" s="45" t="n">
        <f aca="false">IF(OR(T453="",P453=""),"",(T453-P453)/T453)</f>
        <v>0.749038461538462</v>
      </c>
      <c r="V453" s="45" t="n">
        <f aca="false">IF(T453="",0,T453/N453-1)</f>
        <v>0.223529411764706</v>
      </c>
      <c r="W453" s="38" t="s">
        <v>605</v>
      </c>
    </row>
    <row r="454" customFormat="false" ht="15" hidden="false" customHeight="false" outlineLevel="0" collapsed="false">
      <c r="A454" s="19" t="n">
        <v>403</v>
      </c>
      <c r="B454" s="19" t="s">
        <v>606</v>
      </c>
      <c r="C454" s="19" t="s">
        <v>57</v>
      </c>
      <c r="D454" s="19"/>
      <c r="E454" s="19" t="s">
        <v>58</v>
      </c>
      <c r="F454" s="20" t="n">
        <v>42</v>
      </c>
      <c r="G454" s="20" t="n">
        <v>30</v>
      </c>
      <c r="H454" s="21" t="n">
        <v>6367.45</v>
      </c>
      <c r="I454" s="21" t="n">
        <v>-608.31</v>
      </c>
      <c r="J454" s="21" t="n">
        <v>-2437.2</v>
      </c>
      <c r="K454" s="22" t="n">
        <f aca="false">H454+I454+J454</f>
        <v>3321.94</v>
      </c>
      <c r="L454" s="23" t="n">
        <f aca="false">IF($K$1282=0,0,K454/$K$1282)</f>
        <v>0.000275184319831547</v>
      </c>
      <c r="M454" s="24" t="n">
        <f aca="false">IF(F454&lt;=0,0,K454/F454)</f>
        <v>79.0938095238095</v>
      </c>
      <c r="N454" s="21" t="n">
        <v>89.99</v>
      </c>
      <c r="O454" s="49" t="n">
        <v>1.72</v>
      </c>
      <c r="P454" s="24" t="n">
        <f aca="false">O454*'Price Groups'!$B$5</f>
        <v>38.7</v>
      </c>
      <c r="Q454" s="26" t="n">
        <f aca="false">IF(OR(N454="",P454=""),"",(N454-P454)/N454)</f>
        <v>0.56995221691299</v>
      </c>
      <c r="R454" s="27" t="n">
        <v>1</v>
      </c>
      <c r="S454" s="28" t="n">
        <f aca="false">IF(R454="-",0,IFERROR(VLOOKUP(R454,'Price Groups'!$A$13:$C$17,3,FALSE()),0))</f>
        <v>0.22</v>
      </c>
      <c r="T454" s="22" t="n">
        <f aca="false">IF(OR(N454="",R454="-"),"",CEILING(ROUND(N454*(1+S454),2),IF(N454*(1+S454)&lt;100,0.5,IF(N454*(1+S454)&lt;1000,1,5))))</f>
        <v>110</v>
      </c>
      <c r="U454" s="26" t="n">
        <f aca="false">IF(OR(T454="",P454=""),"",(T454-P454)/T454)</f>
        <v>0.648181818181818</v>
      </c>
      <c r="V454" s="26" t="n">
        <f aca="false">IF(T454="",0,T454/N454-1)</f>
        <v>0.222358039782198</v>
      </c>
      <c r="W454" s="19" t="s">
        <v>94</v>
      </c>
    </row>
    <row r="455" customFormat="false" ht="15" hidden="false" customHeight="false" outlineLevel="0" collapsed="false">
      <c r="A455" s="38" t="n">
        <v>404</v>
      </c>
      <c r="B455" s="38" t="s">
        <v>607</v>
      </c>
      <c r="C455" s="38" t="s">
        <v>57</v>
      </c>
      <c r="D455" s="38"/>
      <c r="E455" s="38" t="s">
        <v>58</v>
      </c>
      <c r="F455" s="39" t="n">
        <v>42</v>
      </c>
      <c r="G455" s="39" t="n">
        <v>15</v>
      </c>
      <c r="H455" s="40" t="n">
        <v>3707.91</v>
      </c>
      <c r="I455" s="40" t="n">
        <v>-118.54</v>
      </c>
      <c r="J455" s="40" t="n">
        <v>-175.38</v>
      </c>
      <c r="K455" s="41" t="n">
        <f aca="false">H455+I455+J455</f>
        <v>3413.99</v>
      </c>
      <c r="L455" s="42" t="n">
        <f aca="false">IF($K$1282=0,0,K455/$K$1282)</f>
        <v>0.000282809598024559</v>
      </c>
      <c r="M455" s="43" t="n">
        <f aca="false">IF(F455&lt;=0,0,K455/F455)</f>
        <v>81.2854761904762</v>
      </c>
      <c r="N455" s="40" t="n">
        <v>84.99</v>
      </c>
      <c r="O455" s="44" t="n">
        <v>1.86</v>
      </c>
      <c r="P455" s="43" t="n">
        <f aca="false">O455*'Price Groups'!$B$5</f>
        <v>41.85</v>
      </c>
      <c r="Q455" s="45" t="n">
        <f aca="false">IF(OR(N455="",P455=""),"",(N455-P455)/N455)</f>
        <v>0.507589128132722</v>
      </c>
      <c r="R455" s="46" t="n">
        <v>1</v>
      </c>
      <c r="S455" s="47" t="n">
        <f aca="false">IF(R455="-",0,IFERROR(VLOOKUP(R455,'Price Groups'!$A$13:$C$17,3,FALSE()),0))</f>
        <v>0.22</v>
      </c>
      <c r="T455" s="41" t="n">
        <f aca="false">IF(OR(N455="",R455="-"),"",CEILING(ROUND(N455*(1+S455),2),IF(N455*(1+S455)&lt;100,0.5,IF(N455*(1+S455)&lt;1000,1,5))))</f>
        <v>104</v>
      </c>
      <c r="U455" s="45" t="n">
        <f aca="false">IF(OR(T455="",P455=""),"",(T455-P455)/T455)</f>
        <v>0.597596153846154</v>
      </c>
      <c r="V455" s="45" t="n">
        <f aca="false">IF(T455="",0,T455/N455-1)</f>
        <v>0.22367337333804</v>
      </c>
      <c r="W455" s="38" t="s">
        <v>94</v>
      </c>
    </row>
    <row r="456" customFormat="false" ht="15" hidden="false" customHeight="false" outlineLevel="0" collapsed="false">
      <c r="A456" s="19" t="n">
        <v>405</v>
      </c>
      <c r="B456" s="19" t="s">
        <v>608</v>
      </c>
      <c r="C456" s="19" t="s">
        <v>57</v>
      </c>
      <c r="D456" s="19"/>
      <c r="E456" s="19" t="s">
        <v>58</v>
      </c>
      <c r="F456" s="20" t="n">
        <v>42</v>
      </c>
      <c r="G456" s="20" t="n">
        <v>34</v>
      </c>
      <c r="H456" s="21" t="n">
        <v>1029.2</v>
      </c>
      <c r="I456" s="21" t="n">
        <v>-6.54</v>
      </c>
      <c r="J456" s="21" t="n">
        <v>-232.82</v>
      </c>
      <c r="K456" s="22" t="n">
        <f aca="false">H456+I456+J456</f>
        <v>789.84</v>
      </c>
      <c r="L456" s="23" t="n">
        <f aca="false">IF($K$1282=0,0,K456/$K$1282)</f>
        <v>6.54291116563662E-005</v>
      </c>
      <c r="M456" s="24" t="n">
        <f aca="false">IF(F456&lt;=0,0,K456/F456)</f>
        <v>18.8057142857143</v>
      </c>
      <c r="N456" s="21" t="n">
        <v>13.91</v>
      </c>
      <c r="O456" s="49" t="n">
        <v>0.47</v>
      </c>
      <c r="P456" s="24" t="n">
        <f aca="false">O456*'Price Groups'!$B$5</f>
        <v>10.575</v>
      </c>
      <c r="Q456" s="26" t="n">
        <f aca="false">IF(OR(N456="",P456=""),"",(N456-P456)/N456)</f>
        <v>0.239755571531273</v>
      </c>
      <c r="R456" s="27" t="n">
        <v>1</v>
      </c>
      <c r="S456" s="28" t="n">
        <f aca="false">IF(R456="-",0,IFERROR(VLOOKUP(R456,'Price Groups'!$A$13:$C$17,3,FALSE()),0))</f>
        <v>0.22</v>
      </c>
      <c r="T456" s="22" t="n">
        <f aca="false">IF(OR(N456="",R456="-"),"",CEILING(ROUND(N456*(1+S456),2),IF(N456*(1+S456)&lt;100,0.5,IF(N456*(1+S456)&lt;1000,1,5))))</f>
        <v>17</v>
      </c>
      <c r="U456" s="26" t="n">
        <f aca="false">IF(OR(T456="",P456=""),"",(T456-P456)/T456)</f>
        <v>0.377941176470588</v>
      </c>
      <c r="V456" s="26" t="n">
        <f aca="false">IF(T456="",0,T456/N456-1)</f>
        <v>0.222142343637671</v>
      </c>
      <c r="W456" s="19" t="s">
        <v>244</v>
      </c>
    </row>
    <row r="457" customFormat="false" ht="15" hidden="false" customHeight="false" outlineLevel="0" collapsed="false">
      <c r="A457" s="38" t="n">
        <v>406</v>
      </c>
      <c r="B457" s="38" t="s">
        <v>609</v>
      </c>
      <c r="C457" s="38" t="s">
        <v>57</v>
      </c>
      <c r="D457" s="38"/>
      <c r="E457" s="38" t="s">
        <v>58</v>
      </c>
      <c r="F457" s="39" t="n">
        <v>42</v>
      </c>
      <c r="G457" s="39" t="n">
        <v>28</v>
      </c>
      <c r="H457" s="40" t="n">
        <v>845.28</v>
      </c>
      <c r="I457" s="40" t="n">
        <v>-11.5</v>
      </c>
      <c r="J457" s="40" t="n">
        <v>-95.46</v>
      </c>
      <c r="K457" s="41" t="n">
        <f aca="false">H457+I457+J457</f>
        <v>738.32</v>
      </c>
      <c r="L457" s="42" t="n">
        <f aca="false">IF($K$1282=0,0,K457/$K$1282)</f>
        <v>6.1161275344536E-005</v>
      </c>
      <c r="M457" s="43" t="n">
        <f aca="false">IF(F457&lt;=0,0,K457/F457)</f>
        <v>17.5790476190476</v>
      </c>
      <c r="N457" s="40" t="n">
        <v>19.99</v>
      </c>
      <c r="O457" s="44" t="n">
        <v>0.4</v>
      </c>
      <c r="P457" s="43" t="n">
        <f aca="false">O457*'Price Groups'!$B$5</f>
        <v>9</v>
      </c>
      <c r="Q457" s="45" t="n">
        <f aca="false">IF(OR(N457="",P457=""),"",(N457-P457)/N457)</f>
        <v>0.549774887443722</v>
      </c>
      <c r="R457" s="46" t="n">
        <v>1</v>
      </c>
      <c r="S457" s="47" t="n">
        <f aca="false">IF(R457="-",0,IFERROR(VLOOKUP(R457,'Price Groups'!$A$13:$C$17,3,FALSE()),0))</f>
        <v>0.22</v>
      </c>
      <c r="T457" s="41" t="n">
        <f aca="false">IF(OR(N457="",R457="-"),"",CEILING(ROUND(N457*(1+S457),2),IF(N457*(1+S457)&lt;100,0.5,IF(N457*(1+S457)&lt;1000,1,5))))</f>
        <v>24.5</v>
      </c>
      <c r="U457" s="45" t="n">
        <f aca="false">IF(OR(T457="",P457=""),"",(T457-P457)/T457)</f>
        <v>0.63265306122449</v>
      </c>
      <c r="V457" s="45" t="n">
        <f aca="false">IF(T457="",0,T457/N457-1)</f>
        <v>0.225612806403202</v>
      </c>
      <c r="W457" s="38" t="s">
        <v>94</v>
      </c>
    </row>
    <row r="458" customFormat="false" ht="15" hidden="false" customHeight="false" outlineLevel="0" collapsed="false">
      <c r="A458" s="19" t="n">
        <v>407</v>
      </c>
      <c r="B458" s="19" t="s">
        <v>610</v>
      </c>
      <c r="C458" s="19" t="s">
        <v>57</v>
      </c>
      <c r="D458" s="19"/>
      <c r="E458" s="19" t="s">
        <v>58</v>
      </c>
      <c r="F458" s="20" t="n">
        <v>42</v>
      </c>
      <c r="G458" s="20" t="n">
        <v>20</v>
      </c>
      <c r="H458" s="21" t="n">
        <v>1843.16</v>
      </c>
      <c r="I458" s="21" t="n">
        <v>-12.92</v>
      </c>
      <c r="J458" s="21" t="n">
        <v>-84.38</v>
      </c>
      <c r="K458" s="22" t="n">
        <f aca="false">H458+I458+J458</f>
        <v>1745.86</v>
      </c>
      <c r="L458" s="23" t="n">
        <f aca="false">IF($K$1282=0,0,K458/$K$1282)</f>
        <v>0.000144624314894641</v>
      </c>
      <c r="M458" s="24" t="n">
        <f aca="false">IF(F458&lt;=0,0,K458/F458)</f>
        <v>41.5680952380952</v>
      </c>
      <c r="N458" s="21" t="n">
        <v>44.39</v>
      </c>
      <c r="O458" s="49" t="n">
        <v>0.88</v>
      </c>
      <c r="P458" s="24" t="n">
        <f aca="false">O458*'Price Groups'!$B$5</f>
        <v>19.8</v>
      </c>
      <c r="Q458" s="26" t="n">
        <f aca="false">IF(OR(N458="",P458=""),"",(N458-P458)/N458)</f>
        <v>0.553953593151611</v>
      </c>
      <c r="R458" s="27" t="n">
        <v>1</v>
      </c>
      <c r="S458" s="28" t="n">
        <f aca="false">IF(R458="-",0,IFERROR(VLOOKUP(R458,'Price Groups'!$A$13:$C$17,3,FALSE()),0))</f>
        <v>0.22</v>
      </c>
      <c r="T458" s="22" t="n">
        <f aca="false">IF(OR(N458="",R458="-"),"",CEILING(ROUND(N458*(1+S458),2),IF(N458*(1+S458)&lt;100,0.5,IF(N458*(1+S458)&lt;1000,1,5))))</f>
        <v>54.5</v>
      </c>
      <c r="U458" s="26" t="n">
        <f aca="false">IF(OR(T458="",P458=""),"",(T458-P458)/T458)</f>
        <v>0.636697247706422</v>
      </c>
      <c r="V458" s="26" t="n">
        <f aca="false">IF(T458="",0,T458/N458-1)</f>
        <v>0.227753998648344</v>
      </c>
      <c r="W458" s="19" t="s">
        <v>94</v>
      </c>
    </row>
    <row r="459" customFormat="false" ht="15" hidden="false" customHeight="false" outlineLevel="0" collapsed="false">
      <c r="A459" s="38" t="n">
        <v>408</v>
      </c>
      <c r="B459" s="38" t="s">
        <v>611</v>
      </c>
      <c r="C459" s="38" t="s">
        <v>57</v>
      </c>
      <c r="D459" s="38"/>
      <c r="E459" s="38" t="s">
        <v>58</v>
      </c>
      <c r="F459" s="39" t="n">
        <v>42</v>
      </c>
      <c r="G459" s="39" t="n">
        <v>28</v>
      </c>
      <c r="H459" s="40" t="n">
        <v>1031.02</v>
      </c>
      <c r="I459" s="40" t="n">
        <v>-1.5</v>
      </c>
      <c r="J459" s="40" t="n">
        <v>-223.86</v>
      </c>
      <c r="K459" s="41" t="n">
        <f aca="false">H459+I459+J459</f>
        <v>805.66</v>
      </c>
      <c r="L459" s="42" t="n">
        <f aca="false">IF($K$1282=0,0,K459/$K$1282)</f>
        <v>6.67396157412489E-005</v>
      </c>
      <c r="M459" s="43" t="n">
        <f aca="false">IF(F459&lt;=0,0,K459/F459)</f>
        <v>19.182380952381</v>
      </c>
      <c r="N459" s="40" t="n">
        <v>24</v>
      </c>
      <c r="O459" s="44" t="n">
        <v>0.43</v>
      </c>
      <c r="P459" s="43" t="n">
        <f aca="false">O459*'Price Groups'!$B$5</f>
        <v>9.675</v>
      </c>
      <c r="Q459" s="45" t="n">
        <f aca="false">IF(OR(N459="",P459=""),"",(N459-P459)/N459)</f>
        <v>0.596875</v>
      </c>
      <c r="R459" s="46" t="n">
        <v>1</v>
      </c>
      <c r="S459" s="47" t="n">
        <f aca="false">IF(R459="-",0,IFERROR(VLOOKUP(R459,'Price Groups'!$A$13:$C$17,3,FALSE()),0))</f>
        <v>0.22</v>
      </c>
      <c r="T459" s="41" t="n">
        <f aca="false">IF(OR(N459="",R459="-"),"",CEILING(ROUND(N459*(1+S459),2),IF(N459*(1+S459)&lt;100,0.5,IF(N459*(1+S459)&lt;1000,1,5))))</f>
        <v>29.5</v>
      </c>
      <c r="U459" s="45" t="n">
        <f aca="false">IF(OR(T459="",P459=""),"",(T459-P459)/T459)</f>
        <v>0.672033898305085</v>
      </c>
      <c r="V459" s="45" t="n">
        <f aca="false">IF(T459="",0,T459/N459-1)</f>
        <v>0.229166666666667</v>
      </c>
      <c r="W459" s="38" t="s">
        <v>94</v>
      </c>
    </row>
    <row r="460" customFormat="false" ht="15" hidden="false" customHeight="false" outlineLevel="0" collapsed="false">
      <c r="A460" s="19" t="n">
        <v>409</v>
      </c>
      <c r="B460" s="19" t="s">
        <v>612</v>
      </c>
      <c r="C460" s="19" t="s">
        <v>57</v>
      </c>
      <c r="D460" s="19"/>
      <c r="E460" s="19" t="s">
        <v>58</v>
      </c>
      <c r="F460" s="20" t="n">
        <v>42</v>
      </c>
      <c r="G460" s="20" t="n">
        <v>31</v>
      </c>
      <c r="H460" s="21" t="n">
        <v>7294.77</v>
      </c>
      <c r="I460" s="21" t="n">
        <v>-87.16</v>
      </c>
      <c r="J460" s="21" t="n">
        <v>-934.94</v>
      </c>
      <c r="K460" s="22" t="n">
        <f aca="false">H460+I460+J460</f>
        <v>6272.67</v>
      </c>
      <c r="L460" s="23" t="n">
        <f aca="false">IF($K$1282=0,0,K460/$K$1282)</f>
        <v>0.000519618183193481</v>
      </c>
      <c r="M460" s="24" t="n">
        <f aca="false">IF(F460&lt;=0,0,K460/F460)</f>
        <v>149.349285714286</v>
      </c>
      <c r="N460" s="21" t="n">
        <v>199.99</v>
      </c>
      <c r="O460" s="49" t="n">
        <v>3.08</v>
      </c>
      <c r="P460" s="24" t="n">
        <f aca="false">O460*'Price Groups'!$B$5</f>
        <v>69.3</v>
      </c>
      <c r="Q460" s="26" t="n">
        <f aca="false">IF(OR(N460="",P460=""),"",(N460-P460)/N460)</f>
        <v>0.653482674133707</v>
      </c>
      <c r="R460" s="27" t="n">
        <v>1</v>
      </c>
      <c r="S460" s="28" t="n">
        <f aca="false">IF(R460="-",0,IFERROR(VLOOKUP(R460,'Price Groups'!$A$13:$C$17,3,FALSE()),0))</f>
        <v>0.22</v>
      </c>
      <c r="T460" s="22" t="n">
        <f aca="false">IF(OR(N460="",R460="-"),"",CEILING(ROUND(N460*(1+S460),2),IF(N460*(1+S460)&lt;100,0.5,IF(N460*(1+S460)&lt;1000,1,5))))</f>
        <v>244</v>
      </c>
      <c r="U460" s="26" t="n">
        <f aca="false">IF(OR(T460="",P460=""),"",(T460-P460)/T460)</f>
        <v>0.715983606557377</v>
      </c>
      <c r="V460" s="26" t="n">
        <f aca="false">IF(T460="",0,T460/N460-1)</f>
        <v>0.220061003050152</v>
      </c>
      <c r="W460" s="19" t="s">
        <v>94</v>
      </c>
    </row>
    <row r="461" customFormat="false" ht="15" hidden="false" customHeight="false" outlineLevel="0" collapsed="false">
      <c r="A461" s="38" t="n">
        <v>410</v>
      </c>
      <c r="B461" s="38" t="s">
        <v>613</v>
      </c>
      <c r="C461" s="38" t="s">
        <v>57</v>
      </c>
      <c r="D461" s="38"/>
      <c r="E461" s="38" t="s">
        <v>58</v>
      </c>
      <c r="F461" s="39" t="n">
        <v>42</v>
      </c>
      <c r="G461" s="39" t="n">
        <v>34</v>
      </c>
      <c r="H461" s="40" t="n">
        <v>635.5</v>
      </c>
      <c r="I461" s="40" t="n">
        <v>-11.01</v>
      </c>
      <c r="J461" s="40" t="n">
        <v>-101.79</v>
      </c>
      <c r="K461" s="41" t="n">
        <f aca="false">H461+I461+J461</f>
        <v>522.7</v>
      </c>
      <c r="L461" s="42" t="n">
        <f aca="false">IF($K$1282=0,0,K461/$K$1282)</f>
        <v>4.32996514012745E-005</v>
      </c>
      <c r="M461" s="43" t="n">
        <f aca="false">IF(F461&lt;=0,0,K461/F461)</f>
        <v>12.4452380952381</v>
      </c>
      <c r="N461" s="40" t="n">
        <v>11.05</v>
      </c>
      <c r="O461" s="44" t="n">
        <v>0.39</v>
      </c>
      <c r="P461" s="43" t="n">
        <f aca="false">O461*'Price Groups'!$B$5</f>
        <v>8.775</v>
      </c>
      <c r="Q461" s="45" t="n">
        <f aca="false">IF(OR(N461="",P461=""),"",(N461-P461)/N461)</f>
        <v>0.205882352941177</v>
      </c>
      <c r="R461" s="46" t="n">
        <v>1</v>
      </c>
      <c r="S461" s="47" t="n">
        <f aca="false">IF(R461="-",0,IFERROR(VLOOKUP(R461,'Price Groups'!$A$13:$C$17,3,FALSE()),0))</f>
        <v>0.22</v>
      </c>
      <c r="T461" s="41" t="n">
        <f aca="false">IF(OR(N461="",R461="-"),"",CEILING(ROUND(N461*(1+S461),2),IF(N461*(1+S461)&lt;100,0.5,IF(N461*(1+S461)&lt;1000,1,5))))</f>
        <v>13.5</v>
      </c>
      <c r="U461" s="45" t="n">
        <f aca="false">IF(OR(T461="",P461=""),"",(T461-P461)/T461)</f>
        <v>0.35</v>
      </c>
      <c r="V461" s="45" t="n">
        <f aca="false">IF(T461="",0,T461/N461-1)</f>
        <v>0.221719457013575</v>
      </c>
      <c r="W461" s="38" t="s">
        <v>333</v>
      </c>
    </row>
    <row r="462" customFormat="false" ht="15" hidden="false" customHeight="false" outlineLevel="0" collapsed="false">
      <c r="A462" s="19" t="n">
        <v>411</v>
      </c>
      <c r="B462" s="19" t="s">
        <v>614</v>
      </c>
      <c r="C462" s="19" t="s">
        <v>57</v>
      </c>
      <c r="D462" s="19"/>
      <c r="E462" s="19" t="s">
        <v>58</v>
      </c>
      <c r="F462" s="20" t="n">
        <v>42</v>
      </c>
      <c r="G462" s="20" t="n">
        <v>14</v>
      </c>
      <c r="H462" s="21" t="n">
        <v>14299.57</v>
      </c>
      <c r="I462" s="21" t="n">
        <v>-187.48</v>
      </c>
      <c r="J462" s="21" t="n">
        <v>-349.99</v>
      </c>
      <c r="K462" s="22" t="n">
        <f aca="false">H462+I462+J462</f>
        <v>13762.1</v>
      </c>
      <c r="L462" s="23" t="n">
        <f aca="false">IF($K$1282=0,0,K462/$K$1282)</f>
        <v>0.00114003086387886</v>
      </c>
      <c r="M462" s="24" t="n">
        <f aca="false">IF(F462&lt;=0,0,K462/F462)</f>
        <v>327.669047619048</v>
      </c>
      <c r="N462" s="21" t="n">
        <v>349.99</v>
      </c>
      <c r="O462" s="49" t="n">
        <v>5.98</v>
      </c>
      <c r="P462" s="24" t="n">
        <f aca="false">O462*'Price Groups'!$B$5</f>
        <v>134.55</v>
      </c>
      <c r="Q462" s="26" t="n">
        <f aca="false">IF(OR(N462="",P462=""),"",(N462-P462)/N462)</f>
        <v>0.615560444584131</v>
      </c>
      <c r="R462" s="27" t="n">
        <v>3</v>
      </c>
      <c r="S462" s="28" t="n">
        <f aca="false">IF(R462="-",0,IFERROR(VLOOKUP(R462,'Price Groups'!$A$13:$C$17,3,FALSE()),0))</f>
        <v>0.16</v>
      </c>
      <c r="T462" s="22" t="n">
        <f aca="false">IF(OR(N462="",R462="-"),"",CEILING(ROUND(N462*(1+S462),2),IF(N462*(1+S462)&lt;100,0.5,IF(N462*(1+S462)&lt;1000,1,5))))</f>
        <v>406</v>
      </c>
      <c r="U462" s="26" t="n">
        <f aca="false">IF(OR(T462="",P462=""),"",(T462-P462)/T462)</f>
        <v>0.6685960591133</v>
      </c>
      <c r="V462" s="26" t="n">
        <f aca="false">IF(T462="",0,T462/N462-1)</f>
        <v>0.160033143804109</v>
      </c>
      <c r="W462" s="19" t="s">
        <v>107</v>
      </c>
    </row>
    <row r="463" customFormat="false" ht="15" hidden="false" customHeight="false" outlineLevel="0" collapsed="false">
      <c r="A463" s="38" t="n">
        <v>412</v>
      </c>
      <c r="B463" s="38" t="s">
        <v>615</v>
      </c>
      <c r="C463" s="38" t="s">
        <v>57</v>
      </c>
      <c r="D463" s="38"/>
      <c r="E463" s="38" t="s">
        <v>58</v>
      </c>
      <c r="F463" s="39" t="n">
        <v>41</v>
      </c>
      <c r="G463" s="39" t="n">
        <v>25</v>
      </c>
      <c r="H463" s="40" t="n">
        <v>5804.57</v>
      </c>
      <c r="I463" s="40" t="n">
        <v>-996.11</v>
      </c>
      <c r="J463" s="40" t="n">
        <v>-269.98</v>
      </c>
      <c r="K463" s="41" t="n">
        <f aca="false">H463+I463+J463</f>
        <v>4538.48</v>
      </c>
      <c r="L463" s="42" t="n">
        <f aca="false">IF($K$1282=0,0,K463/$K$1282)</f>
        <v>0.000375960592867144</v>
      </c>
      <c r="M463" s="43" t="n">
        <f aca="false">IF(F463&lt;=0,0,K463/F463)</f>
        <v>110.694634146341</v>
      </c>
      <c r="N463" s="40" t="n">
        <v>134.99</v>
      </c>
      <c r="O463" s="44" t="n">
        <v>3.45</v>
      </c>
      <c r="P463" s="43" t="n">
        <f aca="false">O463*'Price Groups'!$B$5</f>
        <v>77.625</v>
      </c>
      <c r="Q463" s="45" t="n">
        <f aca="false">IF(OR(N463="",P463=""),"",(N463-P463)/N463)</f>
        <v>0.424957404252167</v>
      </c>
      <c r="R463" s="46" t="n">
        <v>1</v>
      </c>
      <c r="S463" s="47" t="n">
        <f aca="false">IF(R463="-",0,IFERROR(VLOOKUP(R463,'Price Groups'!$A$13:$C$17,3,FALSE()),0))</f>
        <v>0.22</v>
      </c>
      <c r="T463" s="41" t="n">
        <f aca="false">IF(OR(N463="",R463="-"),"",CEILING(ROUND(N463*(1+S463),2),IF(N463*(1+S463)&lt;100,0.5,IF(N463*(1+S463)&lt;1000,1,5))))</f>
        <v>165</v>
      </c>
      <c r="U463" s="45" t="n">
        <f aca="false">IF(OR(T463="",P463=""),"",(T463-P463)/T463)</f>
        <v>0.529545454545455</v>
      </c>
      <c r="V463" s="45" t="n">
        <f aca="false">IF(T463="",0,T463/N463-1)</f>
        <v>0.222312763908438</v>
      </c>
      <c r="W463" s="38" t="s">
        <v>94</v>
      </c>
    </row>
    <row r="464" customFormat="false" ht="15" hidden="false" customHeight="false" outlineLevel="0" collapsed="false">
      <c r="A464" s="19" t="n">
        <v>413</v>
      </c>
      <c r="B464" s="19" t="s">
        <v>616</v>
      </c>
      <c r="C464" s="19" t="s">
        <v>57</v>
      </c>
      <c r="D464" s="19"/>
      <c r="E464" s="19" t="s">
        <v>58</v>
      </c>
      <c r="F464" s="20" t="n">
        <v>41</v>
      </c>
      <c r="G464" s="20" t="n">
        <v>35</v>
      </c>
      <c r="H464" s="21" t="n">
        <v>42899</v>
      </c>
      <c r="I464" s="21" t="n">
        <v>-463</v>
      </c>
      <c r="J464" s="21" t="n">
        <v>-2755</v>
      </c>
      <c r="K464" s="22" t="n">
        <f aca="false">H464+I464+J464</f>
        <v>39681</v>
      </c>
      <c r="L464" s="23" t="n">
        <f aca="false">IF($K$1282=0,0,K464/$K$1282)</f>
        <v>0.00328711204754921</v>
      </c>
      <c r="M464" s="24" t="n">
        <f aca="false">IF(F464&lt;=0,0,K464/F464)</f>
        <v>967.829268292683</v>
      </c>
      <c r="N464" s="21" t="n">
        <v>950</v>
      </c>
      <c r="O464" s="49" t="n">
        <v>24.97</v>
      </c>
      <c r="P464" s="24" t="n">
        <f aca="false">O464*'Price Groups'!$B$5</f>
        <v>561.825</v>
      </c>
      <c r="Q464" s="26" t="n">
        <f aca="false">IF(OR(N464="",P464=""),"",(N464-P464)/N464)</f>
        <v>0.408605263157895</v>
      </c>
      <c r="R464" s="27" t="n">
        <v>4</v>
      </c>
      <c r="S464" s="28" t="n">
        <f aca="false">IF(R464="-",0,IFERROR(VLOOKUP(R464,'Price Groups'!$A$13:$C$17,3,FALSE()),0))</f>
        <v>0.15</v>
      </c>
      <c r="T464" s="22" t="n">
        <f aca="false">IF(OR(N464="",R464="-"),"",CEILING(ROUND(N464*(1+S464),2),IF(N464*(1+S464)&lt;100,0.5,IF(N464*(1+S464)&lt;1000,1,5))))</f>
        <v>1095</v>
      </c>
      <c r="U464" s="26" t="n">
        <f aca="false">IF(OR(T464="",P464=""),"",(T464-P464)/T464)</f>
        <v>0.486917808219178</v>
      </c>
      <c r="V464" s="26" t="n">
        <f aca="false">IF(T464="",0,T464/N464-1)</f>
        <v>0.152631578947368</v>
      </c>
      <c r="W464" s="19" t="s">
        <v>101</v>
      </c>
    </row>
    <row r="465" customFormat="false" ht="15" hidden="false" customHeight="false" outlineLevel="0" collapsed="false">
      <c r="A465" s="38" t="n">
        <v>414</v>
      </c>
      <c r="B465" s="38" t="s">
        <v>617</v>
      </c>
      <c r="C465" s="38" t="s">
        <v>57</v>
      </c>
      <c r="D465" s="38"/>
      <c r="E465" s="38" t="s">
        <v>58</v>
      </c>
      <c r="F465" s="39" t="n">
        <v>41</v>
      </c>
      <c r="G465" s="39" t="n">
        <v>24</v>
      </c>
      <c r="H465" s="40" t="n">
        <v>5719.56</v>
      </c>
      <c r="I465" s="40" t="n">
        <v>-60.69</v>
      </c>
      <c r="J465" s="40" t="n">
        <v>-389.97</v>
      </c>
      <c r="K465" s="41" t="n">
        <f aca="false">H465+I465+J465</f>
        <v>5268.9</v>
      </c>
      <c r="L465" s="42" t="n">
        <f aca="false">IF($K$1282=0,0,K465/$K$1282)</f>
        <v>0.000436467444553616</v>
      </c>
      <c r="M465" s="43" t="n">
        <f aca="false">IF(F465&lt;=0,0,K465/F465)</f>
        <v>128.509756097561</v>
      </c>
      <c r="N465" s="40" t="n">
        <v>129.99</v>
      </c>
      <c r="O465" s="44" t="n">
        <v>1.76</v>
      </c>
      <c r="P465" s="43" t="n">
        <f aca="false">O465*'Price Groups'!$B$5</f>
        <v>39.6</v>
      </c>
      <c r="Q465" s="45" t="n">
        <f aca="false">IF(OR(N465="",P465=""),"",(N465-P465)/N465)</f>
        <v>0.695361181629356</v>
      </c>
      <c r="R465" s="46" t="n">
        <v>1</v>
      </c>
      <c r="S465" s="47" t="n">
        <f aca="false">IF(R465="-",0,IFERROR(VLOOKUP(R465,'Price Groups'!$A$13:$C$17,3,FALSE()),0))</f>
        <v>0.22</v>
      </c>
      <c r="T465" s="41" t="n">
        <f aca="false">IF(OR(N465="",R465="-"),"",CEILING(ROUND(N465*(1+S465),2),IF(N465*(1+S465)&lt;100,0.5,IF(N465*(1+S465)&lt;1000,1,5))))</f>
        <v>159</v>
      </c>
      <c r="U465" s="45" t="n">
        <f aca="false">IF(OR(T465="",P465=""),"",(T465-P465)/T465)</f>
        <v>0.750943396226415</v>
      </c>
      <c r="V465" s="45" t="n">
        <f aca="false">IF(T465="",0,T465/N465-1)</f>
        <v>0.223171013154858</v>
      </c>
      <c r="W465" s="38" t="s">
        <v>94</v>
      </c>
    </row>
    <row r="466" customFormat="false" ht="15" hidden="false" customHeight="false" outlineLevel="0" collapsed="false">
      <c r="A466" s="19" t="n">
        <v>415</v>
      </c>
      <c r="B466" s="19" t="s">
        <v>618</v>
      </c>
      <c r="C466" s="19" t="s">
        <v>57</v>
      </c>
      <c r="D466" s="19"/>
      <c r="E466" s="19" t="s">
        <v>58</v>
      </c>
      <c r="F466" s="20" t="n">
        <v>41</v>
      </c>
      <c r="G466" s="20" t="n">
        <v>15</v>
      </c>
      <c r="H466" s="21" t="n">
        <v>3941.76</v>
      </c>
      <c r="I466" s="21" t="n">
        <v>-2647.36</v>
      </c>
      <c r="J466" s="21" t="n">
        <v>-58.03</v>
      </c>
      <c r="K466" s="22" t="n">
        <f aca="false">H466+I466+J466</f>
        <v>1236.37</v>
      </c>
      <c r="L466" s="23" t="n">
        <f aca="false">IF($K$1282=0,0,K466/$K$1282)</f>
        <v>0.000102418959255775</v>
      </c>
      <c r="M466" s="24" t="n">
        <f aca="false">IF(F466&lt;=0,0,K466/F466)</f>
        <v>30.1553658536585</v>
      </c>
      <c r="N466" s="21" t="n">
        <v>119.99</v>
      </c>
      <c r="O466" s="49" t="n">
        <v>2.66</v>
      </c>
      <c r="P466" s="24" t="n">
        <f aca="false">O466*'Price Groups'!$B$5</f>
        <v>59.85</v>
      </c>
      <c r="Q466" s="26" t="n">
        <f aca="false">IF(OR(N466="",P466=""),"",(N466-P466)/N466)</f>
        <v>0.50120843403617</v>
      </c>
      <c r="R466" s="27" t="n">
        <v>1</v>
      </c>
      <c r="S466" s="28" t="n">
        <f aca="false">IF(R466="-",0,IFERROR(VLOOKUP(R466,'Price Groups'!$A$13:$C$17,3,FALSE()),0))</f>
        <v>0.22</v>
      </c>
      <c r="T466" s="22" t="n">
        <f aca="false">IF(OR(N466="",R466="-"),"",CEILING(ROUND(N466*(1+S466),2),IF(N466*(1+S466)&lt;100,0.5,IF(N466*(1+S466)&lt;1000,1,5))))</f>
        <v>147</v>
      </c>
      <c r="U466" s="26" t="n">
        <f aca="false">IF(OR(T466="",P466=""),"",(T466-P466)/T466)</f>
        <v>0.592857142857143</v>
      </c>
      <c r="V466" s="26" t="n">
        <f aca="false">IF(T466="",0,T466/N466-1)</f>
        <v>0.225102091840987</v>
      </c>
      <c r="W466" s="19" t="s">
        <v>94</v>
      </c>
    </row>
    <row r="467" customFormat="false" ht="15" hidden="false" customHeight="false" outlineLevel="0" collapsed="false">
      <c r="A467" s="38" t="n">
        <v>416</v>
      </c>
      <c r="B467" s="38" t="s">
        <v>619</v>
      </c>
      <c r="C467" s="38" t="s">
        <v>57</v>
      </c>
      <c r="D467" s="38"/>
      <c r="E467" s="38" t="s">
        <v>58</v>
      </c>
      <c r="F467" s="39" t="n">
        <v>41</v>
      </c>
      <c r="G467" s="39" t="n">
        <v>33</v>
      </c>
      <c r="H467" s="40" t="n">
        <v>1771.38</v>
      </c>
      <c r="I467" s="40" t="n">
        <v>-16.49</v>
      </c>
      <c r="J467" s="40" t="n">
        <v>-155.35</v>
      </c>
      <c r="K467" s="41" t="n">
        <f aca="false">H467+I467+J467</f>
        <v>1599.54</v>
      </c>
      <c r="L467" s="42" t="n">
        <f aca="false">IF($K$1282=0,0,K467/$K$1282)</f>
        <v>0.000132503394686043</v>
      </c>
      <c r="M467" s="43" t="n">
        <f aca="false">IF(F467&lt;=0,0,K467/F467)</f>
        <v>39.0131707317073</v>
      </c>
      <c r="N467" s="40" t="n">
        <v>40.17</v>
      </c>
      <c r="O467" s="44" t="n">
        <v>0.75</v>
      </c>
      <c r="P467" s="43" t="n">
        <f aca="false">O467*'Price Groups'!$B$5</f>
        <v>16.875</v>
      </c>
      <c r="Q467" s="45" t="n">
        <f aca="false">IF(OR(N467="",P467=""),"",(N467-P467)/N467)</f>
        <v>0.579910380881255</v>
      </c>
      <c r="R467" s="46" t="n">
        <v>1</v>
      </c>
      <c r="S467" s="47" t="n">
        <f aca="false">IF(R467="-",0,IFERROR(VLOOKUP(R467,'Price Groups'!$A$13:$C$17,3,FALSE()),0))</f>
        <v>0.22</v>
      </c>
      <c r="T467" s="41" t="n">
        <f aca="false">IF(OR(N467="",R467="-"),"",CEILING(ROUND(N467*(1+S467),2),IF(N467*(1+S467)&lt;100,0.5,IF(N467*(1+S467)&lt;1000,1,5))))</f>
        <v>49.5</v>
      </c>
      <c r="U467" s="45" t="n">
        <f aca="false">IF(OR(T467="",P467=""),"",(T467-P467)/T467)</f>
        <v>0.659090909090909</v>
      </c>
      <c r="V467" s="45" t="n">
        <f aca="false">IF(T467="",0,T467/N467-1)</f>
        <v>0.23226288274832</v>
      </c>
      <c r="W467" s="38" t="s">
        <v>94</v>
      </c>
    </row>
    <row r="468" customFormat="false" ht="15" hidden="false" customHeight="false" outlineLevel="0" collapsed="false">
      <c r="A468" s="19" t="n">
        <v>417</v>
      </c>
      <c r="B468" s="19" t="s">
        <v>620</v>
      </c>
      <c r="C468" s="19" t="s">
        <v>57</v>
      </c>
      <c r="D468" s="19"/>
      <c r="E468" s="19" t="s">
        <v>58</v>
      </c>
      <c r="F468" s="20" t="n">
        <v>40</v>
      </c>
      <c r="G468" s="20" t="n">
        <v>32</v>
      </c>
      <c r="H468" s="21" t="n">
        <v>12230.58</v>
      </c>
      <c r="I468" s="21" t="n">
        <v>0</v>
      </c>
      <c r="J468" s="21" t="n">
        <v>-3552</v>
      </c>
      <c r="K468" s="22" t="n">
        <f aca="false">H468+I468+J468</f>
        <v>8678.58</v>
      </c>
      <c r="L468" s="23" t="n">
        <f aca="false">IF($K$1282=0,0,K468/$K$1282)</f>
        <v>0.00071892000891156</v>
      </c>
      <c r="M468" s="24" t="n">
        <f aca="false">IF(F468&lt;=0,0,K468/F468)</f>
        <v>216.9645</v>
      </c>
      <c r="N468" s="21" t="n">
        <v>228.66</v>
      </c>
      <c r="O468" s="49" t="n">
        <v>3.44</v>
      </c>
      <c r="P468" s="24" t="n">
        <f aca="false">O468*'Price Groups'!$B$5</f>
        <v>77.4</v>
      </c>
      <c r="Q468" s="26" t="n">
        <f aca="false">IF(OR(N468="",P468=""),"",(N468-P468)/N468)</f>
        <v>0.661506166360535</v>
      </c>
      <c r="R468" s="27" t="n">
        <v>1</v>
      </c>
      <c r="S468" s="28" t="n">
        <f aca="false">IF(R468="-",0,IFERROR(VLOOKUP(R468,'Price Groups'!$A$13:$C$17,3,FALSE()),0))</f>
        <v>0.22</v>
      </c>
      <c r="T468" s="22" t="n">
        <f aca="false">IF(OR(N468="",R468="-"),"",CEILING(ROUND(N468*(1+S468),2),IF(N468*(1+S468)&lt;100,0.5,IF(N468*(1+S468)&lt;1000,1,5))))</f>
        <v>279</v>
      </c>
      <c r="U468" s="26" t="n">
        <f aca="false">IF(OR(T468="",P468=""),"",(T468-P468)/T468)</f>
        <v>0.72258064516129</v>
      </c>
      <c r="V468" s="26" t="n">
        <f aca="false">IF(T468="",0,T468/N468-1)</f>
        <v>0.220152191025977</v>
      </c>
      <c r="W468" s="19" t="s">
        <v>94</v>
      </c>
    </row>
    <row r="469" customFormat="false" ht="15" hidden="false" customHeight="false" outlineLevel="0" collapsed="false">
      <c r="A469" s="38" t="n">
        <v>418</v>
      </c>
      <c r="B469" s="38" t="s">
        <v>621</v>
      </c>
      <c r="C469" s="38" t="s">
        <v>57</v>
      </c>
      <c r="D469" s="38"/>
      <c r="E469" s="38" t="s">
        <v>58</v>
      </c>
      <c r="F469" s="39" t="n">
        <v>40</v>
      </c>
      <c r="G469" s="39" t="n">
        <v>27</v>
      </c>
      <c r="H469" s="40" t="n">
        <v>2979.39</v>
      </c>
      <c r="I469" s="40" t="n">
        <v>-5.7</v>
      </c>
      <c r="J469" s="40" t="n">
        <v>-685.71</v>
      </c>
      <c r="K469" s="41" t="n">
        <f aca="false">H469+I469+J469</f>
        <v>2287.98</v>
      </c>
      <c r="L469" s="42" t="n">
        <f aca="false">IF($K$1282=0,0,K469/$K$1282)</f>
        <v>0.000189532688756625</v>
      </c>
      <c r="M469" s="43" t="n">
        <f aca="false">IF(F469&lt;=0,0,K469/F469)</f>
        <v>57.1995</v>
      </c>
      <c r="N469" s="40" t="n">
        <v>54.99</v>
      </c>
      <c r="O469" s="44" t="n">
        <v>0.95</v>
      </c>
      <c r="P469" s="43" t="n">
        <f aca="false">O469*'Price Groups'!$B$5</f>
        <v>21.375</v>
      </c>
      <c r="Q469" s="45" t="n">
        <f aca="false">IF(OR(N469="",P469=""),"",(N469-P469)/N469)</f>
        <v>0.611292962356792</v>
      </c>
      <c r="R469" s="46" t="n">
        <v>1</v>
      </c>
      <c r="S469" s="47" t="n">
        <f aca="false">IF(R469="-",0,IFERROR(VLOOKUP(R469,'Price Groups'!$A$13:$C$17,3,FALSE()),0))</f>
        <v>0.22</v>
      </c>
      <c r="T469" s="41" t="n">
        <f aca="false">IF(OR(N469="",R469="-"),"",CEILING(ROUND(N469*(1+S469),2),IF(N469*(1+S469)&lt;100,0.5,IF(N469*(1+S469)&lt;1000,1,5))))</f>
        <v>67.5</v>
      </c>
      <c r="U469" s="45" t="n">
        <f aca="false">IF(OR(T469="",P469=""),"",(T469-P469)/T469)</f>
        <v>0.683333333333333</v>
      </c>
      <c r="V469" s="45" t="n">
        <f aca="false">IF(T469="",0,T469/N469-1)</f>
        <v>0.227495908346972</v>
      </c>
      <c r="W469" s="38" t="s">
        <v>94</v>
      </c>
    </row>
    <row r="470" customFormat="false" ht="15" hidden="false" customHeight="false" outlineLevel="0" collapsed="false">
      <c r="A470" s="19" t="n">
        <v>419</v>
      </c>
      <c r="B470" s="19" t="s">
        <v>622</v>
      </c>
      <c r="C470" s="19" t="s">
        <v>57</v>
      </c>
      <c r="D470" s="19"/>
      <c r="E470" s="19" t="s">
        <v>58</v>
      </c>
      <c r="F470" s="20" t="n">
        <v>40</v>
      </c>
      <c r="G470" s="20" t="n">
        <v>13</v>
      </c>
      <c r="H470" s="21" t="n">
        <v>2519.58</v>
      </c>
      <c r="I470" s="21" t="n">
        <v>0</v>
      </c>
      <c r="J470" s="21" t="n">
        <v>-119.98</v>
      </c>
      <c r="K470" s="22" t="n">
        <f aca="false">H470+I470+J470</f>
        <v>2399.6</v>
      </c>
      <c r="L470" s="23" t="n">
        <f aca="false">IF($K$1282=0,0,K470/$K$1282)</f>
        <v>0.000198779115176006</v>
      </c>
      <c r="M470" s="24" t="n">
        <f aca="false">IF(F470&lt;=0,0,K470/F470)</f>
        <v>59.99</v>
      </c>
      <c r="N470" s="21" t="n">
        <v>59.99</v>
      </c>
      <c r="O470" s="49" t="n">
        <v>1.48</v>
      </c>
      <c r="P470" s="24" t="n">
        <f aca="false">O470*'Price Groups'!$B$5</f>
        <v>33.3</v>
      </c>
      <c r="Q470" s="26" t="n">
        <f aca="false">IF(OR(N470="",P470=""),"",(N470-P470)/N470)</f>
        <v>0.444907484580764</v>
      </c>
      <c r="R470" s="27" t="n">
        <v>1</v>
      </c>
      <c r="S470" s="28" t="n">
        <f aca="false">IF(R470="-",0,IFERROR(VLOOKUP(R470,'Price Groups'!$A$13:$C$17,3,FALSE()),0))</f>
        <v>0.22</v>
      </c>
      <c r="T470" s="22" t="n">
        <f aca="false">IF(OR(N470="",R470="-"),"",CEILING(ROUND(N470*(1+S470),2),IF(N470*(1+S470)&lt;100,0.5,IF(N470*(1+S470)&lt;1000,1,5))))</f>
        <v>73.5</v>
      </c>
      <c r="U470" s="26" t="n">
        <f aca="false">IF(OR(T470="",P470=""),"",(T470-P470)/T470)</f>
        <v>0.546938775510204</v>
      </c>
      <c r="V470" s="26" t="n">
        <f aca="false">IF(T470="",0,T470/N470-1)</f>
        <v>0.225204200700117</v>
      </c>
      <c r="W470" s="19" t="s">
        <v>94</v>
      </c>
    </row>
    <row r="471" customFormat="false" ht="15" hidden="false" customHeight="false" outlineLevel="0" collapsed="false">
      <c r="A471" s="38" t="n">
        <v>420</v>
      </c>
      <c r="B471" s="38" t="s">
        <v>623</v>
      </c>
      <c r="C471" s="38" t="s">
        <v>57</v>
      </c>
      <c r="D471" s="38"/>
      <c r="E471" s="38" t="s">
        <v>58</v>
      </c>
      <c r="F471" s="39" t="n">
        <v>40</v>
      </c>
      <c r="G471" s="39" t="n">
        <v>12</v>
      </c>
      <c r="H471" s="40" t="n">
        <v>1035.01</v>
      </c>
      <c r="I471" s="40" t="n">
        <v>-15.94</v>
      </c>
      <c r="J471" s="40" t="n">
        <v>-27</v>
      </c>
      <c r="K471" s="41" t="n">
        <f aca="false">H471+I471+J471</f>
        <v>992.07</v>
      </c>
      <c r="L471" s="42" t="n">
        <f aca="false">IF($K$1282=0,0,K471/$K$1282)</f>
        <v>8.21815289184281E-005</v>
      </c>
      <c r="M471" s="43" t="n">
        <f aca="false">IF(F471&lt;=0,0,K471/F471)</f>
        <v>24.80175</v>
      </c>
      <c r="N471" s="40" t="n">
        <v>18</v>
      </c>
      <c r="O471" s="44" t="n">
        <v>0.56</v>
      </c>
      <c r="P471" s="43" t="n">
        <f aca="false">O471*'Price Groups'!$B$5</f>
        <v>12.6</v>
      </c>
      <c r="Q471" s="45" t="n">
        <f aca="false">IF(OR(N471="",P471=""),"",(N471-P471)/N471)</f>
        <v>0.3</v>
      </c>
      <c r="R471" s="46" t="n">
        <v>1</v>
      </c>
      <c r="S471" s="47" t="n">
        <f aca="false">IF(R471="-",0,IFERROR(VLOOKUP(R471,'Price Groups'!$A$13:$C$17,3,FALSE()),0))</f>
        <v>0.22</v>
      </c>
      <c r="T471" s="41" t="n">
        <f aca="false">IF(OR(N471="",R471="-"),"",CEILING(ROUND(N471*(1+S471),2),IF(N471*(1+S471)&lt;100,0.5,IF(N471*(1+S471)&lt;1000,1,5))))</f>
        <v>22</v>
      </c>
      <c r="U471" s="45" t="n">
        <f aca="false">IF(OR(T471="",P471=""),"",(T471-P471)/T471)</f>
        <v>0.427272727272727</v>
      </c>
      <c r="V471" s="45" t="n">
        <f aca="false">IF(T471="",0,T471/N471-1)</f>
        <v>0.222222222222222</v>
      </c>
      <c r="W471" s="38" t="s">
        <v>94</v>
      </c>
    </row>
    <row r="472" customFormat="false" ht="15" hidden="false" customHeight="false" outlineLevel="0" collapsed="false">
      <c r="A472" s="19" t="n">
        <v>421</v>
      </c>
      <c r="B472" s="19" t="s">
        <v>624</v>
      </c>
      <c r="C472" s="19" t="s">
        <v>57</v>
      </c>
      <c r="D472" s="19"/>
      <c r="E472" s="19" t="s">
        <v>58</v>
      </c>
      <c r="F472" s="20" t="n">
        <v>40</v>
      </c>
      <c r="G472" s="20" t="n">
        <v>36</v>
      </c>
      <c r="H472" s="21" t="n">
        <v>376.65</v>
      </c>
      <c r="I472" s="21" t="n">
        <v>-0.9</v>
      </c>
      <c r="J472" s="21" t="n">
        <v>-32.1</v>
      </c>
      <c r="K472" s="22" t="n">
        <f aca="false">H472+I472+J472</f>
        <v>343.65</v>
      </c>
      <c r="L472" s="23" t="n">
        <f aca="false">IF($K$1282=0,0,K472/$K$1282)</f>
        <v>2.84674291257853E-005</v>
      </c>
      <c r="M472" s="24" t="n">
        <f aca="false">IF(F472&lt;=0,0,K472/F472)</f>
        <v>8.59125</v>
      </c>
      <c r="N472" s="21" t="n">
        <v>7.05</v>
      </c>
      <c r="O472" s="49" t="n">
        <v>0.22</v>
      </c>
      <c r="P472" s="24" t="n">
        <f aca="false">O472*'Price Groups'!$B$5</f>
        <v>4.95</v>
      </c>
      <c r="Q472" s="26" t="n">
        <f aca="false">IF(OR(N472="",P472=""),"",(N472-P472)/N472)</f>
        <v>0.297872340425532</v>
      </c>
      <c r="R472" s="27" t="n">
        <v>1</v>
      </c>
      <c r="S472" s="28" t="n">
        <f aca="false">IF(R472="-",0,IFERROR(VLOOKUP(R472,'Price Groups'!$A$13:$C$17,3,FALSE()),0))</f>
        <v>0.22</v>
      </c>
      <c r="T472" s="22" t="n">
        <f aca="false">IF(OR(N472="",R472="-"),"",CEILING(ROUND(N472*(1+S472),2),IF(N472*(1+S472)&lt;100,0.5,IF(N472*(1+S472)&lt;1000,1,5))))</f>
        <v>9</v>
      </c>
      <c r="U472" s="26" t="n">
        <f aca="false">IF(OR(T472="",P472=""),"",(T472-P472)/T472)</f>
        <v>0.45</v>
      </c>
      <c r="V472" s="26" t="n">
        <f aca="false">IF(T472="",0,T472/N472-1)</f>
        <v>0.276595744680851</v>
      </c>
      <c r="W472" s="19" t="s">
        <v>94</v>
      </c>
    </row>
    <row r="473" customFormat="false" ht="15" hidden="false" customHeight="false" outlineLevel="0" collapsed="false">
      <c r="A473" s="38" t="n">
        <v>422</v>
      </c>
      <c r="B473" s="38" t="s">
        <v>625</v>
      </c>
      <c r="C473" s="38" t="s">
        <v>57</v>
      </c>
      <c r="D473" s="38"/>
      <c r="E473" s="38" t="s">
        <v>58</v>
      </c>
      <c r="F473" s="39" t="n">
        <v>40</v>
      </c>
      <c r="G473" s="39" t="n">
        <v>17</v>
      </c>
      <c r="H473" s="40" t="n">
        <v>3671.13</v>
      </c>
      <c r="I473" s="40" t="n">
        <v>-72</v>
      </c>
      <c r="J473" s="40" t="n">
        <v>-90</v>
      </c>
      <c r="K473" s="41" t="n">
        <f aca="false">H473+I473+J473</f>
        <v>3509.13</v>
      </c>
      <c r="L473" s="42" t="n">
        <f aca="false">IF($K$1282=0,0,K473/$K$1282)</f>
        <v>0.000290690846990156</v>
      </c>
      <c r="M473" s="43" t="n">
        <f aca="false">IF(F473&lt;=0,0,K473/F473)</f>
        <v>87.72825</v>
      </c>
      <c r="N473" s="40" t="n">
        <v>83.71</v>
      </c>
      <c r="O473" s="44" t="n">
        <v>2.83</v>
      </c>
      <c r="P473" s="43" t="n">
        <f aca="false">O473*'Price Groups'!$B$5</f>
        <v>63.675</v>
      </c>
      <c r="Q473" s="45" t="n">
        <f aca="false">IF(OR(N473="",P473=""),"",(N473-P473)/N473)</f>
        <v>0.239338191374985</v>
      </c>
      <c r="R473" s="46" t="n">
        <v>1</v>
      </c>
      <c r="S473" s="47" t="n">
        <f aca="false">IF(R473="-",0,IFERROR(VLOOKUP(R473,'Price Groups'!$A$13:$C$17,3,FALSE()),0))</f>
        <v>0.22</v>
      </c>
      <c r="T473" s="41" t="n">
        <f aca="false">IF(OR(N473="",R473="-"),"",CEILING(ROUND(N473*(1+S473),2),IF(N473*(1+S473)&lt;100,0.5,IF(N473*(1+S473)&lt;1000,1,5))))</f>
        <v>103</v>
      </c>
      <c r="U473" s="45" t="n">
        <f aca="false">IF(OR(T473="",P473=""),"",(T473-P473)/T473)</f>
        <v>0.381796116504854</v>
      </c>
      <c r="V473" s="45" t="n">
        <f aca="false">IF(T473="",0,T473/N473-1)</f>
        <v>0.230438418349062</v>
      </c>
      <c r="W473" s="38" t="s">
        <v>244</v>
      </c>
    </row>
    <row r="474" customFormat="false" ht="15" hidden="false" customHeight="false" outlineLevel="0" collapsed="false">
      <c r="A474" s="19" t="n">
        <v>423</v>
      </c>
      <c r="B474" s="19" t="s">
        <v>626</v>
      </c>
      <c r="C474" s="19" t="s">
        <v>57</v>
      </c>
      <c r="D474" s="19"/>
      <c r="E474" s="19" t="s">
        <v>58</v>
      </c>
      <c r="F474" s="20" t="n">
        <v>40</v>
      </c>
      <c r="G474" s="20" t="n">
        <v>25</v>
      </c>
      <c r="H474" s="21" t="n">
        <v>1258.21</v>
      </c>
      <c r="I474" s="21" t="n">
        <v>0</v>
      </c>
      <c r="J474" s="21" t="n">
        <v>-61.49</v>
      </c>
      <c r="K474" s="22" t="n">
        <f aca="false">H474+I474+J474</f>
        <v>1196.72</v>
      </c>
      <c r="L474" s="23" t="n">
        <f aca="false">IF($K$1282=0,0,K474/$K$1282)</f>
        <v>9.91344151997956E-005</v>
      </c>
      <c r="M474" s="24" t="n">
        <f aca="false">IF(F474&lt;=0,0,K474/F474)</f>
        <v>29.918</v>
      </c>
      <c r="N474" s="21" t="n">
        <v>33</v>
      </c>
      <c r="O474" s="49" t="n">
        <v>0.43</v>
      </c>
      <c r="P474" s="24" t="n">
        <f aca="false">O474*'Price Groups'!$B$5</f>
        <v>9.675</v>
      </c>
      <c r="Q474" s="26" t="n">
        <f aca="false">IF(OR(N474="",P474=""),"",(N474-P474)/N474)</f>
        <v>0.706818181818182</v>
      </c>
      <c r="R474" s="27" t="n">
        <v>1</v>
      </c>
      <c r="S474" s="28" t="n">
        <f aca="false">IF(R474="-",0,IFERROR(VLOOKUP(R474,'Price Groups'!$A$13:$C$17,3,FALSE()),0))</f>
        <v>0.22</v>
      </c>
      <c r="T474" s="22" t="n">
        <f aca="false">IF(OR(N474="",R474="-"),"",CEILING(ROUND(N474*(1+S474),2),IF(N474*(1+S474)&lt;100,0.5,IF(N474*(1+S474)&lt;1000,1,5))))</f>
        <v>40.5</v>
      </c>
      <c r="U474" s="26" t="n">
        <f aca="false">IF(OR(T474="",P474=""),"",(T474-P474)/T474)</f>
        <v>0.761111111111111</v>
      </c>
      <c r="V474" s="26" t="n">
        <f aca="false">IF(T474="",0,T474/N474-1)</f>
        <v>0.227272727272727</v>
      </c>
      <c r="W474" s="19" t="s">
        <v>94</v>
      </c>
    </row>
    <row r="475" customFormat="false" ht="15" hidden="false" customHeight="false" outlineLevel="0" collapsed="false">
      <c r="A475" s="38" t="n">
        <v>424</v>
      </c>
      <c r="B475" s="38" t="s">
        <v>627</v>
      </c>
      <c r="C475" s="38" t="s">
        <v>57</v>
      </c>
      <c r="D475" s="38"/>
      <c r="E475" s="38" t="s">
        <v>58</v>
      </c>
      <c r="F475" s="39" t="n">
        <v>39</v>
      </c>
      <c r="G475" s="39" t="n">
        <v>35</v>
      </c>
      <c r="H475" s="40" t="n">
        <v>15465</v>
      </c>
      <c r="I475" s="40" t="n">
        <v>-164.29</v>
      </c>
      <c r="J475" s="40" t="n">
        <v>0</v>
      </c>
      <c r="K475" s="41" t="n">
        <f aca="false">H475+I475+J475</f>
        <v>15300.71</v>
      </c>
      <c r="L475" s="42" t="n">
        <f aca="false">IF($K$1282=0,0,K475/$K$1282)</f>
        <v>0.00126748691255404</v>
      </c>
      <c r="M475" s="43" t="n">
        <f aca="false">IF(F475&lt;=0,0,K475/F475)</f>
        <v>392.325897435897</v>
      </c>
      <c r="N475" s="40" t="n">
        <v>410</v>
      </c>
      <c r="O475" s="44" t="n">
        <v>18.32</v>
      </c>
      <c r="P475" s="43" t="n">
        <f aca="false">O475*'Price Groups'!$B$5</f>
        <v>412.2</v>
      </c>
      <c r="Q475" s="45" t="n">
        <f aca="false">IF(OR(N475="",P475=""),"",(N475-P475)/N475)</f>
        <v>-0.00536585365853656</v>
      </c>
      <c r="R475" s="46" t="n">
        <v>1</v>
      </c>
      <c r="S475" s="47" t="n">
        <f aca="false">IF(R475="-",0,IFERROR(VLOOKUP(R475,'Price Groups'!$A$13:$C$17,3,FALSE()),0))</f>
        <v>0.22</v>
      </c>
      <c r="T475" s="41" t="n">
        <f aca="false">IF(OR(N475="",R475="-"),"",CEILING(ROUND(N475*(1+S475),2),IF(N475*(1+S475)&lt;100,0.5,IF(N475*(1+S475)&lt;1000,1,5))))</f>
        <v>501</v>
      </c>
      <c r="U475" s="45" t="n">
        <f aca="false">IF(OR(T475="",P475=""),"",(T475-P475)/T475)</f>
        <v>0.177245508982036</v>
      </c>
      <c r="V475" s="45" t="n">
        <f aca="false">IF(T475="",0,T475/N475-1)</f>
        <v>0.221951219512195</v>
      </c>
      <c r="W475" s="38" t="s">
        <v>365</v>
      </c>
    </row>
    <row r="476" customFormat="false" ht="15" hidden="false" customHeight="false" outlineLevel="0" collapsed="false">
      <c r="A476" s="19" t="n">
        <v>425</v>
      </c>
      <c r="B476" s="19" t="s">
        <v>628</v>
      </c>
      <c r="C476" s="19" t="s">
        <v>57</v>
      </c>
      <c r="D476" s="19"/>
      <c r="E476" s="19" t="s">
        <v>58</v>
      </c>
      <c r="F476" s="20" t="n">
        <v>39</v>
      </c>
      <c r="G476" s="20" t="n">
        <v>21</v>
      </c>
      <c r="H476" s="21" t="n">
        <v>6975.76</v>
      </c>
      <c r="I476" s="21" t="n">
        <v>-125.33</v>
      </c>
      <c r="J476" s="21" t="n">
        <v>-142.61</v>
      </c>
      <c r="K476" s="22" t="n">
        <f aca="false">H476+I476+J476</f>
        <v>6707.82</v>
      </c>
      <c r="L476" s="23" t="n">
        <f aca="false">IF($K$1282=0,0,K476/$K$1282)</f>
        <v>0.000555665329371527</v>
      </c>
      <c r="M476" s="24" t="n">
        <f aca="false">IF(F476&lt;=0,0,K476/F476)</f>
        <v>171.995384615385</v>
      </c>
      <c r="N476" s="21" t="n">
        <v>170</v>
      </c>
      <c r="O476" s="49" t="n">
        <v>4.79</v>
      </c>
      <c r="P476" s="24" t="n">
        <f aca="false">O476*'Price Groups'!$B$5</f>
        <v>107.775</v>
      </c>
      <c r="Q476" s="26" t="n">
        <f aca="false">IF(OR(N476="",P476=""),"",(N476-P476)/N476)</f>
        <v>0.366029411764706</v>
      </c>
      <c r="R476" s="27" t="n">
        <v>1</v>
      </c>
      <c r="S476" s="28" t="n">
        <f aca="false">IF(R476="-",0,IFERROR(VLOOKUP(R476,'Price Groups'!$A$13:$C$17,3,FALSE()),0))</f>
        <v>0.22</v>
      </c>
      <c r="T476" s="22" t="n">
        <f aca="false">IF(OR(N476="",R476="-"),"",CEILING(ROUND(N476*(1+S476),2),IF(N476*(1+S476)&lt;100,0.5,IF(N476*(1+S476)&lt;1000,1,5))))</f>
        <v>208</v>
      </c>
      <c r="U476" s="26" t="n">
        <f aca="false">IF(OR(T476="",P476=""),"",(T476-P476)/T476)</f>
        <v>0.481850961538462</v>
      </c>
      <c r="V476" s="26" t="n">
        <f aca="false">IF(T476="",0,T476/N476-1)</f>
        <v>0.223529411764706</v>
      </c>
      <c r="W476" s="19" t="s">
        <v>94</v>
      </c>
    </row>
    <row r="477" customFormat="false" ht="15" hidden="false" customHeight="false" outlineLevel="0" collapsed="false">
      <c r="A477" s="38" t="n">
        <v>426</v>
      </c>
      <c r="B477" s="38" t="s">
        <v>629</v>
      </c>
      <c r="C477" s="38" t="s">
        <v>57</v>
      </c>
      <c r="D477" s="38"/>
      <c r="E477" s="38" t="s">
        <v>58</v>
      </c>
      <c r="F477" s="39" t="n">
        <v>39</v>
      </c>
      <c r="G477" s="39" t="n">
        <v>24</v>
      </c>
      <c r="H477" s="40" t="n">
        <v>2892.25</v>
      </c>
      <c r="I477" s="40" t="n">
        <v>-27.96</v>
      </c>
      <c r="J477" s="40" t="n">
        <v>-255.41</v>
      </c>
      <c r="K477" s="41" t="n">
        <f aca="false">H477+I477+J477</f>
        <v>2608.88</v>
      </c>
      <c r="L477" s="42" t="n">
        <f aca="false">IF($K$1282=0,0,K477/$K$1282)</f>
        <v>0.000216115543424062</v>
      </c>
      <c r="M477" s="43" t="n">
        <f aca="false">IF(F477&lt;=0,0,K477/F477)</f>
        <v>66.894358974359</v>
      </c>
      <c r="N477" s="40" t="n">
        <v>79.99</v>
      </c>
      <c r="O477" s="44" t="n">
        <v>1.73</v>
      </c>
      <c r="P477" s="43" t="n">
        <f aca="false">O477*'Price Groups'!$B$5</f>
        <v>38.925</v>
      </c>
      <c r="Q477" s="45" t="n">
        <f aca="false">IF(OR(N477="",P477=""),"",(N477-P477)/N477)</f>
        <v>0.513376672084011</v>
      </c>
      <c r="R477" s="46" t="n">
        <v>1</v>
      </c>
      <c r="S477" s="47" t="n">
        <f aca="false">IF(R477="-",0,IFERROR(VLOOKUP(R477,'Price Groups'!$A$13:$C$17,3,FALSE()),0))</f>
        <v>0.22</v>
      </c>
      <c r="T477" s="41" t="n">
        <f aca="false">IF(OR(N477="",R477="-"),"",CEILING(ROUND(N477*(1+S477),2),IF(N477*(1+S477)&lt;100,0.5,IF(N477*(1+S477)&lt;1000,1,5))))</f>
        <v>98</v>
      </c>
      <c r="U477" s="45" t="n">
        <f aca="false">IF(OR(T477="",P477=""),"",(T477-P477)/T477)</f>
        <v>0.60280612244898</v>
      </c>
      <c r="V477" s="45" t="n">
        <f aca="false">IF(T477="",0,T477/N477-1)</f>
        <v>0.225153144143018</v>
      </c>
      <c r="W477" s="38" t="s">
        <v>94</v>
      </c>
    </row>
    <row r="478" customFormat="false" ht="15" hidden="false" customHeight="false" outlineLevel="0" collapsed="false">
      <c r="A478" s="19" t="n">
        <v>427</v>
      </c>
      <c r="B478" s="19" t="s">
        <v>630</v>
      </c>
      <c r="C478" s="19" t="s">
        <v>57</v>
      </c>
      <c r="D478" s="19"/>
      <c r="E478" s="19" t="s">
        <v>58</v>
      </c>
      <c r="F478" s="20" t="n">
        <v>39</v>
      </c>
      <c r="G478" s="20" t="n">
        <v>24</v>
      </c>
      <c r="H478" s="21" t="n">
        <v>1881.3</v>
      </c>
      <c r="I478" s="21" t="n">
        <v>-4.99</v>
      </c>
      <c r="J478" s="21" t="n">
        <v>-49.99</v>
      </c>
      <c r="K478" s="22" t="n">
        <f aca="false">H478+I478+J478</f>
        <v>1826.32</v>
      </c>
      <c r="L478" s="23" t="n">
        <f aca="false">IF($K$1282=0,0,K478/$K$1282)</f>
        <v>0.000151289495594367</v>
      </c>
      <c r="M478" s="24" t="n">
        <f aca="false">IF(F478&lt;=0,0,K478/F478)</f>
        <v>46.8287179487179</v>
      </c>
      <c r="N478" s="21" t="n">
        <v>38.16</v>
      </c>
      <c r="O478" s="49" t="n">
        <v>1.29</v>
      </c>
      <c r="P478" s="24" t="n">
        <f aca="false">O478*'Price Groups'!$B$5</f>
        <v>29.025</v>
      </c>
      <c r="Q478" s="26" t="n">
        <f aca="false">IF(OR(N478="",P478=""),"",(N478-P478)/N478)</f>
        <v>0.23938679245283</v>
      </c>
      <c r="R478" s="27" t="n">
        <v>1</v>
      </c>
      <c r="S478" s="28" t="n">
        <f aca="false">IF(R478="-",0,IFERROR(VLOOKUP(R478,'Price Groups'!$A$13:$C$17,3,FALSE()),0))</f>
        <v>0.22</v>
      </c>
      <c r="T478" s="22" t="n">
        <f aca="false">IF(OR(N478="",R478="-"),"",CEILING(ROUND(N478*(1+S478),2),IF(N478*(1+S478)&lt;100,0.5,IF(N478*(1+S478)&lt;1000,1,5))))</f>
        <v>47</v>
      </c>
      <c r="U478" s="26" t="n">
        <f aca="false">IF(OR(T478="",P478=""),"",(T478-P478)/T478)</f>
        <v>0.382446808510638</v>
      </c>
      <c r="V478" s="26" t="n">
        <f aca="false">IF(T478="",0,T478/N478-1)</f>
        <v>0.231656184486373</v>
      </c>
      <c r="W478" s="19" t="s">
        <v>244</v>
      </c>
    </row>
    <row r="479" customFormat="false" ht="15" hidden="false" customHeight="false" outlineLevel="0" collapsed="false">
      <c r="A479" s="38" t="n">
        <v>428</v>
      </c>
      <c r="B479" s="38" t="s">
        <v>631</v>
      </c>
      <c r="C479" s="38" t="s">
        <v>57</v>
      </c>
      <c r="D479" s="38"/>
      <c r="E479" s="38" t="s">
        <v>58</v>
      </c>
      <c r="F479" s="39" t="n">
        <v>39</v>
      </c>
      <c r="G479" s="39" t="n">
        <v>39</v>
      </c>
      <c r="H479" s="40" t="n">
        <v>18983.71</v>
      </c>
      <c r="I479" s="40" t="n">
        <v>-155.24</v>
      </c>
      <c r="J479" s="40" t="n">
        <v>-3401.28</v>
      </c>
      <c r="K479" s="41" t="n">
        <f aca="false">H479+I479+J479</f>
        <v>15427.19</v>
      </c>
      <c r="L479" s="42" t="n">
        <f aca="false">IF($K$1282=0,0,K479/$K$1282)</f>
        <v>0.00127796431815808</v>
      </c>
      <c r="M479" s="43" t="n">
        <f aca="false">IF(F479&lt;=0,0,K479/F479)</f>
        <v>395.568974358974</v>
      </c>
      <c r="N479" s="40" t="n">
        <v>569.99</v>
      </c>
      <c r="O479" s="44" t="n">
        <v>9.36</v>
      </c>
      <c r="P479" s="43" t="n">
        <f aca="false">O479*'Price Groups'!$B$5</f>
        <v>210.6</v>
      </c>
      <c r="Q479" s="45" t="n">
        <f aca="false">IF(OR(N479="",P479=""),"",(N479-P479)/N479)</f>
        <v>0.630519833681293</v>
      </c>
      <c r="R479" s="46" t="n">
        <v>3</v>
      </c>
      <c r="S479" s="47" t="n">
        <f aca="false">IF(R479="-",0,IFERROR(VLOOKUP(R479,'Price Groups'!$A$13:$C$17,3,FALSE()),0))</f>
        <v>0.16</v>
      </c>
      <c r="T479" s="41" t="n">
        <f aca="false">IF(OR(N479="",R479="-"),"",CEILING(ROUND(N479*(1+S479),2),IF(N479*(1+S479)&lt;100,0.5,IF(N479*(1+S479)&lt;1000,1,5))))</f>
        <v>662</v>
      </c>
      <c r="U479" s="45" t="n">
        <f aca="false">IF(OR(T479="",P479=""),"",(T479-P479)/T479)</f>
        <v>0.681873111782477</v>
      </c>
      <c r="V479" s="45" t="n">
        <f aca="false">IF(T479="",0,T479/N479-1)</f>
        <v>0.161423884629555</v>
      </c>
      <c r="W479" s="38" t="s">
        <v>107</v>
      </c>
    </row>
    <row r="480" customFormat="false" ht="15" hidden="false" customHeight="false" outlineLevel="0" collapsed="false">
      <c r="A480" s="19" t="n">
        <v>429</v>
      </c>
      <c r="B480" s="19" t="s">
        <v>632</v>
      </c>
      <c r="C480" s="19" t="s">
        <v>57</v>
      </c>
      <c r="D480" s="19"/>
      <c r="E480" s="19" t="s">
        <v>58</v>
      </c>
      <c r="F480" s="20" t="n">
        <v>39</v>
      </c>
      <c r="G480" s="20" t="n">
        <v>19</v>
      </c>
      <c r="H480" s="21" t="n">
        <v>10827.5</v>
      </c>
      <c r="I480" s="21" t="n">
        <v>-82.56</v>
      </c>
      <c r="J480" s="21" t="n">
        <v>-330</v>
      </c>
      <c r="K480" s="22" t="n">
        <f aca="false">H480+I480+J480</f>
        <v>10414.94</v>
      </c>
      <c r="L480" s="23" t="n">
        <f aca="false">IF($K$1282=0,0,K480/$K$1282)</f>
        <v>0.00086275735864777</v>
      </c>
      <c r="M480" s="24" t="n">
        <f aca="false">IF(F480&lt;=0,0,K480/F480)</f>
        <v>267.049743589744</v>
      </c>
      <c r="N480" s="21" t="n">
        <v>330</v>
      </c>
      <c r="O480" s="49" t="n">
        <v>11.25</v>
      </c>
      <c r="P480" s="24" t="n">
        <f aca="false">O480*'Price Groups'!$B$5</f>
        <v>253.125</v>
      </c>
      <c r="Q480" s="26" t="n">
        <f aca="false">IF(OR(N480="",P480=""),"",(N480-P480)/N480)</f>
        <v>0.232954545454545</v>
      </c>
      <c r="R480" s="27" t="n">
        <v>1</v>
      </c>
      <c r="S480" s="28" t="n">
        <f aca="false">IF(R480="-",0,IFERROR(VLOOKUP(R480,'Price Groups'!$A$13:$C$17,3,FALSE()),0))</f>
        <v>0.22</v>
      </c>
      <c r="T480" s="22" t="n">
        <f aca="false">IF(OR(N480="",R480="-"),"",CEILING(ROUND(N480*(1+S480),2),IF(N480*(1+S480)&lt;100,0.5,IF(N480*(1+S480)&lt;1000,1,5))))</f>
        <v>403</v>
      </c>
      <c r="U480" s="26" t="n">
        <f aca="false">IF(OR(T480="",P480=""),"",(T480-P480)/T480)</f>
        <v>0.371898263027295</v>
      </c>
      <c r="V480" s="26" t="n">
        <f aca="false">IF(T480="",0,T480/N480-1)</f>
        <v>0.221212121212121</v>
      </c>
      <c r="W480" s="19" t="s">
        <v>633</v>
      </c>
    </row>
    <row r="481" customFormat="false" ht="15" hidden="false" customHeight="false" outlineLevel="0" collapsed="false">
      <c r="A481" s="38" t="n">
        <v>430</v>
      </c>
      <c r="B481" s="38" t="s">
        <v>634</v>
      </c>
      <c r="C481" s="38" t="s">
        <v>57</v>
      </c>
      <c r="D481" s="38"/>
      <c r="E481" s="38" t="s">
        <v>58</v>
      </c>
      <c r="F481" s="39" t="n">
        <v>39</v>
      </c>
      <c r="G481" s="39" t="n">
        <v>29</v>
      </c>
      <c r="H481" s="40" t="n">
        <v>1044.68</v>
      </c>
      <c r="I481" s="40" t="n">
        <v>0</v>
      </c>
      <c r="J481" s="40" t="n">
        <v>-87</v>
      </c>
      <c r="K481" s="41" t="n">
        <f aca="false">H481+I481+J481</f>
        <v>957.68</v>
      </c>
      <c r="L481" s="42" t="n">
        <f aca="false">IF($K$1282=0,0,K481/$K$1282)</f>
        <v>7.93327150449063E-005</v>
      </c>
      <c r="M481" s="43" t="n">
        <f aca="false">IF(F481&lt;=0,0,K481/F481)</f>
        <v>24.5558974358974</v>
      </c>
      <c r="N481" s="40" t="n">
        <v>24.99</v>
      </c>
      <c r="O481" s="44" t="n">
        <v>0.52</v>
      </c>
      <c r="P481" s="43" t="n">
        <f aca="false">O481*'Price Groups'!$B$5</f>
        <v>11.7</v>
      </c>
      <c r="Q481" s="45" t="n">
        <f aca="false">IF(OR(N481="",P481=""),"",(N481-P481)/N481)</f>
        <v>0.531812725090036</v>
      </c>
      <c r="R481" s="46" t="n">
        <v>1</v>
      </c>
      <c r="S481" s="47" t="n">
        <f aca="false">IF(R481="-",0,IFERROR(VLOOKUP(R481,'Price Groups'!$A$13:$C$17,3,FALSE()),0))</f>
        <v>0.22</v>
      </c>
      <c r="T481" s="41" t="n">
        <f aca="false">IF(OR(N481="",R481="-"),"",CEILING(ROUND(N481*(1+S481),2),IF(N481*(1+S481)&lt;100,0.5,IF(N481*(1+S481)&lt;1000,1,5))))</f>
        <v>30.5</v>
      </c>
      <c r="U481" s="45" t="n">
        <f aca="false">IF(OR(T481="",P481=""),"",(T481-P481)/T481)</f>
        <v>0.616393442622951</v>
      </c>
      <c r="V481" s="45" t="n">
        <f aca="false">IF(T481="",0,T481/N481-1)</f>
        <v>0.220488195278111</v>
      </c>
      <c r="W481" s="38" t="s">
        <v>94</v>
      </c>
    </row>
    <row r="482" customFormat="false" ht="15" hidden="false" customHeight="false" outlineLevel="0" collapsed="false">
      <c r="A482" s="19" t="n">
        <v>431</v>
      </c>
      <c r="B482" s="19" t="s">
        <v>635</v>
      </c>
      <c r="C482" s="19" t="s">
        <v>57</v>
      </c>
      <c r="D482" s="19"/>
      <c r="E482" s="19" t="s">
        <v>58</v>
      </c>
      <c r="F482" s="20" t="n">
        <v>38</v>
      </c>
      <c r="G482" s="20" t="n">
        <v>36</v>
      </c>
      <c r="H482" s="21" t="n">
        <v>15965</v>
      </c>
      <c r="I482" s="21" t="n">
        <v>-899.46</v>
      </c>
      <c r="J482" s="21" t="n">
        <v>-790</v>
      </c>
      <c r="K482" s="22" t="n">
        <f aca="false">H482+I482+J482</f>
        <v>14275.54</v>
      </c>
      <c r="L482" s="23" t="n">
        <f aca="false">IF($K$1282=0,0,K482/$K$1282)</f>
        <v>0.00118256343134676</v>
      </c>
      <c r="M482" s="24" t="n">
        <f aca="false">IF(F482&lt;=0,0,K482/F482)</f>
        <v>375.672105263158</v>
      </c>
      <c r="N482" s="21" t="n">
        <v>410</v>
      </c>
      <c r="O482" s="49" t="n">
        <v>18.32</v>
      </c>
      <c r="P482" s="24" t="n">
        <f aca="false">O482*'Price Groups'!$B$5</f>
        <v>412.2</v>
      </c>
      <c r="Q482" s="26" t="n">
        <f aca="false">IF(OR(N482="",P482=""),"",(N482-P482)/N482)</f>
        <v>-0.00536585365853656</v>
      </c>
      <c r="R482" s="27" t="n">
        <v>1</v>
      </c>
      <c r="S482" s="28" t="n">
        <f aca="false">IF(R482="-",0,IFERROR(VLOOKUP(R482,'Price Groups'!$A$13:$C$17,3,FALSE()),0))</f>
        <v>0.22</v>
      </c>
      <c r="T482" s="22" t="n">
        <f aca="false">IF(OR(N482="",R482="-"),"",CEILING(ROUND(N482*(1+S482),2),IF(N482*(1+S482)&lt;100,0.5,IF(N482*(1+S482)&lt;1000,1,5))))</f>
        <v>501</v>
      </c>
      <c r="U482" s="26" t="n">
        <f aca="false">IF(OR(T482="",P482=""),"",(T482-P482)/T482)</f>
        <v>0.177245508982036</v>
      </c>
      <c r="V482" s="26" t="n">
        <f aca="false">IF(T482="",0,T482/N482-1)</f>
        <v>0.221951219512195</v>
      </c>
      <c r="W482" s="19" t="s">
        <v>365</v>
      </c>
    </row>
    <row r="483" customFormat="false" ht="15" hidden="false" customHeight="false" outlineLevel="0" collapsed="false">
      <c r="A483" s="38" t="n">
        <v>432</v>
      </c>
      <c r="B483" s="38" t="s">
        <v>636</v>
      </c>
      <c r="C483" s="38" t="s">
        <v>57</v>
      </c>
      <c r="D483" s="38"/>
      <c r="E483" s="38" t="s">
        <v>58</v>
      </c>
      <c r="F483" s="39" t="n">
        <v>38</v>
      </c>
      <c r="G483" s="39" t="n">
        <v>39</v>
      </c>
      <c r="H483" s="40" t="n">
        <v>25257.96</v>
      </c>
      <c r="I483" s="40" t="n">
        <v>-161.14</v>
      </c>
      <c r="J483" s="40" t="n">
        <v>-1986</v>
      </c>
      <c r="K483" s="41" t="n">
        <f aca="false">H483+I483+J483</f>
        <v>23110.82</v>
      </c>
      <c r="L483" s="42" t="n">
        <f aca="false">IF($K$1282=0,0,K483/$K$1282)</f>
        <v>0.00191446422345055</v>
      </c>
      <c r="M483" s="43" t="n">
        <f aca="false">IF(F483&lt;=0,0,K483/F483)</f>
        <v>608.179473684211</v>
      </c>
      <c r="N483" s="40" t="n">
        <v>699.99</v>
      </c>
      <c r="O483" s="44" t="n">
        <v>10.8</v>
      </c>
      <c r="P483" s="43" t="n">
        <f aca="false">O483*'Price Groups'!$B$5</f>
        <v>243</v>
      </c>
      <c r="Q483" s="45" t="n">
        <f aca="false">IF(OR(N483="",P483=""),"",(N483-P483)/N483)</f>
        <v>0.652852183602623</v>
      </c>
      <c r="R483" s="46" t="n">
        <v>3</v>
      </c>
      <c r="S483" s="47" t="n">
        <f aca="false">IF(R483="-",0,IFERROR(VLOOKUP(R483,'Price Groups'!$A$13:$C$17,3,FALSE()),0))</f>
        <v>0.16</v>
      </c>
      <c r="T483" s="41" t="n">
        <f aca="false">IF(OR(N483="",R483="-"),"",CEILING(ROUND(N483*(1+S483),2),IF(N483*(1+S483)&lt;100,0.5,IF(N483*(1+S483)&lt;1000,1,5))))</f>
        <v>812</v>
      </c>
      <c r="U483" s="45" t="n">
        <f aca="false">IF(OR(T483="",P483=""),"",(T483-P483)/T483)</f>
        <v>0.700738916256158</v>
      </c>
      <c r="V483" s="45" t="n">
        <f aca="false">IF(T483="",0,T483/N483-1)</f>
        <v>0.160016571665309</v>
      </c>
      <c r="W483" s="38" t="s">
        <v>107</v>
      </c>
    </row>
    <row r="484" customFormat="false" ht="15" hidden="false" customHeight="false" outlineLevel="0" collapsed="false">
      <c r="A484" s="19" t="n">
        <v>433</v>
      </c>
      <c r="B484" s="19" t="s">
        <v>637</v>
      </c>
      <c r="C484" s="19" t="s">
        <v>57</v>
      </c>
      <c r="D484" s="19"/>
      <c r="E484" s="19" t="s">
        <v>58</v>
      </c>
      <c r="F484" s="20" t="n">
        <v>38</v>
      </c>
      <c r="G484" s="20" t="n">
        <v>36</v>
      </c>
      <c r="H484" s="21" t="n">
        <v>29063.01</v>
      </c>
      <c r="I484" s="21" t="n">
        <v>-147.98</v>
      </c>
      <c r="J484" s="21" t="n">
        <v>-2780.97</v>
      </c>
      <c r="K484" s="22" t="n">
        <f aca="false">H484+I484+J484</f>
        <v>26134.06</v>
      </c>
      <c r="L484" s="23" t="n">
        <f aca="false">IF($K$1282=0,0,K484/$K$1282)</f>
        <v>0.00216490470193226</v>
      </c>
      <c r="M484" s="24" t="n">
        <f aca="false">IF(F484&lt;=0,0,K484/F484)</f>
        <v>687.738421052632</v>
      </c>
      <c r="N484" s="21" t="n">
        <v>280</v>
      </c>
      <c r="O484" s="49" t="n">
        <v>1.66</v>
      </c>
      <c r="P484" s="24" t="n">
        <f aca="false">O484*'Price Groups'!$B$5</f>
        <v>37.35</v>
      </c>
      <c r="Q484" s="26" t="n">
        <f aca="false">IF(OR(N484="",P484=""),"",(N484-P484)/N484)</f>
        <v>0.866607142857143</v>
      </c>
      <c r="R484" s="27" t="n">
        <v>3</v>
      </c>
      <c r="S484" s="28" t="n">
        <f aca="false">IF(R484="-",0,IFERROR(VLOOKUP(R484,'Price Groups'!$A$13:$C$17,3,FALSE()),0))</f>
        <v>0.16</v>
      </c>
      <c r="T484" s="22" t="n">
        <f aca="false">IF(OR(N484="",R484="-"),"",CEILING(ROUND(N484*(1+S484),2),IF(N484*(1+S484)&lt;100,0.5,IF(N484*(1+S484)&lt;1000,1,5))))</f>
        <v>325</v>
      </c>
      <c r="U484" s="26" t="n">
        <f aca="false">IF(OR(T484="",P484=""),"",(T484-P484)/T484)</f>
        <v>0.885076923076923</v>
      </c>
      <c r="V484" s="26" t="n">
        <f aca="false">IF(T484="",0,T484/N484-1)</f>
        <v>0.160714285714286</v>
      </c>
      <c r="W484" s="19" t="s">
        <v>107</v>
      </c>
    </row>
    <row r="485" customFormat="false" ht="15" hidden="false" customHeight="false" outlineLevel="0" collapsed="false">
      <c r="A485" s="38" t="n">
        <v>434</v>
      </c>
      <c r="B485" s="38" t="s">
        <v>638</v>
      </c>
      <c r="C485" s="38" t="s">
        <v>57</v>
      </c>
      <c r="D485" s="38"/>
      <c r="E485" s="38" t="s">
        <v>58</v>
      </c>
      <c r="F485" s="39" t="n">
        <v>38</v>
      </c>
      <c r="G485" s="39" t="n">
        <v>16</v>
      </c>
      <c r="H485" s="40" t="n">
        <v>2873</v>
      </c>
      <c r="I485" s="40" t="n">
        <v>-9.52</v>
      </c>
      <c r="J485" s="40" t="n">
        <v>-79</v>
      </c>
      <c r="K485" s="41" t="n">
        <f aca="false">H485+I485+J485</f>
        <v>2784.48</v>
      </c>
      <c r="L485" s="42" t="n">
        <f aca="false">IF($K$1282=0,0,K485/$K$1282)</f>
        <v>0.000230661973089383</v>
      </c>
      <c r="M485" s="43" t="n">
        <f aca="false">IF(F485&lt;=0,0,K485/F485)</f>
        <v>73.2757894736842</v>
      </c>
      <c r="N485" s="40" t="n">
        <v>79</v>
      </c>
      <c r="O485" s="44" t="n">
        <v>1.55</v>
      </c>
      <c r="P485" s="43" t="n">
        <f aca="false">O485*'Price Groups'!$B$5</f>
        <v>34.875</v>
      </c>
      <c r="Q485" s="45" t="n">
        <f aca="false">IF(OR(N485="",P485=""),"",(N485-P485)/N485)</f>
        <v>0.558544303797468</v>
      </c>
      <c r="R485" s="46" t="n">
        <v>1</v>
      </c>
      <c r="S485" s="47" t="n">
        <f aca="false">IF(R485="-",0,IFERROR(VLOOKUP(R485,'Price Groups'!$A$13:$C$17,3,FALSE()),0))</f>
        <v>0.22</v>
      </c>
      <c r="T485" s="41" t="n">
        <f aca="false">IF(OR(N485="",R485="-"),"",CEILING(ROUND(N485*(1+S485),2),IF(N485*(1+S485)&lt;100,0.5,IF(N485*(1+S485)&lt;1000,1,5))))</f>
        <v>96.5</v>
      </c>
      <c r="U485" s="45" t="n">
        <f aca="false">IF(OR(T485="",P485=""),"",(T485-P485)/T485)</f>
        <v>0.63860103626943</v>
      </c>
      <c r="V485" s="45" t="n">
        <f aca="false">IF(T485="",0,T485/N485-1)</f>
        <v>0.221518987341772</v>
      </c>
      <c r="W485" s="38" t="s">
        <v>94</v>
      </c>
    </row>
    <row r="486" customFormat="false" ht="15" hidden="false" customHeight="false" outlineLevel="0" collapsed="false">
      <c r="A486" s="19" t="n">
        <v>435</v>
      </c>
      <c r="B486" s="19" t="s">
        <v>219</v>
      </c>
      <c r="C486" s="19" t="s">
        <v>307</v>
      </c>
      <c r="D486" s="19" t="s">
        <v>218</v>
      </c>
      <c r="E486" s="19" t="s">
        <v>58</v>
      </c>
      <c r="F486" s="20" t="n">
        <v>38</v>
      </c>
      <c r="G486" s="20" t="n">
        <v>35</v>
      </c>
      <c r="H486" s="21" t="n">
        <v>14711.9</v>
      </c>
      <c r="I486" s="21" t="n">
        <v>-36.6</v>
      </c>
      <c r="J486" s="21" t="n">
        <v>-1331.98</v>
      </c>
      <c r="K486" s="22" t="n">
        <f aca="false">H486+I486+J486</f>
        <v>13343.32</v>
      </c>
      <c r="L486" s="23" t="n">
        <f aca="false">IF($K$1282=0,0,K486/$K$1282)</f>
        <v>0.00110533978292645</v>
      </c>
      <c r="M486" s="24" t="n">
        <f aca="false">IF(F486&lt;=0,0,K486/F486)</f>
        <v>351.14</v>
      </c>
      <c r="N486" s="21" t="n">
        <v>366</v>
      </c>
      <c r="O486" s="49" t="n">
        <v>6.31</v>
      </c>
      <c r="P486" s="24" t="n">
        <f aca="false">O486*'Price Groups'!$B$5</f>
        <v>141.975</v>
      </c>
      <c r="Q486" s="26" t="n">
        <f aca="false">IF(OR(N486="",P486=""),"",(N486-P486)/N486)</f>
        <v>0.612090163934426</v>
      </c>
      <c r="R486" s="27" t="n">
        <v>3</v>
      </c>
      <c r="S486" s="28" t="n">
        <f aca="false">IF(R486="-",0,IFERROR(VLOOKUP(R486,'Price Groups'!$A$13:$C$17,3,FALSE()),0))</f>
        <v>0.16</v>
      </c>
      <c r="T486" s="22" t="n">
        <f aca="false">IF(OR(N486="",R486="-"),"",CEILING(ROUND(N486*(1+S486),2),IF(N486*(1+S486)&lt;100,0.5,IF(N486*(1+S486)&lt;1000,1,5))))</f>
        <v>425</v>
      </c>
      <c r="U486" s="26" t="n">
        <f aca="false">IF(OR(T486="",P486=""),"",(T486-P486)/T486)</f>
        <v>0.665941176470588</v>
      </c>
      <c r="V486" s="26" t="n">
        <f aca="false">IF(T486="",0,T486/N486-1)</f>
        <v>0.16120218579235</v>
      </c>
      <c r="W486" s="19" t="s">
        <v>639</v>
      </c>
    </row>
    <row r="487" customFormat="false" ht="15" hidden="false" customHeight="false" outlineLevel="0" collapsed="false">
      <c r="A487" s="38" t="n">
        <v>436</v>
      </c>
      <c r="B487" s="38" t="s">
        <v>640</v>
      </c>
      <c r="C487" s="38" t="s">
        <v>57</v>
      </c>
      <c r="D487" s="38"/>
      <c r="E487" s="38" t="s">
        <v>58</v>
      </c>
      <c r="F487" s="39" t="n">
        <v>38</v>
      </c>
      <c r="G487" s="39" t="n">
        <v>25</v>
      </c>
      <c r="H487" s="40" t="n">
        <v>1112.66</v>
      </c>
      <c r="I487" s="40" t="n">
        <v>-9.27</v>
      </c>
      <c r="J487" s="40" t="n">
        <v>-126</v>
      </c>
      <c r="K487" s="41" t="n">
        <f aca="false">H487+I487+J487</f>
        <v>977.39</v>
      </c>
      <c r="L487" s="42" t="n">
        <f aca="false">IF($K$1282=0,0,K487/$K$1282)</f>
        <v>8.09654606525572E-005</v>
      </c>
      <c r="M487" s="43" t="n">
        <f aca="false">IF(F487&lt;=0,0,K487/F487)</f>
        <v>25.7207894736842</v>
      </c>
      <c r="N487" s="40" t="n">
        <v>29.99</v>
      </c>
      <c r="O487" s="44" t="n">
        <v>0.65</v>
      </c>
      <c r="P487" s="43" t="n">
        <f aca="false">O487*'Price Groups'!$B$5</f>
        <v>14.625</v>
      </c>
      <c r="Q487" s="45" t="n">
        <f aca="false">IF(OR(N487="",P487=""),"",(N487-P487)/N487)</f>
        <v>0.512337445815272</v>
      </c>
      <c r="R487" s="46" t="n">
        <v>1</v>
      </c>
      <c r="S487" s="47" t="n">
        <f aca="false">IF(R487="-",0,IFERROR(VLOOKUP(R487,'Price Groups'!$A$13:$C$17,3,FALSE()),0))</f>
        <v>0.22</v>
      </c>
      <c r="T487" s="41" t="n">
        <f aca="false">IF(OR(N487="",R487="-"),"",CEILING(ROUND(N487*(1+S487),2),IF(N487*(1+S487)&lt;100,0.5,IF(N487*(1+S487)&lt;1000,1,5))))</f>
        <v>37</v>
      </c>
      <c r="U487" s="45" t="n">
        <f aca="false">IF(OR(T487="",P487=""),"",(T487-P487)/T487)</f>
        <v>0.60472972972973</v>
      </c>
      <c r="V487" s="45" t="n">
        <f aca="false">IF(T487="",0,T487/N487-1)</f>
        <v>0.233744581527176</v>
      </c>
      <c r="W487" s="38" t="s">
        <v>94</v>
      </c>
    </row>
    <row r="488" customFormat="false" ht="15" hidden="false" customHeight="false" outlineLevel="0" collapsed="false">
      <c r="A488" s="19" t="n">
        <v>437</v>
      </c>
      <c r="B488" s="19" t="s">
        <v>641</v>
      </c>
      <c r="C488" s="19" t="s">
        <v>57</v>
      </c>
      <c r="D488" s="19"/>
      <c r="E488" s="19" t="s">
        <v>58</v>
      </c>
      <c r="F488" s="20" t="n">
        <v>38</v>
      </c>
      <c r="G488" s="20" t="n">
        <v>25</v>
      </c>
      <c r="H488" s="21" t="n">
        <v>2019.57</v>
      </c>
      <c r="I488" s="21" t="n">
        <v>-50.99</v>
      </c>
      <c r="J488" s="21" t="n">
        <v>-209.95</v>
      </c>
      <c r="K488" s="22" t="n">
        <f aca="false">H488+I488+J488</f>
        <v>1758.63</v>
      </c>
      <c r="L488" s="23" t="n">
        <f aca="false">IF($K$1282=0,0,K488/$K$1282)</f>
        <v>0.000145682161744449</v>
      </c>
      <c r="M488" s="24" t="n">
        <f aca="false">IF(F488&lt;=0,0,K488/F488)</f>
        <v>46.2797368421053</v>
      </c>
      <c r="N488" s="21" t="n">
        <v>49.99</v>
      </c>
      <c r="O488" s="49" t="n">
        <v>0.95</v>
      </c>
      <c r="P488" s="24" t="n">
        <f aca="false">O488*'Price Groups'!$B$5</f>
        <v>21.375</v>
      </c>
      <c r="Q488" s="26" t="n">
        <f aca="false">IF(OR(N488="",P488=""),"",(N488-P488)/N488)</f>
        <v>0.572414482896579</v>
      </c>
      <c r="R488" s="27" t="n">
        <v>1</v>
      </c>
      <c r="S488" s="28" t="n">
        <f aca="false">IF(R488="-",0,IFERROR(VLOOKUP(R488,'Price Groups'!$A$13:$C$17,3,FALSE()),0))</f>
        <v>0.22</v>
      </c>
      <c r="T488" s="22" t="n">
        <f aca="false">IF(OR(N488="",R488="-"),"",CEILING(ROUND(N488*(1+S488),2),IF(N488*(1+S488)&lt;100,0.5,IF(N488*(1+S488)&lt;1000,1,5))))</f>
        <v>61</v>
      </c>
      <c r="U488" s="26" t="n">
        <f aca="false">IF(OR(T488="",P488=""),"",(T488-P488)/T488)</f>
        <v>0.649590163934426</v>
      </c>
      <c r="V488" s="26" t="n">
        <f aca="false">IF(T488="",0,T488/N488-1)</f>
        <v>0.220244048809762</v>
      </c>
      <c r="W488" s="19" t="s">
        <v>94</v>
      </c>
    </row>
    <row r="489" customFormat="false" ht="15" hidden="false" customHeight="false" outlineLevel="0" collapsed="false">
      <c r="A489" s="38" t="n">
        <v>438</v>
      </c>
      <c r="B489" s="38" t="s">
        <v>642</v>
      </c>
      <c r="C489" s="38" t="s">
        <v>57</v>
      </c>
      <c r="D489" s="38"/>
      <c r="E489" s="38" t="s">
        <v>58</v>
      </c>
      <c r="F489" s="39" t="n">
        <v>38</v>
      </c>
      <c r="G489" s="39" t="n">
        <v>17</v>
      </c>
      <c r="H489" s="40" t="n">
        <v>901.05</v>
      </c>
      <c r="I489" s="40" t="n">
        <v>-4.52</v>
      </c>
      <c r="J489" s="40" t="n">
        <v>-29.99</v>
      </c>
      <c r="K489" s="41" t="n">
        <f aca="false">H489+I489+J489</f>
        <v>866.54</v>
      </c>
      <c r="L489" s="42" t="n">
        <f aca="false">IF($K$1282=0,0,K489/$K$1282)</f>
        <v>7.17828198302284E-005</v>
      </c>
      <c r="M489" s="43" t="n">
        <f aca="false">IF(F489&lt;=0,0,K489/F489)</f>
        <v>22.8036842105263</v>
      </c>
      <c r="N489" s="40" t="n">
        <v>29.99</v>
      </c>
      <c r="O489" s="44" t="n">
        <v>0.47</v>
      </c>
      <c r="P489" s="43" t="n">
        <f aca="false">O489*'Price Groups'!$B$5</f>
        <v>10.575</v>
      </c>
      <c r="Q489" s="45" t="n">
        <f aca="false">IF(OR(N489="",P489=""),"",(N489-P489)/N489)</f>
        <v>0.647382460820273</v>
      </c>
      <c r="R489" s="46" t="n">
        <v>1</v>
      </c>
      <c r="S489" s="47" t="n">
        <f aca="false">IF(R489="-",0,IFERROR(VLOOKUP(R489,'Price Groups'!$A$13:$C$17,3,FALSE()),0))</f>
        <v>0.22</v>
      </c>
      <c r="T489" s="41" t="n">
        <f aca="false">IF(OR(N489="",R489="-"),"",CEILING(ROUND(N489*(1+S489),2),IF(N489*(1+S489)&lt;100,0.5,IF(N489*(1+S489)&lt;1000,1,5))))</f>
        <v>37</v>
      </c>
      <c r="U489" s="45" t="n">
        <f aca="false">IF(OR(T489="",P489=""),"",(T489-P489)/T489)</f>
        <v>0.714189189189189</v>
      </c>
      <c r="V489" s="45" t="n">
        <f aca="false">IF(T489="",0,T489/N489-1)</f>
        <v>0.233744581527176</v>
      </c>
      <c r="W489" s="38" t="s">
        <v>94</v>
      </c>
    </row>
    <row r="490" customFormat="false" ht="15" hidden="false" customHeight="false" outlineLevel="0" collapsed="false">
      <c r="A490" s="19" t="n">
        <v>439</v>
      </c>
      <c r="B490" s="19" t="s">
        <v>643</v>
      </c>
      <c r="C490" s="19" t="s">
        <v>57</v>
      </c>
      <c r="D490" s="19"/>
      <c r="E490" s="19" t="s">
        <v>58</v>
      </c>
      <c r="F490" s="20" t="n">
        <v>38</v>
      </c>
      <c r="G490" s="20" t="n">
        <v>18</v>
      </c>
      <c r="H490" s="21" t="n">
        <v>3433.52</v>
      </c>
      <c r="I490" s="21" t="n">
        <v>-72</v>
      </c>
      <c r="J490" s="21" t="n">
        <v>-90</v>
      </c>
      <c r="K490" s="22" t="n">
        <f aca="false">H490+I490+J490</f>
        <v>3271.52</v>
      </c>
      <c r="L490" s="23" t="n">
        <f aca="false">IF($K$1282=0,0,K490/$K$1282)</f>
        <v>0.00027100760580122</v>
      </c>
      <c r="M490" s="24" t="n">
        <f aca="false">IF(F490&lt;=0,0,K490/F490)</f>
        <v>86.0926315789474</v>
      </c>
      <c r="N490" s="21" t="n">
        <v>74.99</v>
      </c>
      <c r="O490" s="49" t="n">
        <v>2.83</v>
      </c>
      <c r="P490" s="24" t="n">
        <f aca="false">O490*'Price Groups'!$B$5</f>
        <v>63.675</v>
      </c>
      <c r="Q490" s="26" t="n">
        <f aca="false">IF(OR(N490="",P490=""),"",(N490-P490)/N490)</f>
        <v>0.150886784904654</v>
      </c>
      <c r="R490" s="27" t="n">
        <v>1</v>
      </c>
      <c r="S490" s="28" t="n">
        <f aca="false">IF(R490="-",0,IFERROR(VLOOKUP(R490,'Price Groups'!$A$13:$C$17,3,FALSE()),0))</f>
        <v>0.22</v>
      </c>
      <c r="T490" s="22" t="n">
        <f aca="false">IF(OR(N490="",R490="-"),"",CEILING(ROUND(N490*(1+S490),2),IF(N490*(1+S490)&lt;100,0.5,IF(N490*(1+S490)&lt;1000,1,5))))</f>
        <v>91.5</v>
      </c>
      <c r="U490" s="26" t="n">
        <f aca="false">IF(OR(T490="",P490=""),"",(T490-P490)/T490)</f>
        <v>0.304098360655738</v>
      </c>
      <c r="V490" s="26" t="n">
        <f aca="false">IF(T490="",0,T490/N490-1)</f>
        <v>0.220162688358448</v>
      </c>
      <c r="W490" s="19" t="s">
        <v>178</v>
      </c>
    </row>
    <row r="491" customFormat="false" ht="15" hidden="false" customHeight="false" outlineLevel="0" collapsed="false">
      <c r="A491" s="38" t="n">
        <v>440</v>
      </c>
      <c r="B491" s="38" t="s">
        <v>644</v>
      </c>
      <c r="C491" s="38" t="s">
        <v>57</v>
      </c>
      <c r="D491" s="38"/>
      <c r="E491" s="38" t="s">
        <v>58</v>
      </c>
      <c r="F491" s="39" t="n">
        <v>37</v>
      </c>
      <c r="G491" s="39" t="n">
        <v>33</v>
      </c>
      <c r="H491" s="40" t="n">
        <v>12401.98</v>
      </c>
      <c r="I491" s="40" t="n">
        <v>-14.1</v>
      </c>
      <c r="J491" s="40" t="n">
        <v>-1195</v>
      </c>
      <c r="K491" s="41" t="n">
        <f aca="false">H491+I491+J491</f>
        <v>11192.88</v>
      </c>
      <c r="L491" s="42" t="n">
        <f aca="false">IF($K$1282=0,0,K491/$K$1282)</f>
        <v>0.000927200692895154</v>
      </c>
      <c r="M491" s="43" t="n">
        <f aca="false">IF(F491&lt;=0,0,K491/F491)</f>
        <v>302.51027027027</v>
      </c>
      <c r="N491" s="40" t="n">
        <v>282</v>
      </c>
      <c r="O491" s="44" t="n">
        <v>8.8</v>
      </c>
      <c r="P491" s="43" t="n">
        <f aca="false">O491*'Price Groups'!$B$5</f>
        <v>198</v>
      </c>
      <c r="Q491" s="45" t="n">
        <f aca="false">IF(OR(N491="",P491=""),"",(N491-P491)/N491)</f>
        <v>0.297872340425532</v>
      </c>
      <c r="R491" s="46" t="n">
        <v>2</v>
      </c>
      <c r="S491" s="47" t="n">
        <f aca="false">IF(R491="-",0,IFERROR(VLOOKUP(R491,'Price Groups'!$A$13:$C$17,3,FALSE()),0))</f>
        <v>0.18</v>
      </c>
      <c r="T491" s="41" t="n">
        <f aca="false">IF(OR(N491="",R491="-"),"",CEILING(ROUND(N491*(1+S491),2),IF(N491*(1+S491)&lt;100,0.5,IF(N491*(1+S491)&lt;1000,1,5))))</f>
        <v>333</v>
      </c>
      <c r="U491" s="45" t="n">
        <f aca="false">IF(OR(T491="",P491=""),"",(T491-P491)/T491)</f>
        <v>0.405405405405405</v>
      </c>
      <c r="V491" s="45" t="n">
        <f aca="false">IF(T491="",0,T491/N491-1)</f>
        <v>0.180851063829787</v>
      </c>
      <c r="W491" s="38" t="s">
        <v>381</v>
      </c>
    </row>
    <row r="492" customFormat="false" ht="15" hidden="false" customHeight="false" outlineLevel="0" collapsed="false">
      <c r="A492" s="19" t="n">
        <v>441</v>
      </c>
      <c r="B492" s="19" t="s">
        <v>645</v>
      </c>
      <c r="C492" s="19" t="s">
        <v>57</v>
      </c>
      <c r="D492" s="19"/>
      <c r="E492" s="19" t="s">
        <v>58</v>
      </c>
      <c r="F492" s="20" t="n">
        <v>37</v>
      </c>
      <c r="G492" s="20" t="n">
        <v>22</v>
      </c>
      <c r="H492" s="21" t="n">
        <v>739.63</v>
      </c>
      <c r="I492" s="21" t="n">
        <v>-0.05</v>
      </c>
      <c r="J492" s="21" t="n">
        <v>0</v>
      </c>
      <c r="K492" s="22" t="n">
        <f aca="false">H492+I492+J492</f>
        <v>739.58</v>
      </c>
      <c r="L492" s="23" t="n">
        <f aca="false">IF($K$1282=0,0,K492/$K$1282)</f>
        <v>6.12656517760753E-005</v>
      </c>
      <c r="M492" s="24" t="n">
        <f aca="false">IF(F492&lt;=0,0,K492/F492)</f>
        <v>19.9886486486487</v>
      </c>
      <c r="N492" s="21" t="n">
        <v>19.99</v>
      </c>
      <c r="O492" s="49" t="n">
        <v>0.3</v>
      </c>
      <c r="P492" s="24" t="n">
        <f aca="false">O492*'Price Groups'!$B$5</f>
        <v>6.75</v>
      </c>
      <c r="Q492" s="26" t="n">
        <f aca="false">IF(OR(N492="",P492=""),"",(N492-P492)/N492)</f>
        <v>0.662331165582791</v>
      </c>
      <c r="R492" s="27" t="n">
        <v>1</v>
      </c>
      <c r="S492" s="28" t="n">
        <f aca="false">IF(R492="-",0,IFERROR(VLOOKUP(R492,'Price Groups'!$A$13:$C$17,3,FALSE()),0))</f>
        <v>0.22</v>
      </c>
      <c r="T492" s="22" t="n">
        <f aca="false">IF(OR(N492="",R492="-"),"",CEILING(ROUND(N492*(1+S492),2),IF(N492*(1+S492)&lt;100,0.5,IF(N492*(1+S492)&lt;1000,1,5))))</f>
        <v>24.5</v>
      </c>
      <c r="U492" s="26" t="n">
        <f aca="false">IF(OR(T492="",P492=""),"",(T492-P492)/T492)</f>
        <v>0.724489795918367</v>
      </c>
      <c r="V492" s="26" t="n">
        <f aca="false">IF(T492="",0,T492/N492-1)</f>
        <v>0.225612806403202</v>
      </c>
      <c r="W492" s="19" t="s">
        <v>94</v>
      </c>
    </row>
    <row r="493" customFormat="false" ht="15" hidden="false" customHeight="false" outlineLevel="0" collapsed="false">
      <c r="A493" s="38" t="n">
        <v>442</v>
      </c>
      <c r="B493" s="38" t="s">
        <v>646</v>
      </c>
      <c r="C493" s="38" t="s">
        <v>57</v>
      </c>
      <c r="D493" s="38"/>
      <c r="E493" s="38" t="s">
        <v>58</v>
      </c>
      <c r="F493" s="39" t="n">
        <v>37</v>
      </c>
      <c r="G493" s="39" t="n">
        <v>32</v>
      </c>
      <c r="H493" s="40" t="n">
        <v>38087</v>
      </c>
      <c r="I493" s="40" t="n">
        <v>-619.9</v>
      </c>
      <c r="J493" s="40" t="n">
        <v>-3649</v>
      </c>
      <c r="K493" s="41" t="n">
        <f aca="false">H493+I493+J493</f>
        <v>33818.1</v>
      </c>
      <c r="L493" s="42" t="n">
        <f aca="false">IF($K$1282=0,0,K493/$K$1282)</f>
        <v>0.0028014385709842</v>
      </c>
      <c r="M493" s="43" t="n">
        <f aca="false">IF(F493&lt;=0,0,K493/F493)</f>
        <v>914.002702702703</v>
      </c>
      <c r="N493" s="40" t="n">
        <v>850</v>
      </c>
      <c r="O493" s="44" t="n">
        <v>24.78</v>
      </c>
      <c r="P493" s="43" t="n">
        <f aca="false">O493*'Price Groups'!$B$5</f>
        <v>557.55</v>
      </c>
      <c r="Q493" s="45" t="n">
        <f aca="false">IF(OR(N493="",P493=""),"",(N493-P493)/N493)</f>
        <v>0.344058823529412</v>
      </c>
      <c r="R493" s="46" t="n">
        <v>2</v>
      </c>
      <c r="S493" s="47" t="n">
        <f aca="false">IF(R493="-",0,IFERROR(VLOOKUP(R493,'Price Groups'!$A$13:$C$17,3,FALSE()),0))</f>
        <v>0.18</v>
      </c>
      <c r="T493" s="41" t="n">
        <f aca="false">IF(OR(N493="",R493="-"),"",CEILING(ROUND(N493*(1+S493),2),IF(N493*(1+S493)&lt;100,0.5,IF(N493*(1+S493)&lt;1000,1,5))))</f>
        <v>1005</v>
      </c>
      <c r="U493" s="45" t="n">
        <f aca="false">IF(OR(T493="",P493=""),"",(T493-P493)/T493)</f>
        <v>0.445223880597015</v>
      </c>
      <c r="V493" s="45" t="n">
        <f aca="false">IF(T493="",0,T493/N493-1)</f>
        <v>0.182352941176471</v>
      </c>
      <c r="W493" s="38" t="s">
        <v>159</v>
      </c>
    </row>
    <row r="494" customFormat="false" ht="15" hidden="false" customHeight="false" outlineLevel="0" collapsed="false">
      <c r="A494" s="19" t="n">
        <v>443</v>
      </c>
      <c r="B494" s="19" t="s">
        <v>647</v>
      </c>
      <c r="C494" s="19" t="s">
        <v>57</v>
      </c>
      <c r="D494" s="19"/>
      <c r="E494" s="19" t="s">
        <v>58</v>
      </c>
      <c r="F494" s="20" t="n">
        <v>37</v>
      </c>
      <c r="G494" s="20" t="n">
        <v>25</v>
      </c>
      <c r="H494" s="21" t="n">
        <v>679.15</v>
      </c>
      <c r="I494" s="21" t="n">
        <v>-3.8</v>
      </c>
      <c r="J494" s="21" t="n">
        <v>-46.22</v>
      </c>
      <c r="K494" s="22" t="n">
        <f aca="false">H494+I494+J494</f>
        <v>629.13</v>
      </c>
      <c r="L494" s="23" t="n">
        <f aca="false">IF($K$1282=0,0,K494/$K$1282)</f>
        <v>5.21161463288384E-005</v>
      </c>
      <c r="M494" s="24" t="n">
        <f aca="false">IF(F494&lt;=0,0,K494/F494)</f>
        <v>17.0035135135135</v>
      </c>
      <c r="N494" s="21" t="n">
        <v>13.61</v>
      </c>
      <c r="O494" s="49" t="n">
        <v>0.46</v>
      </c>
      <c r="P494" s="24" t="n">
        <f aca="false">O494*'Price Groups'!$B$5</f>
        <v>10.35</v>
      </c>
      <c r="Q494" s="26" t="n">
        <f aca="false">IF(OR(N494="",P494=""),"",(N494-P494)/N494)</f>
        <v>0.239529757531227</v>
      </c>
      <c r="R494" s="27" t="n">
        <v>1</v>
      </c>
      <c r="S494" s="28" t="n">
        <f aca="false">IF(R494="-",0,IFERROR(VLOOKUP(R494,'Price Groups'!$A$13:$C$17,3,FALSE()),0))</f>
        <v>0.22</v>
      </c>
      <c r="T494" s="22" t="n">
        <f aca="false">IF(OR(N494="",R494="-"),"",CEILING(ROUND(N494*(1+S494),2),IF(N494*(1+S494)&lt;100,0.5,IF(N494*(1+S494)&lt;1000,1,5))))</f>
        <v>17</v>
      </c>
      <c r="U494" s="26" t="n">
        <f aca="false">IF(OR(T494="",P494=""),"",(T494-P494)/T494)</f>
        <v>0.391176470588235</v>
      </c>
      <c r="V494" s="26" t="n">
        <f aca="false">IF(T494="",0,T494/N494-1)</f>
        <v>0.249081557678178</v>
      </c>
      <c r="W494" s="19" t="s">
        <v>244</v>
      </c>
    </row>
    <row r="495" customFormat="false" ht="15" hidden="false" customHeight="false" outlineLevel="0" collapsed="false">
      <c r="A495" s="38" t="n">
        <v>444</v>
      </c>
      <c r="B495" s="38" t="s">
        <v>648</v>
      </c>
      <c r="C495" s="38" t="s">
        <v>57</v>
      </c>
      <c r="D495" s="38"/>
      <c r="E495" s="38" t="s">
        <v>58</v>
      </c>
      <c r="F495" s="39" t="n">
        <v>37</v>
      </c>
      <c r="G495" s="39" t="n">
        <v>15</v>
      </c>
      <c r="H495" s="40" t="n">
        <v>722.19</v>
      </c>
      <c r="I495" s="40" t="n">
        <v>-1.59</v>
      </c>
      <c r="J495" s="40" t="n">
        <v>-15.67</v>
      </c>
      <c r="K495" s="41" t="n">
        <f aca="false">H495+I495+J495</f>
        <v>704.93</v>
      </c>
      <c r="L495" s="42" t="n">
        <f aca="false">IF($K$1282=0,0,K495/$K$1282)</f>
        <v>5.83952999087439E-005</v>
      </c>
      <c r="M495" s="43" t="n">
        <f aca="false">IF(F495&lt;=0,0,K495/F495)</f>
        <v>19.0521621621622</v>
      </c>
      <c r="N495" s="40" t="n">
        <v>15.67</v>
      </c>
      <c r="O495" s="44" t="n">
        <v>0.53</v>
      </c>
      <c r="P495" s="43" t="n">
        <f aca="false">O495*'Price Groups'!$B$5</f>
        <v>11.925</v>
      </c>
      <c r="Q495" s="45" t="n">
        <f aca="false">IF(OR(N495="",P495=""),"",(N495-P495)/N495)</f>
        <v>0.238991703892789</v>
      </c>
      <c r="R495" s="46" t="n">
        <v>1</v>
      </c>
      <c r="S495" s="47" t="n">
        <f aca="false">IF(R495="-",0,IFERROR(VLOOKUP(R495,'Price Groups'!$A$13:$C$17,3,FALSE()),0))</f>
        <v>0.22</v>
      </c>
      <c r="T495" s="41" t="n">
        <f aca="false">IF(OR(N495="",R495="-"),"",CEILING(ROUND(N495*(1+S495),2),IF(N495*(1+S495)&lt;100,0.5,IF(N495*(1+S495)&lt;1000,1,5))))</f>
        <v>19.5</v>
      </c>
      <c r="U495" s="45" t="n">
        <f aca="false">IF(OR(T495="",P495=""),"",(T495-P495)/T495)</f>
        <v>0.388461538461538</v>
      </c>
      <c r="V495" s="45" t="n">
        <f aca="false">IF(T495="",0,T495/N495-1)</f>
        <v>0.244416081684748</v>
      </c>
      <c r="W495" s="38" t="s">
        <v>244</v>
      </c>
    </row>
    <row r="496" customFormat="false" ht="15" hidden="false" customHeight="false" outlineLevel="0" collapsed="false">
      <c r="A496" s="19" t="n">
        <v>445</v>
      </c>
      <c r="B496" s="19" t="s">
        <v>649</v>
      </c>
      <c r="C496" s="19" t="s">
        <v>57</v>
      </c>
      <c r="D496" s="19"/>
      <c r="E496" s="19" t="s">
        <v>58</v>
      </c>
      <c r="F496" s="20" t="n">
        <v>37</v>
      </c>
      <c r="G496" s="20" t="n">
        <v>37</v>
      </c>
      <c r="H496" s="21" t="n">
        <v>7604.9</v>
      </c>
      <c r="I496" s="21" t="n">
        <v>-38.82</v>
      </c>
      <c r="J496" s="21" t="n">
        <v>-1039.98</v>
      </c>
      <c r="K496" s="22" t="n">
        <f aca="false">H496+I496+J496</f>
        <v>6526.1</v>
      </c>
      <c r="L496" s="23" t="n">
        <f aca="false">IF($K$1282=0,0,K496/$K$1282)</f>
        <v>0.000540611928467299</v>
      </c>
      <c r="M496" s="24" t="n">
        <f aca="false">IF(F496&lt;=0,0,K496/F496)</f>
        <v>176.381081081081</v>
      </c>
      <c r="N496" s="21" t="n">
        <v>149.99</v>
      </c>
      <c r="O496" s="49" t="n">
        <v>4.13</v>
      </c>
      <c r="P496" s="24" t="n">
        <f aca="false">O496*'Price Groups'!$B$5</f>
        <v>92.925</v>
      </c>
      <c r="Q496" s="26" t="n">
        <f aca="false">IF(OR(N496="",P496=""),"",(N496-P496)/N496)</f>
        <v>0.380458697246483</v>
      </c>
      <c r="R496" s="27" t="n">
        <v>1</v>
      </c>
      <c r="S496" s="28" t="n">
        <f aca="false">IF(R496="-",0,IFERROR(VLOOKUP(R496,'Price Groups'!$A$13:$C$17,3,FALSE()),0))</f>
        <v>0.22</v>
      </c>
      <c r="T496" s="22" t="n">
        <f aca="false">IF(OR(N496="",R496="-"),"",CEILING(ROUND(N496*(1+S496),2),IF(N496*(1+S496)&lt;100,0.5,IF(N496*(1+S496)&lt;1000,1,5))))</f>
        <v>183</v>
      </c>
      <c r="U496" s="26" t="n">
        <f aca="false">IF(OR(T496="",P496=""),"",(T496-P496)/T496)</f>
        <v>0.492213114754098</v>
      </c>
      <c r="V496" s="26" t="n">
        <f aca="false">IF(T496="",0,T496/N496-1)</f>
        <v>0.220081338755917</v>
      </c>
      <c r="W496" s="19" t="s">
        <v>94</v>
      </c>
    </row>
    <row r="497" customFormat="false" ht="15" hidden="false" customHeight="false" outlineLevel="0" collapsed="false">
      <c r="A497" s="38" t="n">
        <v>446</v>
      </c>
      <c r="B497" s="38" t="s">
        <v>650</v>
      </c>
      <c r="C497" s="38" t="s">
        <v>57</v>
      </c>
      <c r="D497" s="38"/>
      <c r="E497" s="38" t="s">
        <v>58</v>
      </c>
      <c r="F497" s="39" t="n">
        <v>36</v>
      </c>
      <c r="G497" s="39" t="n">
        <v>37</v>
      </c>
      <c r="H497" s="40" t="n">
        <v>15474.59</v>
      </c>
      <c r="I497" s="40" t="n">
        <v>-120.17</v>
      </c>
      <c r="J497" s="40" t="n">
        <v>-1963.25</v>
      </c>
      <c r="K497" s="41" t="n">
        <f aca="false">H497+I497+J497</f>
        <v>13391.17</v>
      </c>
      <c r="L497" s="42" t="n">
        <f aca="false">IF($K$1282=0,0,K497/$K$1282)</f>
        <v>0.00110930360217181</v>
      </c>
      <c r="M497" s="43" t="n">
        <f aca="false">IF(F497&lt;=0,0,K497/F497)</f>
        <v>371.976944444444</v>
      </c>
      <c r="N497" s="40" t="n">
        <v>404.99</v>
      </c>
      <c r="O497" s="44" t="n">
        <v>17.5</v>
      </c>
      <c r="P497" s="43" t="n">
        <f aca="false">O497*'Price Groups'!$B$5</f>
        <v>393.75</v>
      </c>
      <c r="Q497" s="45" t="n">
        <f aca="false">IF(OR(N497="",P497=""),"",(N497-P497)/N497)</f>
        <v>0.0277537716980666</v>
      </c>
      <c r="R497" s="46" t="n">
        <v>1</v>
      </c>
      <c r="S497" s="47" t="n">
        <f aca="false">IF(R497="-",0,IFERROR(VLOOKUP(R497,'Price Groups'!$A$13:$C$17,3,FALSE()),0))</f>
        <v>0.22</v>
      </c>
      <c r="T497" s="41" t="n">
        <f aca="false">IF(OR(N497="",R497="-"),"",CEILING(ROUND(N497*(1+S497),2),IF(N497*(1+S497)&lt;100,0.5,IF(N497*(1+S497)&lt;1000,1,5))))</f>
        <v>495</v>
      </c>
      <c r="U497" s="45" t="n">
        <f aca="false">IF(OR(T497="",P497=""),"",(T497-P497)/T497)</f>
        <v>0.204545454545455</v>
      </c>
      <c r="V497" s="45" t="n">
        <f aca="false">IF(T497="",0,T497/N497-1)</f>
        <v>0.222252401293859</v>
      </c>
      <c r="W497" s="38" t="s">
        <v>357</v>
      </c>
    </row>
    <row r="498" customFormat="false" ht="15" hidden="false" customHeight="false" outlineLevel="0" collapsed="false">
      <c r="A498" s="19" t="n">
        <v>447</v>
      </c>
      <c r="B498" s="19" t="s">
        <v>651</v>
      </c>
      <c r="C498" s="19" t="s">
        <v>57</v>
      </c>
      <c r="D498" s="19"/>
      <c r="E498" s="19" t="s">
        <v>58</v>
      </c>
      <c r="F498" s="20" t="n">
        <v>36</v>
      </c>
      <c r="G498" s="20" t="n">
        <v>20</v>
      </c>
      <c r="H498" s="21" t="n">
        <v>4031.61</v>
      </c>
      <c r="I498" s="21" t="n">
        <v>-30.57</v>
      </c>
      <c r="J498" s="21" t="n">
        <v>-299.97</v>
      </c>
      <c r="K498" s="22" t="n">
        <f aca="false">H498+I498+J498</f>
        <v>3701.07</v>
      </c>
      <c r="L498" s="23" t="n">
        <f aca="false">IF($K$1282=0,0,K498/$K$1282)</f>
        <v>0.00030659085672798</v>
      </c>
      <c r="M498" s="24" t="n">
        <f aca="false">IF(F498&lt;=0,0,K498/F498)</f>
        <v>102.8075</v>
      </c>
      <c r="N498" s="21" t="n">
        <v>105.99</v>
      </c>
      <c r="O498" s="49" t="n">
        <v>2.11</v>
      </c>
      <c r="P498" s="24" t="n">
        <f aca="false">O498*'Price Groups'!$B$5</f>
        <v>47.475</v>
      </c>
      <c r="Q498" s="26" t="n">
        <f aca="false">IF(OR(N498="",P498=""),"",(N498-P498)/N498)</f>
        <v>0.552080384941976</v>
      </c>
      <c r="R498" s="27" t="n">
        <v>1</v>
      </c>
      <c r="S498" s="28" t="n">
        <f aca="false">IF(R498="-",0,IFERROR(VLOOKUP(R498,'Price Groups'!$A$13:$C$17,3,FALSE()),0))</f>
        <v>0.22</v>
      </c>
      <c r="T498" s="22" t="n">
        <f aca="false">IF(OR(N498="",R498="-"),"",CEILING(ROUND(N498*(1+S498),2),IF(N498*(1+S498)&lt;100,0.5,IF(N498*(1+S498)&lt;1000,1,5))))</f>
        <v>130</v>
      </c>
      <c r="U498" s="26" t="n">
        <f aca="false">IF(OR(T498="",P498=""),"",(T498-P498)/T498)</f>
        <v>0.634807692307692</v>
      </c>
      <c r="V498" s="26" t="n">
        <f aca="false">IF(T498="",0,T498/N498-1)</f>
        <v>0.226530804792905</v>
      </c>
      <c r="W498" s="19" t="s">
        <v>94</v>
      </c>
    </row>
    <row r="499" customFormat="false" ht="15" hidden="false" customHeight="false" outlineLevel="0" collapsed="false">
      <c r="A499" s="38" t="n">
        <v>448</v>
      </c>
      <c r="B499" s="38" t="s">
        <v>652</v>
      </c>
      <c r="C499" s="38" t="s">
        <v>57</v>
      </c>
      <c r="D499" s="38"/>
      <c r="E499" s="38" t="s">
        <v>58</v>
      </c>
      <c r="F499" s="39" t="n">
        <v>36</v>
      </c>
      <c r="G499" s="39" t="n">
        <v>15</v>
      </c>
      <c r="H499" s="40" t="n">
        <v>607.29</v>
      </c>
      <c r="I499" s="40" t="n">
        <v>-12.91</v>
      </c>
      <c r="J499" s="40" t="n">
        <v>-36.23</v>
      </c>
      <c r="K499" s="41" t="n">
        <f aca="false">H499+I499+J499</f>
        <v>558.15</v>
      </c>
      <c r="L499" s="42" t="n">
        <f aca="false">IF($K$1282=0,0,K499/$K$1282)</f>
        <v>4.62362740187896E-005</v>
      </c>
      <c r="M499" s="43" t="n">
        <f aca="false">IF(F499&lt;=0,0,K499/F499)</f>
        <v>15.5041666666667</v>
      </c>
      <c r="N499" s="40" t="n">
        <v>12.13</v>
      </c>
      <c r="O499" s="44" t="n">
        <v>0.41</v>
      </c>
      <c r="P499" s="43" t="n">
        <f aca="false">O499*'Price Groups'!$B$5</f>
        <v>9.225</v>
      </c>
      <c r="Q499" s="45" t="n">
        <f aca="false">IF(OR(N499="",P499=""),"",(N499-P499)/N499)</f>
        <v>0.239488870568838</v>
      </c>
      <c r="R499" s="46" t="n">
        <v>1</v>
      </c>
      <c r="S499" s="47" t="n">
        <f aca="false">IF(R499="-",0,IFERROR(VLOOKUP(R499,'Price Groups'!$A$13:$C$17,3,FALSE()),0))</f>
        <v>0.22</v>
      </c>
      <c r="T499" s="41" t="n">
        <f aca="false">IF(OR(N499="",R499="-"),"",CEILING(ROUND(N499*(1+S499),2),IF(N499*(1+S499)&lt;100,0.5,IF(N499*(1+S499)&lt;1000,1,5))))</f>
        <v>15</v>
      </c>
      <c r="U499" s="45" t="n">
        <f aca="false">IF(OR(T499="",P499=""),"",(T499-P499)/T499)</f>
        <v>0.385</v>
      </c>
      <c r="V499" s="45" t="n">
        <f aca="false">IF(T499="",0,T499/N499-1)</f>
        <v>0.236603462489695</v>
      </c>
      <c r="W499" s="38" t="s">
        <v>244</v>
      </c>
    </row>
    <row r="500" customFormat="false" ht="15" hidden="false" customHeight="false" outlineLevel="0" collapsed="false">
      <c r="A500" s="19" t="n">
        <v>449</v>
      </c>
      <c r="B500" s="19" t="s">
        <v>187</v>
      </c>
      <c r="C500" s="19" t="s">
        <v>307</v>
      </c>
      <c r="D500" s="19" t="s">
        <v>186</v>
      </c>
      <c r="E500" s="19" t="s">
        <v>58</v>
      </c>
      <c r="F500" s="20" t="n">
        <v>36</v>
      </c>
      <c r="G500" s="20" t="n">
        <v>37</v>
      </c>
      <c r="H500" s="21" t="n">
        <v>21538</v>
      </c>
      <c r="I500" s="21" t="n">
        <v>-120</v>
      </c>
      <c r="J500" s="21" t="n">
        <v>-4016</v>
      </c>
      <c r="K500" s="22" t="n">
        <f aca="false">H500+I500+J500</f>
        <v>17402</v>
      </c>
      <c r="L500" s="23" t="n">
        <f aca="false">IF($K$1282=0,0,K500/$K$1282)</f>
        <v>0.00144155449337092</v>
      </c>
      <c r="M500" s="24" t="n">
        <f aca="false">IF(F500&lt;=0,0,K500/F500)</f>
        <v>483.388888888889</v>
      </c>
      <c r="N500" s="21" t="n">
        <v>640</v>
      </c>
      <c r="O500" s="49" t="n">
        <v>12.9</v>
      </c>
      <c r="P500" s="24" t="n">
        <f aca="false">O500*'Price Groups'!$B$5</f>
        <v>290.25</v>
      </c>
      <c r="Q500" s="26" t="n">
        <f aca="false">IF(OR(N500="",P500=""),"",(N500-P500)/N500)</f>
        <v>0.546484375</v>
      </c>
      <c r="R500" s="27" t="n">
        <v>3</v>
      </c>
      <c r="S500" s="28" t="n">
        <f aca="false">IF(R500="-",0,IFERROR(VLOOKUP(R500,'Price Groups'!$A$13:$C$17,3,FALSE()),0))</f>
        <v>0.16</v>
      </c>
      <c r="T500" s="22" t="n">
        <f aca="false">IF(OR(N500="",R500="-"),"",CEILING(ROUND(N500*(1+S500),2),IF(N500*(1+S500)&lt;100,0.5,IF(N500*(1+S500)&lt;1000,1,5))))</f>
        <v>743</v>
      </c>
      <c r="U500" s="26" t="n">
        <f aca="false">IF(OR(T500="",P500=""),"",(T500-P500)/T500)</f>
        <v>0.60935397039031</v>
      </c>
      <c r="V500" s="26" t="n">
        <f aca="false">IF(T500="",0,T500/N500-1)</f>
        <v>0.1609375</v>
      </c>
      <c r="W500" s="19" t="s">
        <v>653</v>
      </c>
    </row>
    <row r="501" customFormat="false" ht="15" hidden="false" customHeight="false" outlineLevel="0" collapsed="false">
      <c r="A501" s="38" t="n">
        <v>450</v>
      </c>
      <c r="B501" s="38" t="s">
        <v>654</v>
      </c>
      <c r="C501" s="38" t="s">
        <v>57</v>
      </c>
      <c r="D501" s="38"/>
      <c r="E501" s="38" t="s">
        <v>58</v>
      </c>
      <c r="F501" s="39" t="n">
        <v>36</v>
      </c>
      <c r="G501" s="39" t="n">
        <v>30</v>
      </c>
      <c r="H501" s="40" t="n">
        <v>39641.85</v>
      </c>
      <c r="I501" s="40" t="n">
        <v>-250.03</v>
      </c>
      <c r="J501" s="40" t="n">
        <v>-2143.05</v>
      </c>
      <c r="K501" s="41" t="n">
        <f aca="false">H501+I501+J501</f>
        <v>37248.77</v>
      </c>
      <c r="L501" s="42" t="n">
        <f aca="false">IF($K$1282=0,0,K501/$K$1282)</f>
        <v>0.00308562991415009</v>
      </c>
      <c r="M501" s="43" t="n">
        <f aca="false">IF(F501&lt;=0,0,K501/F501)</f>
        <v>1034.68805555556</v>
      </c>
      <c r="N501" s="40" t="n">
        <v>950</v>
      </c>
      <c r="O501" s="44" t="n">
        <v>42.55</v>
      </c>
      <c r="P501" s="43" t="n">
        <f aca="false">O501*'Price Groups'!$B$5</f>
        <v>957.375</v>
      </c>
      <c r="Q501" s="45" t="n">
        <f aca="false">IF(OR(N501="",P501=""),"",(N501-P501)/N501)</f>
        <v>-0.00776315789473672</v>
      </c>
      <c r="R501" s="46" t="n">
        <v>1</v>
      </c>
      <c r="S501" s="47" t="n">
        <f aca="false">IF(R501="-",0,IFERROR(VLOOKUP(R501,'Price Groups'!$A$13:$C$17,3,FALSE()),0))</f>
        <v>0.22</v>
      </c>
      <c r="T501" s="41" t="n">
        <f aca="false">IF(OR(N501="",R501="-"),"",CEILING(ROUND(N501*(1+S501),2),IF(N501*(1+S501)&lt;100,0.5,IF(N501*(1+S501)&lt;1000,1,5))))</f>
        <v>1160</v>
      </c>
      <c r="U501" s="45" t="n">
        <f aca="false">IF(OR(T501="",P501=""),"",(T501-P501)/T501)</f>
        <v>0.174676724137931</v>
      </c>
      <c r="V501" s="45" t="n">
        <f aca="false">IF(T501="",0,T501/N501-1)</f>
        <v>0.221052631578947</v>
      </c>
      <c r="W501" s="38" t="s">
        <v>365</v>
      </c>
    </row>
    <row r="502" customFormat="false" ht="15" hidden="false" customHeight="false" outlineLevel="0" collapsed="false">
      <c r="A502" s="19" t="n">
        <v>451</v>
      </c>
      <c r="B502" s="19" t="s">
        <v>655</v>
      </c>
      <c r="C502" s="19" t="s">
        <v>57</v>
      </c>
      <c r="D502" s="19"/>
      <c r="E502" s="19" t="s">
        <v>58</v>
      </c>
      <c r="F502" s="20" t="n">
        <v>35</v>
      </c>
      <c r="G502" s="20" t="n">
        <v>37</v>
      </c>
      <c r="H502" s="21" t="n">
        <v>19259.59</v>
      </c>
      <c r="I502" s="21" t="n">
        <v>-24.75</v>
      </c>
      <c r="J502" s="21" t="n">
        <v>-2744.94</v>
      </c>
      <c r="K502" s="22" t="n">
        <f aca="false">H502+I502+J502</f>
        <v>16489.9</v>
      </c>
      <c r="L502" s="23" t="n">
        <f aca="false">IF($K$1282=0,0,K502/$K$1282)</f>
        <v>0.00136599755431773</v>
      </c>
      <c r="M502" s="24" t="n">
        <f aca="false">IF(F502&lt;=0,0,K502/F502)</f>
        <v>471.14</v>
      </c>
      <c r="N502" s="21" t="n">
        <v>494.99</v>
      </c>
      <c r="O502" s="49" t="n">
        <v>11.21</v>
      </c>
      <c r="P502" s="24" t="n">
        <f aca="false">O502*'Price Groups'!$B$5</f>
        <v>252.225</v>
      </c>
      <c r="Q502" s="26" t="n">
        <f aca="false">IF(OR(N502="",P502=""),"",(N502-P502)/N502)</f>
        <v>0.490444251399018</v>
      </c>
      <c r="R502" s="27" t="n">
        <v>3</v>
      </c>
      <c r="S502" s="28" t="n">
        <f aca="false">IF(R502="-",0,IFERROR(VLOOKUP(R502,'Price Groups'!$A$13:$C$17,3,FALSE()),0))</f>
        <v>0.16</v>
      </c>
      <c r="T502" s="22" t="n">
        <f aca="false">IF(OR(N502="",R502="-"),"",CEILING(ROUND(N502*(1+S502),2),IF(N502*(1+S502)&lt;100,0.5,IF(N502*(1+S502)&lt;1000,1,5))))</f>
        <v>575</v>
      </c>
      <c r="U502" s="26" t="n">
        <f aca="false">IF(OR(T502="",P502=""),"",(T502-P502)/T502)</f>
        <v>0.561347826086956</v>
      </c>
      <c r="V502" s="26" t="n">
        <f aca="false">IF(T502="",0,T502/N502-1)</f>
        <v>0.161639629083416</v>
      </c>
      <c r="W502" s="19" t="s">
        <v>107</v>
      </c>
    </row>
    <row r="503" customFormat="false" ht="15" hidden="false" customHeight="false" outlineLevel="0" collapsed="false">
      <c r="A503" s="38" t="n">
        <v>452</v>
      </c>
      <c r="B503" s="38" t="s">
        <v>656</v>
      </c>
      <c r="C503" s="38" t="s">
        <v>57</v>
      </c>
      <c r="D503" s="38" t="s">
        <v>657</v>
      </c>
      <c r="E503" s="38" t="s">
        <v>58</v>
      </c>
      <c r="F503" s="39" t="n">
        <v>35</v>
      </c>
      <c r="G503" s="39" t="n">
        <v>30</v>
      </c>
      <c r="H503" s="40" t="n">
        <v>1546.86</v>
      </c>
      <c r="I503" s="40" t="n">
        <v>-0.72</v>
      </c>
      <c r="J503" s="40" t="n">
        <v>-149.97</v>
      </c>
      <c r="K503" s="41" t="n">
        <f aca="false">H503+I503+J503</f>
        <v>1396.17</v>
      </c>
      <c r="L503" s="42" t="n">
        <f aca="false">IF($K$1282=0,0,K503/$K$1282)</f>
        <v>0.000115656541604969</v>
      </c>
      <c r="M503" s="43" t="n">
        <f aca="false">IF(F503&lt;=0,0,K503/F503)</f>
        <v>39.8905714285714</v>
      </c>
      <c r="N503" s="40" t="n">
        <v>39.99</v>
      </c>
      <c r="O503" s="44" t="n">
        <v>1.23</v>
      </c>
      <c r="P503" s="43" t="n">
        <f aca="false">O503*'Price Groups'!$B$5</f>
        <v>27.675</v>
      </c>
      <c r="Q503" s="45" t="n">
        <f aca="false">IF(OR(N503="",P503=""),"",(N503-P503)/N503)</f>
        <v>0.307951987996999</v>
      </c>
      <c r="R503" s="46" t="n">
        <v>1</v>
      </c>
      <c r="S503" s="47" t="n">
        <f aca="false">IF(R503="-",0,IFERROR(VLOOKUP(R503,'Price Groups'!$A$13:$C$17,3,FALSE()),0))</f>
        <v>0.22</v>
      </c>
      <c r="T503" s="41" t="n">
        <f aca="false">IF(OR(N503="",R503="-"),"",CEILING(ROUND(N503*(1+S503),2),IF(N503*(1+S503)&lt;100,0.5,IF(N503*(1+S503)&lt;1000,1,5))))</f>
        <v>49</v>
      </c>
      <c r="U503" s="45" t="n">
        <f aca="false">IF(OR(T503="",P503=""),"",(T503-P503)/T503)</f>
        <v>0.435204081632653</v>
      </c>
      <c r="V503" s="45" t="n">
        <f aca="false">IF(T503="",0,T503/N503-1)</f>
        <v>0.225306326581645</v>
      </c>
      <c r="W503" s="38" t="s">
        <v>633</v>
      </c>
    </row>
    <row r="504" customFormat="false" ht="15" hidden="false" customHeight="false" outlineLevel="0" collapsed="false">
      <c r="A504" s="19" t="n">
        <v>453</v>
      </c>
      <c r="B504" s="19" t="s">
        <v>658</v>
      </c>
      <c r="C504" s="19" t="s">
        <v>57</v>
      </c>
      <c r="D504" s="19"/>
      <c r="E504" s="19" t="s">
        <v>58</v>
      </c>
      <c r="F504" s="20" t="n">
        <v>35</v>
      </c>
      <c r="G504" s="20" t="n">
        <v>27</v>
      </c>
      <c r="H504" s="21" t="n">
        <v>1085.2</v>
      </c>
      <c r="I504" s="21" t="n">
        <v>-18.34</v>
      </c>
      <c r="J504" s="21" t="n">
        <v>-71.4</v>
      </c>
      <c r="K504" s="22" t="n">
        <f aca="false">H504+I504+J504</f>
        <v>995.46</v>
      </c>
      <c r="L504" s="23" t="n">
        <f aca="false">IF($K$1282=0,0,K504/$K$1282)</f>
        <v>8.24623512223315E-005</v>
      </c>
      <c r="M504" s="24" t="n">
        <f aca="false">IF(F504&lt;=0,0,K504/F504)</f>
        <v>28.4417142857143</v>
      </c>
      <c r="N504" s="21" t="n">
        <v>24.99</v>
      </c>
      <c r="O504" s="49" t="n">
        <v>0.69</v>
      </c>
      <c r="P504" s="24" t="n">
        <f aca="false">O504*'Price Groups'!$B$5</f>
        <v>15.525</v>
      </c>
      <c r="Q504" s="26" t="n">
        <f aca="false">IF(OR(N504="",P504=""),"",(N504-P504)/N504)</f>
        <v>0.37875150060024</v>
      </c>
      <c r="R504" s="27" t="n">
        <v>1</v>
      </c>
      <c r="S504" s="28" t="n">
        <f aca="false">IF(R504="-",0,IFERROR(VLOOKUP(R504,'Price Groups'!$A$13:$C$17,3,FALSE()),0))</f>
        <v>0.22</v>
      </c>
      <c r="T504" s="22" t="n">
        <f aca="false">IF(OR(N504="",R504="-"),"",CEILING(ROUND(N504*(1+S504),2),IF(N504*(1+S504)&lt;100,0.5,IF(N504*(1+S504)&lt;1000,1,5))))</f>
        <v>30.5</v>
      </c>
      <c r="U504" s="26" t="n">
        <f aca="false">IF(OR(T504="",P504=""),"",(T504-P504)/T504)</f>
        <v>0.490983606557377</v>
      </c>
      <c r="V504" s="26" t="n">
        <f aca="false">IF(T504="",0,T504/N504-1)</f>
        <v>0.220488195278111</v>
      </c>
      <c r="W504" s="19" t="s">
        <v>94</v>
      </c>
    </row>
    <row r="505" customFormat="false" ht="15" hidden="false" customHeight="false" outlineLevel="0" collapsed="false">
      <c r="A505" s="38" t="n">
        <v>454</v>
      </c>
      <c r="B505" s="38" t="s">
        <v>659</v>
      </c>
      <c r="C505" s="38" t="s">
        <v>57</v>
      </c>
      <c r="D505" s="38"/>
      <c r="E505" s="38" t="s">
        <v>58</v>
      </c>
      <c r="F505" s="39" t="n">
        <v>35</v>
      </c>
      <c r="G505" s="39" t="n">
        <v>25</v>
      </c>
      <c r="H505" s="40" t="n">
        <v>10003.89</v>
      </c>
      <c r="I505" s="40" t="n">
        <v>-230.16</v>
      </c>
      <c r="J505" s="40" t="n">
        <v>-556.26</v>
      </c>
      <c r="K505" s="41" t="n">
        <f aca="false">H505+I505+J505</f>
        <v>9217.47</v>
      </c>
      <c r="L505" s="42" t="n">
        <f aca="false">IF($K$1282=0,0,K505/$K$1282)</f>
        <v>0.000763560814619677</v>
      </c>
      <c r="M505" s="43" t="n">
        <f aca="false">IF(F505&lt;=0,0,K505/F505)</f>
        <v>263.356285714286</v>
      </c>
      <c r="N505" s="40" t="n">
        <v>279</v>
      </c>
      <c r="O505" s="44" t="n">
        <v>5.35</v>
      </c>
      <c r="P505" s="43" t="n">
        <f aca="false">O505*'Price Groups'!$B$5</f>
        <v>120.375</v>
      </c>
      <c r="Q505" s="45" t="n">
        <f aca="false">IF(OR(N505="",P505=""),"",(N505-P505)/N505)</f>
        <v>0.568548387096774</v>
      </c>
      <c r="R505" s="46" t="n">
        <v>1</v>
      </c>
      <c r="S505" s="47" t="n">
        <f aca="false">IF(R505="-",0,IFERROR(VLOOKUP(R505,'Price Groups'!$A$13:$C$17,3,FALSE()),0))</f>
        <v>0.22</v>
      </c>
      <c r="T505" s="41" t="n">
        <f aca="false">IF(OR(N505="",R505="-"),"",CEILING(ROUND(N505*(1+S505),2),IF(N505*(1+S505)&lt;100,0.5,IF(N505*(1+S505)&lt;1000,1,5))))</f>
        <v>341</v>
      </c>
      <c r="U505" s="45" t="n">
        <f aca="false">IF(OR(T505="",P505=""),"",(T505-P505)/T505)</f>
        <v>0.646994134897361</v>
      </c>
      <c r="V505" s="45" t="n">
        <f aca="false">IF(T505="",0,T505/N505-1)</f>
        <v>0.222222222222222</v>
      </c>
      <c r="W505" s="38" t="s">
        <v>94</v>
      </c>
    </row>
    <row r="506" customFormat="false" ht="15" hidden="false" customHeight="false" outlineLevel="0" collapsed="false">
      <c r="A506" s="19" t="n">
        <v>455</v>
      </c>
      <c r="B506" s="19" t="s">
        <v>660</v>
      </c>
      <c r="C506" s="19" t="s">
        <v>57</v>
      </c>
      <c r="D506" s="19"/>
      <c r="E506" s="19" t="s">
        <v>58</v>
      </c>
      <c r="F506" s="20" t="n">
        <v>34</v>
      </c>
      <c r="G506" s="20" t="n">
        <v>18</v>
      </c>
      <c r="H506" s="21" t="n">
        <v>9859.77</v>
      </c>
      <c r="I506" s="21" t="n">
        <v>0</v>
      </c>
      <c r="J506" s="21" t="n">
        <v>-220</v>
      </c>
      <c r="K506" s="22" t="n">
        <f aca="false">H506+I506+J506</f>
        <v>9639.77</v>
      </c>
      <c r="L506" s="23" t="n">
        <f aca="false">IF($K$1282=0,0,K506/$K$1282)</f>
        <v>0.000798543486872898</v>
      </c>
      <c r="M506" s="24" t="n">
        <f aca="false">IF(F506&lt;=0,0,K506/F506)</f>
        <v>283.522647058824</v>
      </c>
      <c r="N506" s="21" t="n">
        <v>220</v>
      </c>
      <c r="O506" s="49" t="n">
        <v>5.41</v>
      </c>
      <c r="P506" s="24" t="n">
        <f aca="false">O506*'Price Groups'!$B$5</f>
        <v>121.725</v>
      </c>
      <c r="Q506" s="26" t="n">
        <f aca="false">IF(OR(N506="",P506=""),"",(N506-P506)/N506)</f>
        <v>0.446704545454545</v>
      </c>
      <c r="R506" s="27" t="n">
        <v>1</v>
      </c>
      <c r="S506" s="28" t="n">
        <f aca="false">IF(R506="-",0,IFERROR(VLOOKUP(R506,'Price Groups'!$A$13:$C$17,3,FALSE()),0))</f>
        <v>0.22</v>
      </c>
      <c r="T506" s="22" t="n">
        <f aca="false">IF(OR(N506="",R506="-"),"",CEILING(ROUND(N506*(1+S506),2),IF(N506*(1+S506)&lt;100,0.5,IF(N506*(1+S506)&lt;1000,1,5))))</f>
        <v>269</v>
      </c>
      <c r="U506" s="26" t="n">
        <f aca="false">IF(OR(T506="",P506=""),"",(T506-P506)/T506)</f>
        <v>0.547490706319703</v>
      </c>
      <c r="V506" s="26" t="n">
        <f aca="false">IF(T506="",0,T506/N506-1)</f>
        <v>0.222727272727273</v>
      </c>
      <c r="W506" s="19" t="s">
        <v>94</v>
      </c>
    </row>
    <row r="507" customFormat="false" ht="15" hidden="false" customHeight="false" outlineLevel="0" collapsed="false">
      <c r="A507" s="38" t="n">
        <v>456</v>
      </c>
      <c r="B507" s="38" t="s">
        <v>661</v>
      </c>
      <c r="C507" s="38" t="s">
        <v>57</v>
      </c>
      <c r="D507" s="38"/>
      <c r="E507" s="38" t="s">
        <v>58</v>
      </c>
      <c r="F507" s="39" t="n">
        <v>34</v>
      </c>
      <c r="G507" s="39" t="n">
        <v>26</v>
      </c>
      <c r="H507" s="40" t="n">
        <v>16874.63</v>
      </c>
      <c r="I507" s="40" t="n">
        <v>-44.99</v>
      </c>
      <c r="J507" s="40" t="n">
        <v>-1349.97</v>
      </c>
      <c r="K507" s="41" t="n">
        <f aca="false">H507+I507+J507</f>
        <v>15479.67</v>
      </c>
      <c r="L507" s="42" t="n">
        <f aca="false">IF($K$1282=0,0,K507/$K$1282)</f>
        <v>0.00128231167937013</v>
      </c>
      <c r="M507" s="43" t="n">
        <f aca="false">IF(F507&lt;=0,0,K507/F507)</f>
        <v>455.284411764706</v>
      </c>
      <c r="N507" s="40" t="n">
        <v>494.99</v>
      </c>
      <c r="O507" s="44" t="n">
        <v>15.68</v>
      </c>
      <c r="P507" s="43" t="n">
        <f aca="false">O507*'Price Groups'!$B$5</f>
        <v>352.8</v>
      </c>
      <c r="Q507" s="45" t="n">
        <f aca="false">IF(OR(N507="",P507=""),"",(N507-P507)/N507)</f>
        <v>0.28725832845108</v>
      </c>
      <c r="R507" s="46" t="n">
        <v>2</v>
      </c>
      <c r="S507" s="47" t="n">
        <f aca="false">IF(R507="-",0,IFERROR(VLOOKUP(R507,'Price Groups'!$A$13:$C$17,3,FALSE()),0))</f>
        <v>0.18</v>
      </c>
      <c r="T507" s="41" t="n">
        <f aca="false">IF(OR(N507="",R507="-"),"",CEILING(ROUND(N507*(1+S507),2),IF(N507*(1+S507)&lt;100,0.5,IF(N507*(1+S507)&lt;1000,1,5))))</f>
        <v>585</v>
      </c>
      <c r="U507" s="45" t="n">
        <f aca="false">IF(OR(T507="",P507=""),"",(T507-P507)/T507)</f>
        <v>0.396923076923077</v>
      </c>
      <c r="V507" s="45" t="n">
        <f aca="false">IF(T507="",0,T507/N507-1)</f>
        <v>0.181842057415301</v>
      </c>
      <c r="W507" s="38" t="s">
        <v>662</v>
      </c>
    </row>
    <row r="508" customFormat="false" ht="15" hidden="false" customHeight="false" outlineLevel="0" collapsed="false">
      <c r="A508" s="19" t="n">
        <v>457</v>
      </c>
      <c r="B508" s="19" t="s">
        <v>663</v>
      </c>
      <c r="C508" s="19" t="s">
        <v>57</v>
      </c>
      <c r="D508" s="19"/>
      <c r="E508" s="19" t="s">
        <v>58</v>
      </c>
      <c r="F508" s="20" t="n">
        <v>34</v>
      </c>
      <c r="G508" s="20" t="n">
        <v>28</v>
      </c>
      <c r="H508" s="21" t="n">
        <v>5830.5</v>
      </c>
      <c r="I508" s="21" t="n">
        <v>-11.44</v>
      </c>
      <c r="J508" s="21" t="n">
        <v>0</v>
      </c>
      <c r="K508" s="22" t="n">
        <f aca="false">H508+I508+J508</f>
        <v>5819.06</v>
      </c>
      <c r="L508" s="23" t="n">
        <f aca="false">IF($K$1282=0,0,K508/$K$1282)</f>
        <v>0.000482041839454946</v>
      </c>
      <c r="M508" s="24" t="n">
        <f aca="false">IF(F508&lt;=0,0,K508/F508)</f>
        <v>171.148823529412</v>
      </c>
      <c r="N508" s="21" t="n">
        <v>177.45</v>
      </c>
      <c r="O508" s="49" t="n">
        <v>3.56</v>
      </c>
      <c r="P508" s="24" t="n">
        <f aca="false">O508*'Price Groups'!$B$5</f>
        <v>80.1</v>
      </c>
      <c r="Q508" s="26" t="n">
        <f aca="false">IF(OR(N508="",P508=""),"",(N508-P508)/N508)</f>
        <v>0.548605240912933</v>
      </c>
      <c r="R508" s="27" t="n">
        <v>1</v>
      </c>
      <c r="S508" s="28" t="n">
        <f aca="false">IF(R508="-",0,IFERROR(VLOOKUP(R508,'Price Groups'!$A$13:$C$17,3,FALSE()),0))</f>
        <v>0.22</v>
      </c>
      <c r="T508" s="22" t="n">
        <f aca="false">IF(OR(N508="",R508="-"),"",CEILING(ROUND(N508*(1+S508),2),IF(N508*(1+S508)&lt;100,0.5,IF(N508*(1+S508)&lt;1000,1,5))))</f>
        <v>217</v>
      </c>
      <c r="U508" s="26" t="n">
        <f aca="false">IF(OR(T508="",P508=""),"",(T508-P508)/T508)</f>
        <v>0.630875576036866</v>
      </c>
      <c r="V508" s="26" t="n">
        <f aca="false">IF(T508="",0,T508/N508-1)</f>
        <v>0.222879684418146</v>
      </c>
      <c r="W508" s="19" t="s">
        <v>94</v>
      </c>
    </row>
    <row r="509" customFormat="false" ht="15" hidden="false" customHeight="false" outlineLevel="0" collapsed="false">
      <c r="A509" s="38" t="n">
        <v>458</v>
      </c>
      <c r="B509" s="38" t="s">
        <v>664</v>
      </c>
      <c r="C509" s="38" t="s">
        <v>57</v>
      </c>
      <c r="D509" s="38"/>
      <c r="E509" s="38" t="s">
        <v>58</v>
      </c>
      <c r="F509" s="39" t="n">
        <v>34</v>
      </c>
      <c r="G509" s="39" t="n">
        <v>11</v>
      </c>
      <c r="H509" s="40" t="n">
        <v>3960</v>
      </c>
      <c r="I509" s="40" t="n">
        <v>-11.12</v>
      </c>
      <c r="J509" s="40" t="n">
        <v>-220</v>
      </c>
      <c r="K509" s="41" t="n">
        <f aca="false">H509+I509+J509</f>
        <v>3728.88</v>
      </c>
      <c r="L509" s="42" t="n">
        <f aca="false">IF($K$1282=0,0,K509/$K$1282)</f>
        <v>0.00030889459368124</v>
      </c>
      <c r="M509" s="43" t="n">
        <f aca="false">IF(F509&lt;=0,0,K509/F509)</f>
        <v>109.672941176471</v>
      </c>
      <c r="N509" s="40" t="n">
        <v>110</v>
      </c>
      <c r="O509" s="44" t="n">
        <v>3.52</v>
      </c>
      <c r="P509" s="43" t="n">
        <f aca="false">O509*'Price Groups'!$B$5</f>
        <v>79.2</v>
      </c>
      <c r="Q509" s="45" t="n">
        <f aca="false">IF(OR(N509="",P509=""),"",(N509-P509)/N509)</f>
        <v>0.28</v>
      </c>
      <c r="R509" s="46" t="n">
        <v>1</v>
      </c>
      <c r="S509" s="47" t="n">
        <f aca="false">IF(R509="-",0,IFERROR(VLOOKUP(R509,'Price Groups'!$A$13:$C$17,3,FALSE()),0))</f>
        <v>0.22</v>
      </c>
      <c r="T509" s="41" t="n">
        <f aca="false">IF(OR(N509="",R509="-"),"",CEILING(ROUND(N509*(1+S509),2),IF(N509*(1+S509)&lt;100,0.5,IF(N509*(1+S509)&lt;1000,1,5))))</f>
        <v>135</v>
      </c>
      <c r="U509" s="45" t="n">
        <f aca="false">IF(OR(T509="",P509=""),"",(T509-P509)/T509)</f>
        <v>0.413333333333333</v>
      </c>
      <c r="V509" s="45" t="n">
        <f aca="false">IF(T509="",0,T509/N509-1)</f>
        <v>0.227272727272727</v>
      </c>
      <c r="W509" s="38" t="s">
        <v>94</v>
      </c>
    </row>
    <row r="510" customFormat="false" ht="15" hidden="false" customHeight="false" outlineLevel="0" collapsed="false">
      <c r="A510" s="19" t="n">
        <v>459</v>
      </c>
      <c r="B510" s="19" t="s">
        <v>665</v>
      </c>
      <c r="C510" s="19" t="s">
        <v>57</v>
      </c>
      <c r="D510" s="19"/>
      <c r="E510" s="19" t="s">
        <v>58</v>
      </c>
      <c r="F510" s="20" t="n">
        <v>34</v>
      </c>
      <c r="G510" s="20" t="n">
        <v>17</v>
      </c>
      <c r="H510" s="21" t="n">
        <v>579.7</v>
      </c>
      <c r="I510" s="21" t="n">
        <v>-8.67</v>
      </c>
      <c r="J510" s="21" t="n">
        <v>-70.82</v>
      </c>
      <c r="K510" s="22" t="n">
        <f aca="false">H510+I510+J510</f>
        <v>500.21</v>
      </c>
      <c r="L510" s="23" t="n">
        <f aca="false">IF($K$1282=0,0,K510/$K$1282)</f>
        <v>4.14366149367352E-005</v>
      </c>
      <c r="M510" s="24" t="n">
        <f aca="false">IF(F510&lt;=0,0,K510/F510)</f>
        <v>14.7120588235294</v>
      </c>
      <c r="N510" s="21" t="n">
        <v>13.61</v>
      </c>
      <c r="O510" s="49" t="n">
        <v>0.46</v>
      </c>
      <c r="P510" s="24" t="n">
        <f aca="false">O510*'Price Groups'!$B$5</f>
        <v>10.35</v>
      </c>
      <c r="Q510" s="26" t="n">
        <f aca="false">IF(OR(N510="",P510=""),"",(N510-P510)/N510)</f>
        <v>0.239529757531227</v>
      </c>
      <c r="R510" s="27" t="n">
        <v>1</v>
      </c>
      <c r="S510" s="28" t="n">
        <f aca="false">IF(R510="-",0,IFERROR(VLOOKUP(R510,'Price Groups'!$A$13:$C$17,3,FALSE()),0))</f>
        <v>0.22</v>
      </c>
      <c r="T510" s="22" t="n">
        <f aca="false">IF(OR(N510="",R510="-"),"",CEILING(ROUND(N510*(1+S510),2),IF(N510*(1+S510)&lt;100,0.5,IF(N510*(1+S510)&lt;1000,1,5))))</f>
        <v>17</v>
      </c>
      <c r="U510" s="26" t="n">
        <f aca="false">IF(OR(T510="",P510=""),"",(T510-P510)/T510)</f>
        <v>0.391176470588235</v>
      </c>
      <c r="V510" s="26" t="n">
        <f aca="false">IF(T510="",0,T510/N510-1)</f>
        <v>0.249081557678178</v>
      </c>
      <c r="W510" s="19" t="s">
        <v>244</v>
      </c>
    </row>
    <row r="511" customFormat="false" ht="15" hidden="false" customHeight="false" outlineLevel="0" collapsed="false">
      <c r="A511" s="38" t="n">
        <v>460</v>
      </c>
      <c r="B511" s="38" t="s">
        <v>666</v>
      </c>
      <c r="C511" s="38" t="s">
        <v>57</v>
      </c>
      <c r="D511" s="38"/>
      <c r="E511" s="38" t="s">
        <v>58</v>
      </c>
      <c r="F511" s="39" t="n">
        <v>34</v>
      </c>
      <c r="G511" s="39" t="n">
        <v>35</v>
      </c>
      <c r="H511" s="40" t="n">
        <v>21169.46</v>
      </c>
      <c r="I511" s="40" t="n">
        <v>-142.7</v>
      </c>
      <c r="J511" s="40" t="n">
        <v>-1818.97</v>
      </c>
      <c r="K511" s="41" t="n">
        <f aca="false">H511+I511+J511</f>
        <v>19207.79</v>
      </c>
      <c r="L511" s="42" t="n">
        <f aca="false">IF($K$1282=0,0,K511/$K$1282)</f>
        <v>0.00159114331583869</v>
      </c>
      <c r="M511" s="43" t="n">
        <f aca="false">IF(F511&lt;=0,0,K511/F511)</f>
        <v>564.935</v>
      </c>
      <c r="N511" s="40" t="n">
        <v>599.99</v>
      </c>
      <c r="O511" s="44" t="n">
        <v>13.8</v>
      </c>
      <c r="P511" s="43" t="n">
        <f aca="false">O511*'Price Groups'!$B$5</f>
        <v>310.5</v>
      </c>
      <c r="Q511" s="45" t="n">
        <f aca="false">IF(OR(N511="",P511=""),"",(N511-P511)/N511)</f>
        <v>0.482491374856248</v>
      </c>
      <c r="R511" s="46" t="n">
        <v>3</v>
      </c>
      <c r="S511" s="47" t="n">
        <f aca="false">IF(R511="-",0,IFERROR(VLOOKUP(R511,'Price Groups'!$A$13:$C$17,3,FALSE()),0))</f>
        <v>0.16</v>
      </c>
      <c r="T511" s="41" t="n">
        <f aca="false">IF(OR(N511="",R511="-"),"",CEILING(ROUND(N511*(1+S511),2),IF(N511*(1+S511)&lt;100,0.5,IF(N511*(1+S511)&lt;1000,1,5))))</f>
        <v>696</v>
      </c>
      <c r="U511" s="45" t="n">
        <f aca="false">IF(OR(T511="",P511=""),"",(T511-P511)/T511)</f>
        <v>0.553879310344828</v>
      </c>
      <c r="V511" s="45" t="n">
        <f aca="false">IF(T511="",0,T511/N511-1)</f>
        <v>0.160019333655561</v>
      </c>
      <c r="W511" s="38" t="s">
        <v>107</v>
      </c>
    </row>
    <row r="512" customFormat="false" ht="15" hidden="false" customHeight="false" outlineLevel="0" collapsed="false">
      <c r="A512" s="19" t="n">
        <v>461</v>
      </c>
      <c r="B512" s="19" t="s">
        <v>667</v>
      </c>
      <c r="C512" s="19" t="s">
        <v>57</v>
      </c>
      <c r="D512" s="19"/>
      <c r="E512" s="19" t="s">
        <v>58</v>
      </c>
      <c r="F512" s="20" t="n">
        <v>34</v>
      </c>
      <c r="G512" s="20" t="n">
        <v>13</v>
      </c>
      <c r="H512" s="21" t="n">
        <v>686.96</v>
      </c>
      <c r="I512" s="21" t="n">
        <v>0</v>
      </c>
      <c r="J512" s="21" t="n">
        <v>0</v>
      </c>
      <c r="K512" s="22" t="n">
        <f aca="false">H512+I512+J512</f>
        <v>686.96</v>
      </c>
      <c r="L512" s="23" t="n">
        <f aca="false">IF($K$1282=0,0,K512/$K$1282)</f>
        <v>5.69066931827425E-005</v>
      </c>
      <c r="M512" s="24" t="n">
        <f aca="false">IF(F512&lt;=0,0,K512/F512)</f>
        <v>20.2047058823529</v>
      </c>
      <c r="N512" s="21" t="n">
        <v>34.99</v>
      </c>
      <c r="O512" s="49" t="n">
        <v>1.5</v>
      </c>
      <c r="P512" s="24" t="n">
        <f aca="false">O512*'Price Groups'!$B$5</f>
        <v>33.75</v>
      </c>
      <c r="Q512" s="26" t="n">
        <f aca="false">IF(OR(N512="",P512=""),"",(N512-P512)/N512)</f>
        <v>0.0354386967705059</v>
      </c>
      <c r="R512" s="27" t="n">
        <v>1</v>
      </c>
      <c r="S512" s="28" t="n">
        <f aca="false">IF(R512="-",0,IFERROR(VLOOKUP(R512,'Price Groups'!$A$13:$C$17,3,FALSE()),0))</f>
        <v>0.22</v>
      </c>
      <c r="T512" s="22" t="n">
        <f aca="false">IF(OR(N512="",R512="-"),"",CEILING(ROUND(N512*(1+S512),2),IF(N512*(1+S512)&lt;100,0.5,IF(N512*(1+S512)&lt;1000,1,5))))</f>
        <v>43</v>
      </c>
      <c r="U512" s="26" t="n">
        <f aca="false">IF(OR(T512="",P512=""),"",(T512-P512)/T512)</f>
        <v>0.215116279069767</v>
      </c>
      <c r="V512" s="26" t="n">
        <f aca="false">IF(T512="",0,T512/N512-1)</f>
        <v>0.2289225492998</v>
      </c>
      <c r="W512" s="19" t="s">
        <v>668</v>
      </c>
    </row>
    <row r="513" customFormat="false" ht="15" hidden="false" customHeight="false" outlineLevel="0" collapsed="false">
      <c r="A513" s="38" t="n">
        <v>462</v>
      </c>
      <c r="B513" s="38" t="s">
        <v>669</v>
      </c>
      <c r="C513" s="38" t="s">
        <v>57</v>
      </c>
      <c r="D513" s="38"/>
      <c r="E513" s="38" t="s">
        <v>58</v>
      </c>
      <c r="F513" s="39" t="n">
        <v>33</v>
      </c>
      <c r="G513" s="39" t="n">
        <v>21</v>
      </c>
      <c r="H513" s="40" t="n">
        <v>2609.64</v>
      </c>
      <c r="I513" s="40" t="n">
        <v>-7.99</v>
      </c>
      <c r="J513" s="40" t="n">
        <v>-239.97</v>
      </c>
      <c r="K513" s="41" t="n">
        <f aca="false">H513+I513+J513</f>
        <v>2361.68</v>
      </c>
      <c r="L513" s="42" t="n">
        <f aca="false">IF($K$1282=0,0,K513/$K$1282)</f>
        <v>0.000195637881617298</v>
      </c>
      <c r="M513" s="43" t="n">
        <f aca="false">IF(F513&lt;=0,0,K513/F513)</f>
        <v>71.5660606060606</v>
      </c>
      <c r="N513" s="40" t="n">
        <v>79.99</v>
      </c>
      <c r="O513" s="44" t="n">
        <v>2.5</v>
      </c>
      <c r="P513" s="43" t="n">
        <f aca="false">O513*'Price Groups'!$B$5</f>
        <v>56.25</v>
      </c>
      <c r="Q513" s="45" t="n">
        <f aca="false">IF(OR(N513="",P513=""),"",(N513-P513)/N513)</f>
        <v>0.296787098387298</v>
      </c>
      <c r="R513" s="46" t="n">
        <v>1</v>
      </c>
      <c r="S513" s="47" t="n">
        <f aca="false">IF(R513="-",0,IFERROR(VLOOKUP(R513,'Price Groups'!$A$13:$C$17,3,FALSE()),0))</f>
        <v>0.22</v>
      </c>
      <c r="T513" s="41" t="n">
        <f aca="false">IF(OR(N513="",R513="-"),"",CEILING(ROUND(N513*(1+S513),2),IF(N513*(1+S513)&lt;100,0.5,IF(N513*(1+S513)&lt;1000,1,5))))</f>
        <v>98</v>
      </c>
      <c r="U513" s="45" t="n">
        <f aca="false">IF(OR(T513="",P513=""),"",(T513-P513)/T513)</f>
        <v>0.426020408163265</v>
      </c>
      <c r="V513" s="45" t="n">
        <f aca="false">IF(T513="",0,T513/N513-1)</f>
        <v>0.225153144143018</v>
      </c>
      <c r="W513" s="38" t="s">
        <v>94</v>
      </c>
    </row>
    <row r="514" customFormat="false" ht="15" hidden="false" customHeight="false" outlineLevel="0" collapsed="false">
      <c r="A514" s="19" t="n">
        <v>463</v>
      </c>
      <c r="B514" s="19" t="s">
        <v>531</v>
      </c>
      <c r="C514" s="19" t="s">
        <v>307</v>
      </c>
      <c r="D514" s="19" t="s">
        <v>530</v>
      </c>
      <c r="E514" s="19" t="s">
        <v>58</v>
      </c>
      <c r="F514" s="20" t="n">
        <v>33</v>
      </c>
      <c r="G514" s="20" t="n">
        <v>28</v>
      </c>
      <c r="H514" s="21" t="n">
        <v>43500</v>
      </c>
      <c r="I514" s="21" t="n">
        <v>-424.56</v>
      </c>
      <c r="J514" s="21" t="n">
        <v>-4436.84</v>
      </c>
      <c r="K514" s="22" t="n">
        <f aca="false">H514+I514+J514</f>
        <v>38638.6</v>
      </c>
      <c r="L514" s="23" t="n">
        <f aca="false">IF($K$1282=0,0,K514/$K$1282)</f>
        <v>0.00320076126005985</v>
      </c>
      <c r="M514" s="24" t="n">
        <f aca="false">IF(F514&lt;=0,0,K514/F514)</f>
        <v>1170.86666666667</v>
      </c>
      <c r="N514" s="21" t="n">
        <v>900</v>
      </c>
      <c r="O514" s="49" t="n">
        <v>24.7</v>
      </c>
      <c r="P514" s="24" t="n">
        <f aca="false">O514*'Price Groups'!$B$5</f>
        <v>555.75</v>
      </c>
      <c r="Q514" s="26" t="n">
        <f aca="false">IF(OR(N514="",P514=""),"",(N514-P514)/N514)</f>
        <v>0.3825</v>
      </c>
      <c r="R514" s="27" t="n">
        <v>2</v>
      </c>
      <c r="S514" s="28" t="n">
        <f aca="false">IF(R514="-",0,IFERROR(VLOOKUP(R514,'Price Groups'!$A$13:$C$17,3,FALSE()),0))</f>
        <v>0.18</v>
      </c>
      <c r="T514" s="22" t="n">
        <f aca="false">IF(OR(N514="",R514="-"),"",CEILING(ROUND(N514*(1+S514),2),IF(N514*(1+S514)&lt;100,0.5,IF(N514*(1+S514)&lt;1000,1,5))))</f>
        <v>1065</v>
      </c>
      <c r="U514" s="26" t="n">
        <f aca="false">IF(OR(T514="",P514=""),"",(T514-P514)/T514)</f>
        <v>0.478169014084507</v>
      </c>
      <c r="V514" s="26" t="n">
        <f aca="false">IF(T514="",0,T514/N514-1)</f>
        <v>0.183333333333333</v>
      </c>
      <c r="W514" s="19" t="s">
        <v>670</v>
      </c>
    </row>
    <row r="515" customFormat="false" ht="15" hidden="false" customHeight="false" outlineLevel="0" collapsed="false">
      <c r="A515" s="38" t="n">
        <v>464</v>
      </c>
      <c r="B515" s="38" t="s">
        <v>671</v>
      </c>
      <c r="C515" s="38" t="s">
        <v>57</v>
      </c>
      <c r="D515" s="38"/>
      <c r="E515" s="38" t="s">
        <v>58</v>
      </c>
      <c r="F515" s="39" t="n">
        <v>33</v>
      </c>
      <c r="G515" s="39" t="n">
        <v>30</v>
      </c>
      <c r="H515" s="40" t="n">
        <v>6609.55</v>
      </c>
      <c r="I515" s="40" t="n">
        <v>-378.46</v>
      </c>
      <c r="J515" s="40" t="n">
        <v>-1599.88</v>
      </c>
      <c r="K515" s="41" t="n">
        <f aca="false">H515+I515+J515</f>
        <v>4631.21</v>
      </c>
      <c r="L515" s="42" t="n">
        <f aca="false">IF($K$1282=0,0,K515/$K$1282)</f>
        <v>0.000383642201197812</v>
      </c>
      <c r="M515" s="43" t="n">
        <f aca="false">IF(F515&lt;=0,0,K515/F515)</f>
        <v>140.339696969697</v>
      </c>
      <c r="N515" s="40" t="n">
        <v>169.99</v>
      </c>
      <c r="O515" s="44" t="n">
        <v>4.25</v>
      </c>
      <c r="P515" s="43" t="n">
        <f aca="false">O515*'Price Groups'!$B$5</f>
        <v>95.625</v>
      </c>
      <c r="Q515" s="45" t="n">
        <f aca="false">IF(OR(N515="",P515=""),"",(N515-P515)/N515)</f>
        <v>0.437466909818225</v>
      </c>
      <c r="R515" s="46" t="n">
        <v>1</v>
      </c>
      <c r="S515" s="47" t="n">
        <f aca="false">IF(R515="-",0,IFERROR(VLOOKUP(R515,'Price Groups'!$A$13:$C$17,3,FALSE()),0))</f>
        <v>0.22</v>
      </c>
      <c r="T515" s="41" t="n">
        <f aca="false">IF(OR(N515="",R515="-"),"",CEILING(ROUND(N515*(1+S515),2),IF(N515*(1+S515)&lt;100,0.5,IF(N515*(1+S515)&lt;1000,1,5))))</f>
        <v>208</v>
      </c>
      <c r="U515" s="45" t="n">
        <f aca="false">IF(OR(T515="",P515=""),"",(T515-P515)/T515)</f>
        <v>0.540264423076923</v>
      </c>
      <c r="V515" s="45" t="n">
        <f aca="false">IF(T515="",0,T515/N515-1)</f>
        <v>0.22360138831696</v>
      </c>
      <c r="W515" s="38" t="s">
        <v>94</v>
      </c>
    </row>
    <row r="516" customFormat="false" ht="15" hidden="false" customHeight="false" outlineLevel="0" collapsed="false">
      <c r="A516" s="19" t="n">
        <v>465</v>
      </c>
      <c r="B516" s="19" t="s">
        <v>672</v>
      </c>
      <c r="C516" s="19" t="s">
        <v>57</v>
      </c>
      <c r="D516" s="19"/>
      <c r="E516" s="19" t="s">
        <v>58</v>
      </c>
      <c r="F516" s="20" t="n">
        <v>33</v>
      </c>
      <c r="G516" s="20" t="n">
        <v>24</v>
      </c>
      <c r="H516" s="21" t="n">
        <v>618</v>
      </c>
      <c r="I516" s="21" t="n">
        <v>-3.5</v>
      </c>
      <c r="J516" s="21" t="n">
        <v>-169</v>
      </c>
      <c r="K516" s="22" t="n">
        <f aca="false">H516+I516+J516</f>
        <v>445.5</v>
      </c>
      <c r="L516" s="23" t="n">
        <f aca="false">IF($K$1282=0,0,K516/$K$1282)</f>
        <v>3.69045240085475E-005</v>
      </c>
      <c r="M516" s="24" t="n">
        <f aca="false">IF(F516&lt;=0,0,K516/F516)</f>
        <v>13.5</v>
      </c>
      <c r="N516" s="21" t="n">
        <v>19.99</v>
      </c>
      <c r="O516" s="49" t="n">
        <v>0.5</v>
      </c>
      <c r="P516" s="24" t="n">
        <f aca="false">O516*'Price Groups'!$B$5</f>
        <v>11.25</v>
      </c>
      <c r="Q516" s="26" t="n">
        <f aca="false">IF(OR(N516="",P516=""),"",(N516-P516)/N516)</f>
        <v>0.437218609304652</v>
      </c>
      <c r="R516" s="27" t="n">
        <v>1</v>
      </c>
      <c r="S516" s="28" t="n">
        <f aca="false">IF(R516="-",0,IFERROR(VLOOKUP(R516,'Price Groups'!$A$13:$C$17,3,FALSE()),0))</f>
        <v>0.22</v>
      </c>
      <c r="T516" s="22" t="n">
        <f aca="false">IF(OR(N516="",R516="-"),"",CEILING(ROUND(N516*(1+S516),2),IF(N516*(1+S516)&lt;100,0.5,IF(N516*(1+S516)&lt;1000,1,5))))</f>
        <v>24.5</v>
      </c>
      <c r="U516" s="26" t="n">
        <f aca="false">IF(OR(T516="",P516=""),"",(T516-P516)/T516)</f>
        <v>0.540816326530612</v>
      </c>
      <c r="V516" s="26" t="n">
        <f aca="false">IF(T516="",0,T516/N516-1)</f>
        <v>0.225612806403202</v>
      </c>
      <c r="W516" s="19" t="s">
        <v>94</v>
      </c>
    </row>
    <row r="517" customFormat="false" ht="15" hidden="false" customHeight="false" outlineLevel="0" collapsed="false">
      <c r="A517" s="38" t="n">
        <v>466</v>
      </c>
      <c r="B517" s="38" t="s">
        <v>673</v>
      </c>
      <c r="C517" s="38" t="s">
        <v>57</v>
      </c>
      <c r="D517" s="38"/>
      <c r="E517" s="38" t="s">
        <v>58</v>
      </c>
      <c r="F517" s="39" t="n">
        <v>33</v>
      </c>
      <c r="G517" s="39" t="n">
        <v>13</v>
      </c>
      <c r="H517" s="40" t="n">
        <v>7283.33</v>
      </c>
      <c r="I517" s="40" t="n">
        <v>-123.74</v>
      </c>
      <c r="J517" s="40" t="n">
        <v>0</v>
      </c>
      <c r="K517" s="41" t="n">
        <f aca="false">H517+I517+J517</f>
        <v>7159.59</v>
      </c>
      <c r="L517" s="42" t="n">
        <f aca="false">IF($K$1282=0,0,K517/$K$1282)</f>
        <v>0.000593089250384639</v>
      </c>
      <c r="M517" s="43" t="n">
        <f aca="false">IF(F517&lt;=0,0,K517/F517)</f>
        <v>216.957272727273</v>
      </c>
      <c r="N517" s="40" t="n">
        <v>250</v>
      </c>
      <c r="O517" s="44" t="n">
        <v>5.35</v>
      </c>
      <c r="P517" s="43" t="n">
        <f aca="false">O517*'Price Groups'!$B$5</f>
        <v>120.375</v>
      </c>
      <c r="Q517" s="45" t="n">
        <f aca="false">IF(OR(N517="",P517=""),"",(N517-P517)/N517)</f>
        <v>0.5185</v>
      </c>
      <c r="R517" s="46" t="n">
        <v>1</v>
      </c>
      <c r="S517" s="47" t="n">
        <f aca="false">IF(R517="-",0,IFERROR(VLOOKUP(R517,'Price Groups'!$A$13:$C$17,3,FALSE()),0))</f>
        <v>0.22</v>
      </c>
      <c r="T517" s="41" t="n">
        <f aca="false">IF(OR(N517="",R517="-"),"",CEILING(ROUND(N517*(1+S517),2),IF(N517*(1+S517)&lt;100,0.5,IF(N517*(1+S517)&lt;1000,1,5))))</f>
        <v>305</v>
      </c>
      <c r="U517" s="45" t="n">
        <f aca="false">IF(OR(T517="",P517=""),"",(T517-P517)/T517)</f>
        <v>0.605327868852459</v>
      </c>
      <c r="V517" s="45" t="n">
        <f aca="false">IF(T517="",0,T517/N517-1)</f>
        <v>0.22</v>
      </c>
      <c r="W517" s="38" t="s">
        <v>94</v>
      </c>
    </row>
    <row r="518" customFormat="false" ht="15" hidden="false" customHeight="false" outlineLevel="0" collapsed="false">
      <c r="A518" s="19" t="n">
        <v>467</v>
      </c>
      <c r="B518" s="19" t="s">
        <v>674</v>
      </c>
      <c r="C518" s="19" t="s">
        <v>57</v>
      </c>
      <c r="D518" s="19"/>
      <c r="E518" s="19" t="s">
        <v>58</v>
      </c>
      <c r="F518" s="20" t="n">
        <v>33</v>
      </c>
      <c r="G518" s="20" t="n">
        <v>30</v>
      </c>
      <c r="H518" s="21" t="n">
        <v>1329.62</v>
      </c>
      <c r="I518" s="21" t="n">
        <v>-24.43</v>
      </c>
      <c r="J518" s="21" t="n">
        <v>-174.95</v>
      </c>
      <c r="K518" s="22" t="n">
        <f aca="false">H518+I518+J518</f>
        <v>1130.24</v>
      </c>
      <c r="L518" s="23" t="n">
        <f aca="false">IF($K$1282=0,0,K518/$K$1282)</f>
        <v>9.36273158595302E-005</v>
      </c>
      <c r="M518" s="24" t="n">
        <f aca="false">IF(F518&lt;=0,0,K518/F518)</f>
        <v>34.249696969697</v>
      </c>
      <c r="N518" s="21" t="n">
        <v>34.99</v>
      </c>
      <c r="O518" s="49" t="n">
        <v>0.64</v>
      </c>
      <c r="P518" s="24" t="n">
        <f aca="false">O518*'Price Groups'!$B$5</f>
        <v>14.4</v>
      </c>
      <c r="Q518" s="26" t="n">
        <f aca="false">IF(OR(N518="",P518=""),"",(N518-P518)/N518)</f>
        <v>0.588453843955416</v>
      </c>
      <c r="R518" s="27" t="n">
        <v>1</v>
      </c>
      <c r="S518" s="28" t="n">
        <f aca="false">IF(R518="-",0,IFERROR(VLOOKUP(R518,'Price Groups'!$A$13:$C$17,3,FALSE()),0))</f>
        <v>0.22</v>
      </c>
      <c r="T518" s="22" t="n">
        <f aca="false">IF(OR(N518="",R518="-"),"",CEILING(ROUND(N518*(1+S518),2),IF(N518*(1+S518)&lt;100,0.5,IF(N518*(1+S518)&lt;1000,1,5))))</f>
        <v>43</v>
      </c>
      <c r="U518" s="26" t="n">
        <f aca="false">IF(OR(T518="",P518=""),"",(T518-P518)/T518)</f>
        <v>0.665116279069767</v>
      </c>
      <c r="V518" s="26" t="n">
        <f aca="false">IF(T518="",0,T518/N518-1)</f>
        <v>0.2289225492998</v>
      </c>
      <c r="W518" s="19" t="s">
        <v>94</v>
      </c>
    </row>
    <row r="519" customFormat="false" ht="15" hidden="false" customHeight="false" outlineLevel="0" collapsed="false">
      <c r="A519" s="38" t="n">
        <v>468</v>
      </c>
      <c r="B519" s="38" t="s">
        <v>675</v>
      </c>
      <c r="C519" s="38" t="s">
        <v>57</v>
      </c>
      <c r="D519" s="38"/>
      <c r="E519" s="38" t="s">
        <v>58</v>
      </c>
      <c r="F519" s="39" t="n">
        <v>33</v>
      </c>
      <c r="G519" s="39" t="n">
        <v>29</v>
      </c>
      <c r="H519" s="40" t="n">
        <v>2581.59</v>
      </c>
      <c r="I519" s="40" t="n">
        <v>-32.16</v>
      </c>
      <c r="J519" s="40" t="n">
        <v>-499.92</v>
      </c>
      <c r="K519" s="41" t="n">
        <f aca="false">H519+I519+J519</f>
        <v>2049.51</v>
      </c>
      <c r="L519" s="42" t="n">
        <f aca="false">IF($K$1282=0,0,K519/$K$1282)</f>
        <v>0.000169778206511242</v>
      </c>
      <c r="M519" s="43" t="n">
        <f aca="false">IF(F519&lt;=0,0,K519/F519)</f>
        <v>62.1063636363636</v>
      </c>
      <c r="N519" s="40" t="n">
        <v>79.99</v>
      </c>
      <c r="O519" s="44" t="n">
        <v>1.8</v>
      </c>
      <c r="P519" s="43" t="n">
        <f aca="false">O519*'Price Groups'!$B$5</f>
        <v>40.5</v>
      </c>
      <c r="Q519" s="45" t="n">
        <f aca="false">IF(OR(N519="",P519=""),"",(N519-P519)/N519)</f>
        <v>0.493686710838855</v>
      </c>
      <c r="R519" s="46" t="n">
        <v>1</v>
      </c>
      <c r="S519" s="47" t="n">
        <f aca="false">IF(R519="-",0,IFERROR(VLOOKUP(R519,'Price Groups'!$A$13:$C$17,3,FALSE()),0))</f>
        <v>0.22</v>
      </c>
      <c r="T519" s="41" t="n">
        <f aca="false">IF(OR(N519="",R519="-"),"",CEILING(ROUND(N519*(1+S519),2),IF(N519*(1+S519)&lt;100,0.5,IF(N519*(1+S519)&lt;1000,1,5))))</f>
        <v>98</v>
      </c>
      <c r="U519" s="45" t="n">
        <f aca="false">IF(OR(T519="",P519=""),"",(T519-P519)/T519)</f>
        <v>0.586734693877551</v>
      </c>
      <c r="V519" s="45" t="n">
        <f aca="false">IF(T519="",0,T519/N519-1)</f>
        <v>0.225153144143018</v>
      </c>
      <c r="W519" s="38" t="s">
        <v>94</v>
      </c>
    </row>
    <row r="520" customFormat="false" ht="15" hidden="false" customHeight="false" outlineLevel="0" collapsed="false">
      <c r="A520" s="19" t="n">
        <v>469</v>
      </c>
      <c r="B520" s="19" t="s">
        <v>676</v>
      </c>
      <c r="C520" s="19" t="s">
        <v>57</v>
      </c>
      <c r="D520" s="19"/>
      <c r="E520" s="19" t="s">
        <v>58</v>
      </c>
      <c r="F520" s="20" t="n">
        <v>32</v>
      </c>
      <c r="G520" s="20" t="n">
        <v>25</v>
      </c>
      <c r="H520" s="21" t="n">
        <v>11841</v>
      </c>
      <c r="I520" s="21" t="n">
        <v>-99.9</v>
      </c>
      <c r="J520" s="21" t="n">
        <v>-999</v>
      </c>
      <c r="K520" s="22" t="n">
        <f aca="false">H520+I520+J520</f>
        <v>10742.1</v>
      </c>
      <c r="L520" s="23" t="n">
        <f aca="false">IF($K$1282=0,0,K520/$K$1282)</f>
        <v>0.000889858781935394</v>
      </c>
      <c r="M520" s="24" t="n">
        <f aca="false">IF(F520&lt;=0,0,K520/F520)</f>
        <v>335.690625</v>
      </c>
      <c r="N520" s="21" t="n">
        <v>395</v>
      </c>
      <c r="O520" s="49" t="n">
        <v>9.85</v>
      </c>
      <c r="P520" s="24" t="n">
        <f aca="false">O520*'Price Groups'!$B$5</f>
        <v>221.625</v>
      </c>
      <c r="Q520" s="26" t="n">
        <f aca="false">IF(OR(N520="",P520=""),"",(N520-P520)/N520)</f>
        <v>0.438924050632911</v>
      </c>
      <c r="R520" s="27" t="n">
        <v>3</v>
      </c>
      <c r="S520" s="28" t="n">
        <f aca="false">IF(R520="-",0,IFERROR(VLOOKUP(R520,'Price Groups'!$A$13:$C$17,3,FALSE()),0))</f>
        <v>0.16</v>
      </c>
      <c r="T520" s="22" t="n">
        <f aca="false">IF(OR(N520="",R520="-"),"",CEILING(ROUND(N520*(1+S520),2),IF(N520*(1+S520)&lt;100,0.5,IF(N520*(1+S520)&lt;1000,1,5))))</f>
        <v>459</v>
      </c>
      <c r="U520" s="26" t="n">
        <f aca="false">IF(OR(T520="",P520=""),"",(T520-P520)/T520)</f>
        <v>0.517156862745098</v>
      </c>
      <c r="V520" s="26" t="n">
        <f aca="false">IF(T520="",0,T520/N520-1)</f>
        <v>0.162025316455696</v>
      </c>
      <c r="W520" s="19" t="s">
        <v>107</v>
      </c>
    </row>
    <row r="521" customFormat="false" ht="15" hidden="false" customHeight="false" outlineLevel="0" collapsed="false">
      <c r="A521" s="38" t="n">
        <v>470</v>
      </c>
      <c r="B521" s="38" t="s">
        <v>677</v>
      </c>
      <c r="C521" s="38" t="s">
        <v>57</v>
      </c>
      <c r="D521" s="38"/>
      <c r="E521" s="38" t="s">
        <v>58</v>
      </c>
      <c r="F521" s="39" t="n">
        <v>32</v>
      </c>
      <c r="G521" s="39" t="n">
        <v>32</v>
      </c>
      <c r="H521" s="40" t="n">
        <v>5144.44</v>
      </c>
      <c r="I521" s="40" t="n">
        <v>-22.39</v>
      </c>
      <c r="J521" s="40" t="n">
        <v>-814.45</v>
      </c>
      <c r="K521" s="41" t="n">
        <f aca="false">H521+I521+J521</f>
        <v>4307.6</v>
      </c>
      <c r="L521" s="42" t="n">
        <f aca="false">IF($K$1282=0,0,K521/$K$1282)</f>
        <v>0.000356834854364128</v>
      </c>
      <c r="M521" s="43" t="n">
        <f aca="false">IF(F521&lt;=0,0,K521/F521)</f>
        <v>134.6125</v>
      </c>
      <c r="N521" s="40" t="n">
        <v>149.99</v>
      </c>
      <c r="O521" s="44" t="n">
        <v>3.56</v>
      </c>
      <c r="P521" s="43" t="n">
        <f aca="false">O521*'Price Groups'!$B$5</f>
        <v>80.1</v>
      </c>
      <c r="Q521" s="45" t="n">
        <f aca="false">IF(OR(N521="",P521=""),"",(N521-P521)/N521)</f>
        <v>0.465964397626509</v>
      </c>
      <c r="R521" s="46" t="n">
        <v>1</v>
      </c>
      <c r="S521" s="47" t="n">
        <f aca="false">IF(R521="-",0,IFERROR(VLOOKUP(R521,'Price Groups'!$A$13:$C$17,3,FALSE()),0))</f>
        <v>0.22</v>
      </c>
      <c r="T521" s="41" t="n">
        <f aca="false">IF(OR(N521="",R521="-"),"",CEILING(ROUND(N521*(1+S521),2),IF(N521*(1+S521)&lt;100,0.5,IF(N521*(1+S521)&lt;1000,1,5))))</f>
        <v>183</v>
      </c>
      <c r="U521" s="45" t="n">
        <f aca="false">IF(OR(T521="",P521=""),"",(T521-P521)/T521)</f>
        <v>0.562295081967213</v>
      </c>
      <c r="V521" s="45" t="n">
        <f aca="false">IF(T521="",0,T521/N521-1)</f>
        <v>0.220081338755917</v>
      </c>
      <c r="W521" s="38" t="s">
        <v>94</v>
      </c>
    </row>
    <row r="522" customFormat="false" ht="15" hidden="false" customHeight="false" outlineLevel="0" collapsed="false">
      <c r="A522" s="19" t="n">
        <v>471</v>
      </c>
      <c r="B522" s="19" t="s">
        <v>678</v>
      </c>
      <c r="C522" s="19" t="s">
        <v>57</v>
      </c>
      <c r="D522" s="19"/>
      <c r="E522" s="19" t="s">
        <v>58</v>
      </c>
      <c r="F522" s="20" t="n">
        <v>32</v>
      </c>
      <c r="G522" s="20" t="n">
        <v>27</v>
      </c>
      <c r="H522" s="21" t="n">
        <v>985.43</v>
      </c>
      <c r="I522" s="21" t="n">
        <v>-10.8</v>
      </c>
      <c r="J522" s="21" t="n">
        <v>-70.2</v>
      </c>
      <c r="K522" s="22" t="n">
        <f aca="false">H522+I522+J522</f>
        <v>904.43</v>
      </c>
      <c r="L522" s="23" t="n">
        <f aca="false">IF($K$1282=0,0,K522/$K$1282)</f>
        <v>7.49215682358038E-005</v>
      </c>
      <c r="M522" s="24" t="n">
        <f aca="false">IF(F522&lt;=0,0,K522/F522)</f>
        <v>28.2634375</v>
      </c>
      <c r="N522" s="21" t="n">
        <v>22.39</v>
      </c>
      <c r="O522" s="49" t="n">
        <v>0.79</v>
      </c>
      <c r="P522" s="24" t="n">
        <f aca="false">O522*'Price Groups'!$B$5</f>
        <v>17.775</v>
      </c>
      <c r="Q522" s="26" t="n">
        <f aca="false">IF(OR(N522="",P522=""),"",(N522-P522)/N522)</f>
        <v>0.20611880303707</v>
      </c>
      <c r="R522" s="27" t="n">
        <v>1</v>
      </c>
      <c r="S522" s="28" t="n">
        <f aca="false">IF(R522="-",0,IFERROR(VLOOKUP(R522,'Price Groups'!$A$13:$C$17,3,FALSE()),0))</f>
        <v>0.22</v>
      </c>
      <c r="T522" s="22" t="n">
        <f aca="false">IF(OR(N522="",R522="-"),"",CEILING(ROUND(N522*(1+S522),2),IF(N522*(1+S522)&lt;100,0.5,IF(N522*(1+S522)&lt;1000,1,5))))</f>
        <v>27.5</v>
      </c>
      <c r="U522" s="26" t="n">
        <f aca="false">IF(OR(T522="",P522=""),"",(T522-P522)/T522)</f>
        <v>0.353636363636364</v>
      </c>
      <c r="V522" s="26" t="n">
        <f aca="false">IF(T522="",0,T522/N522-1)</f>
        <v>0.228226887003126</v>
      </c>
      <c r="W522" s="19" t="s">
        <v>333</v>
      </c>
    </row>
    <row r="523" customFormat="false" ht="15" hidden="false" customHeight="false" outlineLevel="0" collapsed="false">
      <c r="A523" s="38" t="n">
        <v>472</v>
      </c>
      <c r="B523" s="38" t="s">
        <v>679</v>
      </c>
      <c r="C523" s="38" t="s">
        <v>57</v>
      </c>
      <c r="D523" s="38"/>
      <c r="E523" s="38" t="s">
        <v>58</v>
      </c>
      <c r="F523" s="39" t="n">
        <v>32</v>
      </c>
      <c r="G523" s="39" t="n">
        <v>37</v>
      </c>
      <c r="H523" s="40" t="n">
        <v>2659.95</v>
      </c>
      <c r="I523" s="40" t="n">
        <v>-4.17</v>
      </c>
      <c r="J523" s="40" t="n">
        <v>-534.75</v>
      </c>
      <c r="K523" s="41" t="n">
        <f aca="false">H523+I523+J523</f>
        <v>2121.03</v>
      </c>
      <c r="L523" s="42" t="n">
        <f aca="false">IF($K$1282=0,0,K523/$K$1282)</f>
        <v>0.000175702811577664</v>
      </c>
      <c r="M523" s="43" t="n">
        <f aca="false">IF(F523&lt;=0,0,K523/F523)</f>
        <v>66.2821875</v>
      </c>
      <c r="N523" s="40" t="n">
        <v>65.55</v>
      </c>
      <c r="O523" s="44" t="n">
        <v>2.26</v>
      </c>
      <c r="P523" s="43" t="n">
        <f aca="false">O523*'Price Groups'!$B$5</f>
        <v>50.85</v>
      </c>
      <c r="Q523" s="45" t="n">
        <f aca="false">IF(OR(N523="",P523=""),"",(N523-P523)/N523)</f>
        <v>0.224256292906179</v>
      </c>
      <c r="R523" s="46" t="n">
        <v>1</v>
      </c>
      <c r="S523" s="47" t="n">
        <f aca="false">IF(R523="-",0,IFERROR(VLOOKUP(R523,'Price Groups'!$A$13:$C$17,3,FALSE()),0))</f>
        <v>0.22</v>
      </c>
      <c r="T523" s="41" t="n">
        <f aca="false">IF(OR(N523="",R523="-"),"",CEILING(ROUND(N523*(1+S523),2),IF(N523*(1+S523)&lt;100,0.5,IF(N523*(1+S523)&lt;1000,1,5))))</f>
        <v>80</v>
      </c>
      <c r="U523" s="45" t="n">
        <f aca="false">IF(OR(T523="",P523=""),"",(T523-P523)/T523)</f>
        <v>0.364375</v>
      </c>
      <c r="V523" s="45" t="n">
        <f aca="false">IF(T523="",0,T523/N523-1)</f>
        <v>0.220442410373761</v>
      </c>
      <c r="W523" s="38" t="s">
        <v>423</v>
      </c>
    </row>
    <row r="524" customFormat="false" ht="15" hidden="false" customHeight="false" outlineLevel="0" collapsed="false">
      <c r="A524" s="19" t="n">
        <v>473</v>
      </c>
      <c r="B524" s="19" t="s">
        <v>680</v>
      </c>
      <c r="C524" s="19" t="s">
        <v>57</v>
      </c>
      <c r="D524" s="19"/>
      <c r="E524" s="19" t="s">
        <v>58</v>
      </c>
      <c r="F524" s="20" t="n">
        <v>32</v>
      </c>
      <c r="G524" s="20" t="n">
        <v>20</v>
      </c>
      <c r="H524" s="21" t="n">
        <v>7999.68</v>
      </c>
      <c r="I524" s="21" t="n">
        <v>0</v>
      </c>
      <c r="J524" s="21" t="n">
        <v>0</v>
      </c>
      <c r="K524" s="22" t="n">
        <f aca="false">H524+I524+J524</f>
        <v>7999.68</v>
      </c>
      <c r="L524" s="23" t="n">
        <f aca="false">IF($K$1282=0,0,K524/$K$1282)</f>
        <v>0.000662680993536919</v>
      </c>
      <c r="M524" s="24" t="n">
        <f aca="false">IF(F524&lt;=0,0,K524/F524)</f>
        <v>249.99</v>
      </c>
      <c r="N524" s="21" t="n">
        <v>249.99</v>
      </c>
      <c r="O524" s="49" t="n">
        <v>5.4</v>
      </c>
      <c r="P524" s="24" t="n">
        <f aca="false">O524*'Price Groups'!$B$5</f>
        <v>121.5</v>
      </c>
      <c r="Q524" s="26" t="n">
        <f aca="false">IF(OR(N524="",P524=""),"",(N524-P524)/N524)</f>
        <v>0.513980559222369</v>
      </c>
      <c r="R524" s="27" t="n">
        <v>1</v>
      </c>
      <c r="S524" s="28" t="n">
        <f aca="false">IF(R524="-",0,IFERROR(VLOOKUP(R524,'Price Groups'!$A$13:$C$17,3,FALSE()),0))</f>
        <v>0.22</v>
      </c>
      <c r="T524" s="22" t="n">
        <f aca="false">IF(OR(N524="",R524="-"),"",CEILING(ROUND(N524*(1+S524),2),IF(N524*(1+S524)&lt;100,0.5,IF(N524*(1+S524)&lt;1000,1,5))))</f>
        <v>305</v>
      </c>
      <c r="U524" s="26" t="n">
        <f aca="false">IF(OR(T524="",P524=""),"",(T524-P524)/T524)</f>
        <v>0.601639344262295</v>
      </c>
      <c r="V524" s="26" t="n">
        <f aca="false">IF(T524="",0,T524/N524-1)</f>
        <v>0.220048801952078</v>
      </c>
      <c r="W524" s="19" t="s">
        <v>94</v>
      </c>
    </row>
    <row r="525" customFormat="false" ht="15" hidden="false" customHeight="false" outlineLevel="0" collapsed="false">
      <c r="A525" s="38" t="n">
        <v>474</v>
      </c>
      <c r="B525" s="38" t="s">
        <v>681</v>
      </c>
      <c r="C525" s="38" t="s">
        <v>57</v>
      </c>
      <c r="D525" s="38"/>
      <c r="E525" s="38" t="s">
        <v>58</v>
      </c>
      <c r="F525" s="39" t="n">
        <v>31</v>
      </c>
      <c r="G525" s="39" t="n">
        <v>26</v>
      </c>
      <c r="H525" s="40" t="n">
        <v>455.07</v>
      </c>
      <c r="I525" s="40" t="n">
        <v>-15.71</v>
      </c>
      <c r="J525" s="40" t="n">
        <v>-42</v>
      </c>
      <c r="K525" s="41" t="n">
        <f aca="false">H525+I525+J525</f>
        <v>397.36</v>
      </c>
      <c r="L525" s="42" t="n">
        <f aca="false">IF($K$1282=0,0,K525/$K$1282)</f>
        <v>3.29166816162434E-005</v>
      </c>
      <c r="M525" s="43" t="n">
        <f aca="false">IF(F525&lt;=0,0,K525/F525)</f>
        <v>12.818064516129</v>
      </c>
      <c r="N525" s="40" t="n">
        <v>9.92</v>
      </c>
      <c r="O525" s="44" t="n">
        <v>0.35</v>
      </c>
      <c r="P525" s="43" t="n">
        <f aca="false">O525*'Price Groups'!$B$5</f>
        <v>7.875</v>
      </c>
      <c r="Q525" s="45" t="n">
        <f aca="false">IF(OR(N525="",P525=""),"",(N525-P525)/N525)</f>
        <v>0.206149193548387</v>
      </c>
      <c r="R525" s="46" t="n">
        <v>1</v>
      </c>
      <c r="S525" s="47" t="n">
        <f aca="false">IF(R525="-",0,IFERROR(VLOOKUP(R525,'Price Groups'!$A$13:$C$17,3,FALSE()),0))</f>
        <v>0.22</v>
      </c>
      <c r="T525" s="41" t="n">
        <f aca="false">IF(OR(N525="",R525="-"),"",CEILING(ROUND(N525*(1+S525),2),IF(N525*(1+S525)&lt;100,0.5,IF(N525*(1+S525)&lt;1000,1,5))))</f>
        <v>12.5</v>
      </c>
      <c r="U525" s="45" t="n">
        <f aca="false">IF(OR(T525="",P525=""),"",(T525-P525)/T525)</f>
        <v>0.37</v>
      </c>
      <c r="V525" s="45" t="n">
        <f aca="false">IF(T525="",0,T525/N525-1)</f>
        <v>0.26008064516129</v>
      </c>
      <c r="W525" s="38" t="s">
        <v>333</v>
      </c>
    </row>
    <row r="526" customFormat="false" ht="15" hidden="false" customHeight="false" outlineLevel="0" collapsed="false">
      <c r="A526" s="19" t="n">
        <v>475</v>
      </c>
      <c r="B526" s="19" t="s">
        <v>682</v>
      </c>
      <c r="C526" s="19" t="s">
        <v>57</v>
      </c>
      <c r="D526" s="19"/>
      <c r="E526" s="19" t="s">
        <v>58</v>
      </c>
      <c r="F526" s="20" t="n">
        <v>31</v>
      </c>
      <c r="G526" s="20" t="n">
        <v>20</v>
      </c>
      <c r="H526" s="21" t="n">
        <v>1979.67</v>
      </c>
      <c r="I526" s="21" t="n">
        <v>-6.58</v>
      </c>
      <c r="J526" s="21" t="n">
        <v>-119.98</v>
      </c>
      <c r="K526" s="22" t="n">
        <f aca="false">H526+I526+J526</f>
        <v>1853.11</v>
      </c>
      <c r="L526" s="23" t="n">
        <f aca="false">IF($K$1282=0,0,K526/$K$1282)</f>
        <v>0.000153508737341144</v>
      </c>
      <c r="M526" s="24" t="n">
        <f aca="false">IF(F526&lt;=0,0,K526/F526)</f>
        <v>59.7777419354839</v>
      </c>
      <c r="N526" s="21" t="n">
        <v>59.99</v>
      </c>
      <c r="O526" s="49" t="n">
        <v>1.35</v>
      </c>
      <c r="P526" s="24" t="n">
        <f aca="false">O526*'Price Groups'!$B$5</f>
        <v>30.375</v>
      </c>
      <c r="Q526" s="26" t="n">
        <f aca="false">IF(OR(N526="",P526=""),"",(N526-P526)/N526)</f>
        <v>0.493665610935156</v>
      </c>
      <c r="R526" s="27" t="n">
        <v>1</v>
      </c>
      <c r="S526" s="28" t="n">
        <f aca="false">IF(R526="-",0,IFERROR(VLOOKUP(R526,'Price Groups'!$A$13:$C$17,3,FALSE()),0))</f>
        <v>0.22</v>
      </c>
      <c r="T526" s="22" t="n">
        <f aca="false">IF(OR(N526="",R526="-"),"",CEILING(ROUND(N526*(1+S526),2),IF(N526*(1+S526)&lt;100,0.5,IF(N526*(1+S526)&lt;1000,1,5))))</f>
        <v>73.5</v>
      </c>
      <c r="U526" s="26" t="n">
        <f aca="false">IF(OR(T526="",P526=""),"",(T526-P526)/T526)</f>
        <v>0.586734693877551</v>
      </c>
      <c r="V526" s="26" t="n">
        <f aca="false">IF(T526="",0,T526/N526-1)</f>
        <v>0.225204200700117</v>
      </c>
      <c r="W526" s="19" t="s">
        <v>94</v>
      </c>
    </row>
    <row r="527" customFormat="false" ht="15" hidden="false" customHeight="false" outlineLevel="0" collapsed="false">
      <c r="A527" s="38" t="n">
        <v>476</v>
      </c>
      <c r="B527" s="38" t="s">
        <v>683</v>
      </c>
      <c r="C527" s="38" t="s">
        <v>57</v>
      </c>
      <c r="D527" s="38"/>
      <c r="E527" s="38" t="s">
        <v>58</v>
      </c>
      <c r="F527" s="39" t="n">
        <v>31</v>
      </c>
      <c r="G527" s="39" t="n">
        <v>28</v>
      </c>
      <c r="H527" s="40" t="n">
        <v>6982.48</v>
      </c>
      <c r="I527" s="40" t="n">
        <v>-61.36</v>
      </c>
      <c r="J527" s="40" t="n">
        <v>-848</v>
      </c>
      <c r="K527" s="41" t="n">
        <f aca="false">H527+I527+J527</f>
        <v>6073.12</v>
      </c>
      <c r="L527" s="42" t="n">
        <f aca="false">IF($K$1282=0,0,K527/$K$1282)</f>
        <v>0.000503087772944534</v>
      </c>
      <c r="M527" s="43" t="n">
        <f aca="false">IF(F527&lt;=0,0,K527/F527)</f>
        <v>195.907096774194</v>
      </c>
      <c r="N527" s="40" t="n">
        <v>185</v>
      </c>
      <c r="O527" s="44" t="n">
        <v>5.11</v>
      </c>
      <c r="P527" s="43" t="n">
        <f aca="false">O527*'Price Groups'!$B$5</f>
        <v>114.975</v>
      </c>
      <c r="Q527" s="45" t="n">
        <f aca="false">IF(OR(N527="",P527=""),"",(N527-P527)/N527)</f>
        <v>0.378513513513514</v>
      </c>
      <c r="R527" s="46" t="n">
        <v>1</v>
      </c>
      <c r="S527" s="47" t="n">
        <f aca="false">IF(R527="-",0,IFERROR(VLOOKUP(R527,'Price Groups'!$A$13:$C$17,3,FALSE()),0))</f>
        <v>0.22</v>
      </c>
      <c r="T527" s="41" t="n">
        <f aca="false">IF(OR(N527="",R527="-"),"",CEILING(ROUND(N527*(1+S527),2),IF(N527*(1+S527)&lt;100,0.5,IF(N527*(1+S527)&lt;1000,1,5))))</f>
        <v>226</v>
      </c>
      <c r="U527" s="45" t="n">
        <f aca="false">IF(OR(T527="",P527=""),"",(T527-P527)/T527)</f>
        <v>0.491261061946903</v>
      </c>
      <c r="V527" s="45" t="n">
        <f aca="false">IF(T527="",0,T527/N527-1)</f>
        <v>0.221621621621622</v>
      </c>
      <c r="W527" s="38" t="s">
        <v>94</v>
      </c>
    </row>
    <row r="528" customFormat="false" ht="15" hidden="false" customHeight="false" outlineLevel="0" collapsed="false">
      <c r="A528" s="19" t="n">
        <v>477</v>
      </c>
      <c r="B528" s="19" t="s">
        <v>684</v>
      </c>
      <c r="C528" s="19" t="s">
        <v>57</v>
      </c>
      <c r="D528" s="19"/>
      <c r="E528" s="19" t="s">
        <v>58</v>
      </c>
      <c r="F528" s="20" t="n">
        <v>31</v>
      </c>
      <c r="G528" s="20" t="n">
        <v>32</v>
      </c>
      <c r="H528" s="21" t="n">
        <v>5942.48</v>
      </c>
      <c r="I528" s="21" t="n">
        <v>-32.6</v>
      </c>
      <c r="J528" s="21" t="n">
        <v>-1539.86</v>
      </c>
      <c r="K528" s="22" t="n">
        <f aca="false">H528+I528+J528</f>
        <v>4370.02</v>
      </c>
      <c r="L528" s="23" t="n">
        <f aca="false">IF($K$1282=0,0,K528/$K$1282)</f>
        <v>0.000362005629647211</v>
      </c>
      <c r="M528" s="24" t="n">
        <f aca="false">IF(F528&lt;=0,0,K528/F528)</f>
        <v>140.968387096774</v>
      </c>
      <c r="N528" s="21" t="n">
        <v>169.99</v>
      </c>
      <c r="O528" s="49" t="n">
        <v>3.65</v>
      </c>
      <c r="P528" s="24" t="n">
        <f aca="false">O528*'Price Groups'!$B$5</f>
        <v>82.125</v>
      </c>
      <c r="Q528" s="26" t="n">
        <f aca="false">IF(OR(N528="",P528=""),"",(N528-P528)/N528)</f>
        <v>0.516883346079181</v>
      </c>
      <c r="R528" s="27" t="n">
        <v>1</v>
      </c>
      <c r="S528" s="28" t="n">
        <f aca="false">IF(R528="-",0,IFERROR(VLOOKUP(R528,'Price Groups'!$A$13:$C$17,3,FALSE()),0))</f>
        <v>0.22</v>
      </c>
      <c r="T528" s="22" t="n">
        <f aca="false">IF(OR(N528="",R528="-"),"",CEILING(ROUND(N528*(1+S528),2),IF(N528*(1+S528)&lt;100,0.5,IF(N528*(1+S528)&lt;1000,1,5))))</f>
        <v>208</v>
      </c>
      <c r="U528" s="26" t="n">
        <f aca="false">IF(OR(T528="",P528=""),"",(T528-P528)/T528)</f>
        <v>0.605168269230769</v>
      </c>
      <c r="V528" s="26" t="n">
        <f aca="false">IF(T528="",0,T528/N528-1)</f>
        <v>0.22360138831696</v>
      </c>
      <c r="W528" s="19" t="s">
        <v>94</v>
      </c>
    </row>
    <row r="529" customFormat="false" ht="15" hidden="false" customHeight="false" outlineLevel="0" collapsed="false">
      <c r="A529" s="38" t="n">
        <v>478</v>
      </c>
      <c r="B529" s="38" t="s">
        <v>685</v>
      </c>
      <c r="C529" s="38" t="s">
        <v>57</v>
      </c>
      <c r="D529" s="38"/>
      <c r="E529" s="38" t="s">
        <v>58</v>
      </c>
      <c r="F529" s="39" t="n">
        <v>31</v>
      </c>
      <c r="G529" s="39" t="n">
        <v>25</v>
      </c>
      <c r="H529" s="40" t="n">
        <v>11439</v>
      </c>
      <c r="I529" s="40" t="n">
        <v>0</v>
      </c>
      <c r="J529" s="40" t="n">
        <v>0</v>
      </c>
      <c r="K529" s="41" t="n">
        <f aca="false">H529+I529+J529</f>
        <v>11439</v>
      </c>
      <c r="L529" s="42" t="n">
        <f aca="false">IF($K$1282=0,0,K529/$K$1282)</f>
        <v>0.000947588889189169</v>
      </c>
      <c r="M529" s="43" t="n">
        <f aca="false">IF(F529&lt;=0,0,K529/F529)</f>
        <v>369</v>
      </c>
      <c r="N529" s="40" t="n">
        <v>369</v>
      </c>
      <c r="O529" s="44" t="n">
        <v>12</v>
      </c>
      <c r="P529" s="43" t="n">
        <f aca="false">O529*'Price Groups'!$B$5</f>
        <v>270</v>
      </c>
      <c r="Q529" s="45" t="n">
        <f aca="false">IF(OR(N529="",P529=""),"",(N529-P529)/N529)</f>
        <v>0.268292682926829</v>
      </c>
      <c r="R529" s="46" t="n">
        <v>2</v>
      </c>
      <c r="S529" s="47" t="n">
        <f aca="false">IF(R529="-",0,IFERROR(VLOOKUP(R529,'Price Groups'!$A$13:$C$17,3,FALSE()),0))</f>
        <v>0.18</v>
      </c>
      <c r="T529" s="41" t="n">
        <f aca="false">IF(OR(N529="",R529="-"),"",CEILING(ROUND(N529*(1+S529),2),IF(N529*(1+S529)&lt;100,0.5,IF(N529*(1+S529)&lt;1000,1,5))))</f>
        <v>436</v>
      </c>
      <c r="U529" s="45" t="n">
        <f aca="false">IF(OR(T529="",P529=""),"",(T529-P529)/T529)</f>
        <v>0.380733944954128</v>
      </c>
      <c r="V529" s="45" t="n">
        <f aca="false">IF(T529="",0,T529/N529-1)</f>
        <v>0.181571815718157</v>
      </c>
      <c r="W529" s="38" t="s">
        <v>686</v>
      </c>
    </row>
    <row r="530" customFormat="false" ht="15" hidden="false" customHeight="false" outlineLevel="0" collapsed="false">
      <c r="A530" s="19" t="n">
        <v>479</v>
      </c>
      <c r="B530" s="19" t="s">
        <v>687</v>
      </c>
      <c r="C530" s="19" t="s">
        <v>57</v>
      </c>
      <c r="D530" s="19"/>
      <c r="E530" s="19" t="s">
        <v>58</v>
      </c>
      <c r="F530" s="20" t="n">
        <v>31</v>
      </c>
      <c r="G530" s="20" t="n">
        <v>19</v>
      </c>
      <c r="H530" s="21" t="n">
        <v>12399.69</v>
      </c>
      <c r="I530" s="21" t="n">
        <v>-359.91</v>
      </c>
      <c r="J530" s="21" t="n">
        <v>0</v>
      </c>
      <c r="K530" s="22" t="n">
        <f aca="false">H530+I530+J530</f>
        <v>12039.78</v>
      </c>
      <c r="L530" s="23" t="n">
        <f aca="false">IF($K$1282=0,0,K530/$K$1282)</f>
        <v>0.000997356565808373</v>
      </c>
      <c r="M530" s="24" t="n">
        <f aca="false">IF(F530&lt;=0,0,K530/F530)</f>
        <v>388.38</v>
      </c>
      <c r="N530" s="21" t="n">
        <v>399.99</v>
      </c>
      <c r="O530" s="49" t="n">
        <v>13</v>
      </c>
      <c r="P530" s="24" t="n">
        <f aca="false">O530*'Price Groups'!$B$5</f>
        <v>292.5</v>
      </c>
      <c r="Q530" s="26" t="n">
        <f aca="false">IF(OR(N530="",P530=""),"",(N530-P530)/N530)</f>
        <v>0.268731718292957</v>
      </c>
      <c r="R530" s="27" t="n">
        <v>2</v>
      </c>
      <c r="S530" s="28" t="n">
        <f aca="false">IF(R530="-",0,IFERROR(VLOOKUP(R530,'Price Groups'!$A$13:$C$17,3,FALSE()),0))</f>
        <v>0.18</v>
      </c>
      <c r="T530" s="22" t="n">
        <f aca="false">IF(OR(N530="",R530="-"),"",CEILING(ROUND(N530*(1+S530),2),IF(N530*(1+S530)&lt;100,0.5,IF(N530*(1+S530)&lt;1000,1,5))))</f>
        <v>472</v>
      </c>
      <c r="U530" s="26" t="n">
        <f aca="false">IF(OR(T530="",P530=""),"",(T530-P530)/T530)</f>
        <v>0.380296610169492</v>
      </c>
      <c r="V530" s="26" t="n">
        <f aca="false">IF(T530="",0,T530/N530-1)</f>
        <v>0.180029500737518</v>
      </c>
      <c r="W530" s="19" t="s">
        <v>686</v>
      </c>
    </row>
    <row r="531" customFormat="false" ht="15" hidden="false" customHeight="false" outlineLevel="0" collapsed="false">
      <c r="A531" s="38" t="n">
        <v>480</v>
      </c>
      <c r="B531" s="38" t="s">
        <v>688</v>
      </c>
      <c r="C531" s="38" t="s">
        <v>57</v>
      </c>
      <c r="D531" s="38"/>
      <c r="E531" s="38" t="s">
        <v>58</v>
      </c>
      <c r="F531" s="39" t="n">
        <v>31</v>
      </c>
      <c r="G531" s="39" t="n">
        <v>21</v>
      </c>
      <c r="H531" s="40" t="n">
        <v>1519</v>
      </c>
      <c r="I531" s="40" t="n">
        <v>0</v>
      </c>
      <c r="J531" s="40" t="n">
        <v>0</v>
      </c>
      <c r="K531" s="41" t="n">
        <f aca="false">H531+I531+J531</f>
        <v>1519</v>
      </c>
      <c r="L531" s="42" t="n">
        <f aca="false">IF($K$1282=0,0,K531/$K$1282)</f>
        <v>0.000125831586911299</v>
      </c>
      <c r="M531" s="43" t="n">
        <f aca="false">IF(F531&lt;=0,0,K531/F531)</f>
        <v>49</v>
      </c>
      <c r="N531" s="40" t="n">
        <v>49</v>
      </c>
      <c r="O531" s="44" t="n">
        <v>1.3</v>
      </c>
      <c r="P531" s="43" t="n">
        <f aca="false">O531*'Price Groups'!$B$5</f>
        <v>29.25</v>
      </c>
      <c r="Q531" s="45" t="n">
        <f aca="false">IF(OR(N531="",P531=""),"",(N531-P531)/N531)</f>
        <v>0.403061224489796</v>
      </c>
      <c r="R531" s="46" t="n">
        <v>1</v>
      </c>
      <c r="S531" s="47" t="n">
        <f aca="false">IF(R531="-",0,IFERROR(VLOOKUP(R531,'Price Groups'!$A$13:$C$17,3,FALSE()),0))</f>
        <v>0.22</v>
      </c>
      <c r="T531" s="41" t="n">
        <f aca="false">IF(OR(N531="",R531="-"),"",CEILING(ROUND(N531*(1+S531),2),IF(N531*(1+S531)&lt;100,0.5,IF(N531*(1+S531)&lt;1000,1,5))))</f>
        <v>60</v>
      </c>
      <c r="U531" s="45" t="n">
        <f aca="false">IF(OR(T531="",P531=""),"",(T531-P531)/T531)</f>
        <v>0.5125</v>
      </c>
      <c r="V531" s="45" t="n">
        <f aca="false">IF(T531="",0,T531/N531-1)</f>
        <v>0.224489795918367</v>
      </c>
      <c r="W531" s="38" t="s">
        <v>94</v>
      </c>
    </row>
    <row r="532" customFormat="false" ht="15" hidden="false" customHeight="false" outlineLevel="0" collapsed="false">
      <c r="A532" s="19" t="n">
        <v>481</v>
      </c>
      <c r="B532" s="19" t="s">
        <v>689</v>
      </c>
      <c r="C532" s="19" t="s">
        <v>57</v>
      </c>
      <c r="D532" s="19"/>
      <c r="E532" s="19" t="s">
        <v>58</v>
      </c>
      <c r="F532" s="20" t="n">
        <v>30</v>
      </c>
      <c r="G532" s="20" t="n">
        <v>22</v>
      </c>
      <c r="H532" s="21" t="n">
        <v>1974.7</v>
      </c>
      <c r="I532" s="21" t="n">
        <v>-37.22</v>
      </c>
      <c r="J532" s="21" t="n">
        <v>-75.99</v>
      </c>
      <c r="K532" s="22" t="n">
        <f aca="false">H532+I532+J532</f>
        <v>1861.49</v>
      </c>
      <c r="L532" s="23" t="n">
        <f aca="false">IF($K$1282=0,0,K532/$K$1282)</f>
        <v>0.000154202923449318</v>
      </c>
      <c r="M532" s="24" t="n">
        <f aca="false">IF(F532&lt;=0,0,K532/F532)</f>
        <v>62.0496666666667</v>
      </c>
      <c r="N532" s="21" t="n">
        <v>79.99</v>
      </c>
      <c r="O532" s="49" t="n">
        <v>2.97</v>
      </c>
      <c r="P532" s="24" t="n">
        <f aca="false">O532*'Price Groups'!$B$5</f>
        <v>66.825</v>
      </c>
      <c r="Q532" s="26" t="n">
        <f aca="false">IF(OR(N532="",P532=""),"",(N532-P532)/N532)</f>
        <v>0.16458307288411</v>
      </c>
      <c r="R532" s="27" t="n">
        <v>1</v>
      </c>
      <c r="S532" s="28" t="n">
        <f aca="false">IF(R532="-",0,IFERROR(VLOOKUP(R532,'Price Groups'!$A$13:$C$17,3,FALSE()),0))</f>
        <v>0.22</v>
      </c>
      <c r="T532" s="22" t="n">
        <f aca="false">IF(OR(N532="",R532="-"),"",CEILING(ROUND(N532*(1+S532),2),IF(N532*(1+S532)&lt;100,0.5,IF(N532*(1+S532)&lt;1000,1,5))))</f>
        <v>98</v>
      </c>
      <c r="U532" s="26" t="n">
        <f aca="false">IF(OR(T532="",P532=""),"",(T532-P532)/T532)</f>
        <v>0.318112244897959</v>
      </c>
      <c r="V532" s="26" t="n">
        <f aca="false">IF(T532="",0,T532/N532-1)</f>
        <v>0.225153144143018</v>
      </c>
      <c r="W532" s="19" t="s">
        <v>690</v>
      </c>
    </row>
    <row r="533" customFormat="false" ht="15" hidden="false" customHeight="false" outlineLevel="0" collapsed="false">
      <c r="A533" s="38" t="n">
        <v>482</v>
      </c>
      <c r="B533" s="38" t="s">
        <v>691</v>
      </c>
      <c r="C533" s="38" t="s">
        <v>57</v>
      </c>
      <c r="D533" s="38"/>
      <c r="E533" s="38" t="s">
        <v>58</v>
      </c>
      <c r="F533" s="39" t="n">
        <v>30</v>
      </c>
      <c r="G533" s="39" t="n">
        <v>17</v>
      </c>
      <c r="H533" s="40" t="n">
        <v>675.83</v>
      </c>
      <c r="I533" s="40" t="n">
        <v>-6.12</v>
      </c>
      <c r="J533" s="40" t="n">
        <v>-25</v>
      </c>
      <c r="K533" s="41" t="n">
        <f aca="false">H533+I533+J533</f>
        <v>644.71</v>
      </c>
      <c r="L533" s="42" t="n">
        <f aca="false">IF($K$1282=0,0,K533/$K$1282)</f>
        <v>5.34067691886659E-005</v>
      </c>
      <c r="M533" s="43" t="n">
        <f aca="false">IF(F533&lt;=0,0,K533/F533)</f>
        <v>21.4903333333333</v>
      </c>
      <c r="N533" s="40" t="n">
        <v>25</v>
      </c>
      <c r="O533" s="44" t="n">
        <v>0.56</v>
      </c>
      <c r="P533" s="43" t="n">
        <f aca="false">O533*'Price Groups'!$B$5</f>
        <v>12.6</v>
      </c>
      <c r="Q533" s="45" t="n">
        <f aca="false">IF(OR(N533="",P533=""),"",(N533-P533)/N533)</f>
        <v>0.496</v>
      </c>
      <c r="R533" s="46" t="n">
        <v>1</v>
      </c>
      <c r="S533" s="47" t="n">
        <f aca="false">IF(R533="-",0,IFERROR(VLOOKUP(R533,'Price Groups'!$A$13:$C$17,3,FALSE()),0))</f>
        <v>0.22</v>
      </c>
      <c r="T533" s="41" t="n">
        <f aca="false">IF(OR(N533="",R533="-"),"",CEILING(ROUND(N533*(1+S533),2),IF(N533*(1+S533)&lt;100,0.5,IF(N533*(1+S533)&lt;1000,1,5))))</f>
        <v>30.5</v>
      </c>
      <c r="U533" s="45" t="n">
        <f aca="false">IF(OR(T533="",P533=""),"",(T533-P533)/T533)</f>
        <v>0.586885245901639</v>
      </c>
      <c r="V533" s="45" t="n">
        <f aca="false">IF(T533="",0,T533/N533-1)</f>
        <v>0.22</v>
      </c>
      <c r="W533" s="38" t="s">
        <v>94</v>
      </c>
    </row>
    <row r="534" customFormat="false" ht="15" hidden="false" customHeight="false" outlineLevel="0" collapsed="false">
      <c r="A534" s="19" t="n">
        <v>483</v>
      </c>
      <c r="B534" s="19" t="s">
        <v>692</v>
      </c>
      <c r="C534" s="19" t="s">
        <v>57</v>
      </c>
      <c r="D534" s="19"/>
      <c r="E534" s="19" t="s">
        <v>58</v>
      </c>
      <c r="F534" s="20" t="n">
        <v>30</v>
      </c>
      <c r="G534" s="20" t="n">
        <v>26</v>
      </c>
      <c r="H534" s="21" t="n">
        <v>3099.69</v>
      </c>
      <c r="I534" s="21" t="n">
        <v>-29.97</v>
      </c>
      <c r="J534" s="21" t="n">
        <v>-99.99</v>
      </c>
      <c r="K534" s="22" t="n">
        <f aca="false">H534+I534+J534</f>
        <v>2969.73</v>
      </c>
      <c r="L534" s="23" t="n">
        <f aca="false">IF($K$1282=0,0,K534/$K$1282)</f>
        <v>0.000246007793678796</v>
      </c>
      <c r="M534" s="24" t="n">
        <f aca="false">IF(F534&lt;=0,0,K534/F534)</f>
        <v>98.991</v>
      </c>
      <c r="N534" s="21" t="n">
        <v>99.99</v>
      </c>
      <c r="O534" s="49" t="n">
        <v>2.1</v>
      </c>
      <c r="P534" s="24" t="n">
        <f aca="false">O534*'Price Groups'!$B$5</f>
        <v>47.25</v>
      </c>
      <c r="Q534" s="26" t="n">
        <f aca="false">IF(OR(N534="",P534=""),"",(N534-P534)/N534)</f>
        <v>0.527452745274528</v>
      </c>
      <c r="R534" s="27" t="n">
        <v>1</v>
      </c>
      <c r="S534" s="28" t="n">
        <f aca="false">IF(R534="-",0,IFERROR(VLOOKUP(R534,'Price Groups'!$A$13:$C$17,3,FALSE()),0))</f>
        <v>0.22</v>
      </c>
      <c r="T534" s="22" t="n">
        <f aca="false">IF(OR(N534="",R534="-"),"",CEILING(ROUND(N534*(1+S534),2),IF(N534*(1+S534)&lt;100,0.5,IF(N534*(1+S534)&lt;1000,1,5))))</f>
        <v>122</v>
      </c>
      <c r="U534" s="26" t="n">
        <f aca="false">IF(OR(T534="",P534=""),"",(T534-P534)/T534)</f>
        <v>0.612704918032787</v>
      </c>
      <c r="V534" s="26" t="n">
        <f aca="false">IF(T534="",0,T534/N534-1)</f>
        <v>0.22012201220122</v>
      </c>
      <c r="W534" s="19" t="s">
        <v>94</v>
      </c>
    </row>
    <row r="535" customFormat="false" ht="15" hidden="false" customHeight="false" outlineLevel="0" collapsed="false">
      <c r="A535" s="38" t="n">
        <v>484</v>
      </c>
      <c r="B535" s="38" t="s">
        <v>693</v>
      </c>
      <c r="C535" s="38" t="s">
        <v>57</v>
      </c>
      <c r="D535" s="38"/>
      <c r="E535" s="38" t="s">
        <v>58</v>
      </c>
      <c r="F535" s="39" t="n">
        <v>30</v>
      </c>
      <c r="G535" s="39" t="n">
        <v>25</v>
      </c>
      <c r="H535" s="40" t="n">
        <v>968.5</v>
      </c>
      <c r="I535" s="40" t="n">
        <v>-4.16</v>
      </c>
      <c r="J535" s="40" t="n">
        <v>-286.98</v>
      </c>
      <c r="K535" s="41" t="n">
        <f aca="false">H535+I535+J535</f>
        <v>677.36</v>
      </c>
      <c r="L535" s="42" t="n">
        <f aca="false">IF($K$1282=0,0,K535/$K$1282)</f>
        <v>5.61114441805381E-005</v>
      </c>
      <c r="M535" s="43" t="n">
        <f aca="false">IF(F535&lt;=0,0,K535/F535)</f>
        <v>22.5786666666667</v>
      </c>
      <c r="N535" s="40" t="n">
        <v>30.4</v>
      </c>
      <c r="O535" s="44" t="n">
        <v>0.54</v>
      </c>
      <c r="P535" s="43" t="n">
        <f aca="false">O535*'Price Groups'!$B$5</f>
        <v>12.15</v>
      </c>
      <c r="Q535" s="45" t="n">
        <f aca="false">IF(OR(N535="",P535=""),"",(N535-P535)/N535)</f>
        <v>0.600328947368421</v>
      </c>
      <c r="R535" s="46" t="n">
        <v>1</v>
      </c>
      <c r="S535" s="47" t="n">
        <f aca="false">IF(R535="-",0,IFERROR(VLOOKUP(R535,'Price Groups'!$A$13:$C$17,3,FALSE()),0))</f>
        <v>0.22</v>
      </c>
      <c r="T535" s="41" t="n">
        <f aca="false">IF(OR(N535="",R535="-"),"",CEILING(ROUND(N535*(1+S535),2),IF(N535*(1+S535)&lt;100,0.5,IF(N535*(1+S535)&lt;1000,1,5))))</f>
        <v>37.5</v>
      </c>
      <c r="U535" s="45" t="n">
        <f aca="false">IF(OR(T535="",P535=""),"",(T535-P535)/T535)</f>
        <v>0.676</v>
      </c>
      <c r="V535" s="45" t="n">
        <f aca="false">IF(T535="",0,T535/N535-1)</f>
        <v>0.233552631578947</v>
      </c>
      <c r="W535" s="38" t="s">
        <v>94</v>
      </c>
    </row>
    <row r="536" customFormat="false" ht="15" hidden="false" customHeight="false" outlineLevel="0" collapsed="false">
      <c r="A536" s="19" t="n">
        <v>485</v>
      </c>
      <c r="B536" s="19" t="s">
        <v>694</v>
      </c>
      <c r="C536" s="19" t="s">
        <v>57</v>
      </c>
      <c r="D536" s="19"/>
      <c r="E536" s="19" t="s">
        <v>58</v>
      </c>
      <c r="F536" s="20" t="n">
        <v>30</v>
      </c>
      <c r="G536" s="20" t="n">
        <v>6</v>
      </c>
      <c r="H536" s="21" t="n">
        <v>779.19</v>
      </c>
      <c r="I536" s="21" t="n">
        <v>-5.44</v>
      </c>
      <c r="J536" s="21" t="n">
        <v>-24.99</v>
      </c>
      <c r="K536" s="22" t="n">
        <f aca="false">H536+I536+J536</f>
        <v>748.76</v>
      </c>
      <c r="L536" s="23" t="n">
        <f aca="false">IF($K$1282=0,0,K536/$K$1282)</f>
        <v>6.20261086344333E-005</v>
      </c>
      <c r="M536" s="24" t="n">
        <f aca="false">IF(F536&lt;=0,0,K536/F536)</f>
        <v>24.9586666666667</v>
      </c>
      <c r="N536" s="21" t="n">
        <v>27.24</v>
      </c>
      <c r="O536" s="49" t="n">
        <v>0.45</v>
      </c>
      <c r="P536" s="24" t="n">
        <f aca="false">O536*'Price Groups'!$B$5</f>
        <v>10.125</v>
      </c>
      <c r="Q536" s="26" t="n">
        <f aca="false">IF(OR(N536="",P536=""),"",(N536-P536)/N536)</f>
        <v>0.628303964757709</v>
      </c>
      <c r="R536" s="27" t="n">
        <v>1</v>
      </c>
      <c r="S536" s="28" t="n">
        <f aca="false">IF(R536="-",0,IFERROR(VLOOKUP(R536,'Price Groups'!$A$13:$C$17,3,FALSE()),0))</f>
        <v>0.22</v>
      </c>
      <c r="T536" s="22" t="n">
        <f aca="false">IF(OR(N536="",R536="-"),"",CEILING(ROUND(N536*(1+S536),2),IF(N536*(1+S536)&lt;100,0.5,IF(N536*(1+S536)&lt;1000,1,5))))</f>
        <v>33.5</v>
      </c>
      <c r="U536" s="26" t="n">
        <f aca="false">IF(OR(T536="",P536=""),"",(T536-P536)/T536)</f>
        <v>0.697761194029851</v>
      </c>
      <c r="V536" s="26" t="n">
        <f aca="false">IF(T536="",0,T536/N536-1)</f>
        <v>0.229809104258444</v>
      </c>
      <c r="W536" s="19" t="s">
        <v>94</v>
      </c>
    </row>
    <row r="537" customFormat="false" ht="15" hidden="false" customHeight="false" outlineLevel="0" collapsed="false">
      <c r="A537" s="38" t="n">
        <v>486</v>
      </c>
      <c r="B537" s="38" t="s">
        <v>695</v>
      </c>
      <c r="C537" s="38" t="s">
        <v>57</v>
      </c>
      <c r="D537" s="38"/>
      <c r="E537" s="38" t="s">
        <v>58</v>
      </c>
      <c r="F537" s="39" t="n">
        <v>30</v>
      </c>
      <c r="G537" s="39" t="n">
        <v>25</v>
      </c>
      <c r="H537" s="40" t="n">
        <v>3023.67</v>
      </c>
      <c r="I537" s="40" t="n">
        <v>-26.97</v>
      </c>
      <c r="J537" s="40" t="n">
        <v>-272.67</v>
      </c>
      <c r="K537" s="41" t="n">
        <f aca="false">H537+I537+J537</f>
        <v>2724.03</v>
      </c>
      <c r="L537" s="42" t="n">
        <f aca="false">IF($K$1282=0,0,K537/$K$1282)</f>
        <v>0.000225654389528628</v>
      </c>
      <c r="M537" s="43" t="n">
        <f aca="false">IF(F537&lt;=0,0,K537/F537)</f>
        <v>90.801</v>
      </c>
      <c r="N537" s="40" t="n">
        <v>79.99</v>
      </c>
      <c r="O537" s="44" t="n">
        <v>1.76</v>
      </c>
      <c r="P537" s="43" t="n">
        <f aca="false">O537*'Price Groups'!$B$5</f>
        <v>39.6</v>
      </c>
      <c r="Q537" s="45" t="n">
        <f aca="false">IF(OR(N537="",P537=""),"",(N537-P537)/N537)</f>
        <v>0.504938117264658</v>
      </c>
      <c r="R537" s="46" t="n">
        <v>1</v>
      </c>
      <c r="S537" s="47" t="n">
        <f aca="false">IF(R537="-",0,IFERROR(VLOOKUP(R537,'Price Groups'!$A$13:$C$17,3,FALSE()),0))</f>
        <v>0.22</v>
      </c>
      <c r="T537" s="41" t="n">
        <f aca="false">IF(OR(N537="",R537="-"),"",CEILING(ROUND(N537*(1+S537),2),IF(N537*(1+S537)&lt;100,0.5,IF(N537*(1+S537)&lt;1000,1,5))))</f>
        <v>98</v>
      </c>
      <c r="U537" s="45" t="n">
        <f aca="false">IF(OR(T537="",P537=""),"",(T537-P537)/T537)</f>
        <v>0.595918367346939</v>
      </c>
      <c r="V537" s="45" t="n">
        <f aca="false">IF(T537="",0,T537/N537-1)</f>
        <v>0.225153144143018</v>
      </c>
      <c r="W537" s="38" t="s">
        <v>94</v>
      </c>
    </row>
    <row r="538" customFormat="false" ht="15" hidden="false" customHeight="false" outlineLevel="0" collapsed="false">
      <c r="A538" s="19" t="n">
        <v>487</v>
      </c>
      <c r="B538" s="19" t="s">
        <v>696</v>
      </c>
      <c r="C538" s="19" t="s">
        <v>57</v>
      </c>
      <c r="D538" s="19"/>
      <c r="E538" s="19" t="s">
        <v>58</v>
      </c>
      <c r="F538" s="20" t="n">
        <v>30</v>
      </c>
      <c r="G538" s="20" t="n">
        <v>16</v>
      </c>
      <c r="H538" s="21" t="n">
        <v>8969.61</v>
      </c>
      <c r="I538" s="21" t="n">
        <v>-22.99</v>
      </c>
      <c r="J538" s="21" t="n">
        <v>-2069.91</v>
      </c>
      <c r="K538" s="22" t="n">
        <f aca="false">H538+I538+J538</f>
        <v>6876.71</v>
      </c>
      <c r="L538" s="23" t="n">
        <f aca="false">IF($K$1282=0,0,K538/$K$1282)</f>
        <v>0.000569655913119683</v>
      </c>
      <c r="M538" s="24" t="n">
        <f aca="false">IF(F538&lt;=0,0,K538/F538)</f>
        <v>229.223666666667</v>
      </c>
      <c r="N538" s="21" t="n">
        <v>229.99</v>
      </c>
      <c r="O538" s="49" t="n">
        <v>6</v>
      </c>
      <c r="P538" s="24" t="n">
        <f aca="false">O538*'Price Groups'!$B$5</f>
        <v>135</v>
      </c>
      <c r="Q538" s="26" t="n">
        <f aca="false">IF(OR(N538="",P538=""),"",(N538-P538)/N538)</f>
        <v>0.413017957302491</v>
      </c>
      <c r="R538" s="27" t="n">
        <v>1</v>
      </c>
      <c r="S538" s="28" t="n">
        <f aca="false">IF(R538="-",0,IFERROR(VLOOKUP(R538,'Price Groups'!$A$13:$C$17,3,FALSE()),0))</f>
        <v>0.22</v>
      </c>
      <c r="T538" s="22" t="n">
        <f aca="false">IF(OR(N538="",R538="-"),"",CEILING(ROUND(N538*(1+S538),2),IF(N538*(1+S538)&lt;100,0.5,IF(N538*(1+S538)&lt;1000,1,5))))</f>
        <v>281</v>
      </c>
      <c r="U538" s="26" t="n">
        <f aca="false">IF(OR(T538="",P538=""),"",(T538-P538)/T538)</f>
        <v>0.519572953736655</v>
      </c>
      <c r="V538" s="26" t="n">
        <f aca="false">IF(T538="",0,T538/N538-1)</f>
        <v>0.221792251837036</v>
      </c>
      <c r="W538" s="19" t="s">
        <v>94</v>
      </c>
    </row>
    <row r="539" customFormat="false" ht="15" hidden="false" customHeight="false" outlineLevel="0" collapsed="false">
      <c r="A539" s="38" t="n">
        <v>488</v>
      </c>
      <c r="B539" s="38" t="s">
        <v>697</v>
      </c>
      <c r="C539" s="38" t="s">
        <v>57</v>
      </c>
      <c r="D539" s="38"/>
      <c r="E539" s="38" t="s">
        <v>58</v>
      </c>
      <c r="F539" s="39" t="n">
        <v>30</v>
      </c>
      <c r="G539" s="39" t="n">
        <v>20</v>
      </c>
      <c r="H539" s="40" t="n">
        <v>19799.67</v>
      </c>
      <c r="I539" s="40" t="n">
        <v>-66.37</v>
      </c>
      <c r="J539" s="40" t="n">
        <v>-1799.97</v>
      </c>
      <c r="K539" s="41" t="n">
        <f aca="false">H539+I539+J539</f>
        <v>17933.33</v>
      </c>
      <c r="L539" s="42" t="n">
        <f aca="false">IF($K$1282=0,0,K539/$K$1282)</f>
        <v>0.0014855690404898</v>
      </c>
      <c r="M539" s="43" t="n">
        <f aca="false">IF(F539&lt;=0,0,K539/F539)</f>
        <v>597.777666666667</v>
      </c>
      <c r="N539" s="40" t="n">
        <v>599.99</v>
      </c>
      <c r="O539" s="44" t="n">
        <v>13.18</v>
      </c>
      <c r="P539" s="43" t="n">
        <f aca="false">O539*'Price Groups'!$B$5</f>
        <v>296.55</v>
      </c>
      <c r="Q539" s="45" t="n">
        <f aca="false">IF(OR(N539="",P539=""),"",(N539-P539)/N539)</f>
        <v>0.505741762362706</v>
      </c>
      <c r="R539" s="46" t="n">
        <v>3</v>
      </c>
      <c r="S539" s="47" t="n">
        <f aca="false">IF(R539="-",0,IFERROR(VLOOKUP(R539,'Price Groups'!$A$13:$C$17,3,FALSE()),0))</f>
        <v>0.16</v>
      </c>
      <c r="T539" s="41" t="n">
        <f aca="false">IF(OR(N539="",R539="-"),"",CEILING(ROUND(N539*(1+S539),2),IF(N539*(1+S539)&lt;100,0.5,IF(N539*(1+S539)&lt;1000,1,5))))</f>
        <v>696</v>
      </c>
      <c r="U539" s="45" t="n">
        <f aca="false">IF(OR(T539="",P539=""),"",(T539-P539)/T539)</f>
        <v>0.573922413793103</v>
      </c>
      <c r="V539" s="45" t="n">
        <f aca="false">IF(T539="",0,T539/N539-1)</f>
        <v>0.160019333655561</v>
      </c>
      <c r="W539" s="38" t="s">
        <v>107</v>
      </c>
    </row>
    <row r="540" customFormat="false" ht="15" hidden="false" customHeight="false" outlineLevel="0" collapsed="false">
      <c r="A540" s="19" t="n">
        <v>489</v>
      </c>
      <c r="B540" s="19" t="s">
        <v>698</v>
      </c>
      <c r="C540" s="19" t="s">
        <v>57</v>
      </c>
      <c r="D540" s="19"/>
      <c r="E540" s="19" t="s">
        <v>58</v>
      </c>
      <c r="F540" s="20" t="n">
        <v>30</v>
      </c>
      <c r="G540" s="20" t="n">
        <v>28</v>
      </c>
      <c r="H540" s="21" t="n">
        <v>14245.45</v>
      </c>
      <c r="I540" s="21" t="n">
        <v>-40.95</v>
      </c>
      <c r="J540" s="21" t="n">
        <v>-1559</v>
      </c>
      <c r="K540" s="22" t="n">
        <f aca="false">H540+I540+J540</f>
        <v>12645.5</v>
      </c>
      <c r="L540" s="23" t="n">
        <f aca="false">IF($K$1282=0,0,K540/$K$1282)</f>
        <v>0.00104753346430996</v>
      </c>
      <c r="M540" s="24" t="n">
        <f aca="false">IF(F540&lt;=0,0,K540/F540)</f>
        <v>421.516666666667</v>
      </c>
      <c r="N540" s="21" t="n">
        <v>350</v>
      </c>
      <c r="O540" s="49" t="n">
        <v>8.41</v>
      </c>
      <c r="P540" s="24" t="n">
        <f aca="false">O540*'Price Groups'!$B$5</f>
        <v>189.225</v>
      </c>
      <c r="Q540" s="26" t="n">
        <f aca="false">IF(OR(N540="",P540=""),"",(N540-P540)/N540)</f>
        <v>0.459357142857143</v>
      </c>
      <c r="R540" s="27" t="n">
        <v>3</v>
      </c>
      <c r="S540" s="28" t="n">
        <f aca="false">IF(R540="-",0,IFERROR(VLOOKUP(R540,'Price Groups'!$A$13:$C$17,3,FALSE()),0))</f>
        <v>0.16</v>
      </c>
      <c r="T540" s="22" t="n">
        <f aca="false">IF(OR(N540="",R540="-"),"",CEILING(ROUND(N540*(1+S540),2),IF(N540*(1+S540)&lt;100,0.5,IF(N540*(1+S540)&lt;1000,1,5))))</f>
        <v>406</v>
      </c>
      <c r="U540" s="26" t="n">
        <f aca="false">IF(OR(T540="",P540=""),"",(T540-P540)/T540)</f>
        <v>0.533928571428571</v>
      </c>
      <c r="V540" s="26" t="n">
        <f aca="false">IF(T540="",0,T540/N540-1)</f>
        <v>0.16</v>
      </c>
      <c r="W540" s="19" t="s">
        <v>107</v>
      </c>
    </row>
    <row r="541" customFormat="false" ht="15" hidden="false" customHeight="false" outlineLevel="0" collapsed="false">
      <c r="A541" s="38" t="n">
        <v>490</v>
      </c>
      <c r="B541" s="38" t="s">
        <v>699</v>
      </c>
      <c r="C541" s="38" t="s">
        <v>57</v>
      </c>
      <c r="D541" s="38"/>
      <c r="E541" s="38" t="s">
        <v>58</v>
      </c>
      <c r="F541" s="39" t="n">
        <v>30</v>
      </c>
      <c r="G541" s="39" t="n">
        <v>15</v>
      </c>
      <c r="H541" s="40" t="n">
        <v>4029.69</v>
      </c>
      <c r="I541" s="40" t="n">
        <v>-12.99</v>
      </c>
      <c r="J541" s="40" t="n">
        <v>-129.99</v>
      </c>
      <c r="K541" s="41" t="n">
        <f aca="false">H541+I541+J541</f>
        <v>3886.71</v>
      </c>
      <c r="L541" s="42" t="n">
        <f aca="false">IF($K$1282=0,0,K541/$K$1282)</f>
        <v>0.000321968984308107</v>
      </c>
      <c r="M541" s="43" t="n">
        <f aca="false">IF(F541&lt;=0,0,K541/F541)</f>
        <v>129.557</v>
      </c>
      <c r="N541" s="40" t="n">
        <v>129.99</v>
      </c>
      <c r="O541" s="44" t="n">
        <v>2.65</v>
      </c>
      <c r="P541" s="43" t="n">
        <f aca="false">O541*'Price Groups'!$B$5</f>
        <v>59.625</v>
      </c>
      <c r="Q541" s="45" t="n">
        <f aca="false">IF(OR(N541="",P541=""),"",(N541-P541)/N541)</f>
        <v>0.541310870066928</v>
      </c>
      <c r="R541" s="46" t="n">
        <v>1</v>
      </c>
      <c r="S541" s="47" t="n">
        <f aca="false">IF(R541="-",0,IFERROR(VLOOKUP(R541,'Price Groups'!$A$13:$C$17,3,FALSE()),0))</f>
        <v>0.22</v>
      </c>
      <c r="T541" s="41" t="n">
        <f aca="false">IF(OR(N541="",R541="-"),"",CEILING(ROUND(N541*(1+S541),2),IF(N541*(1+S541)&lt;100,0.5,IF(N541*(1+S541)&lt;1000,1,5))))</f>
        <v>159</v>
      </c>
      <c r="U541" s="45" t="n">
        <f aca="false">IF(OR(T541="",P541=""),"",(T541-P541)/T541)</f>
        <v>0.625</v>
      </c>
      <c r="V541" s="45" t="n">
        <f aca="false">IF(T541="",0,T541/N541-1)</f>
        <v>0.223171013154858</v>
      </c>
      <c r="W541" s="38" t="s">
        <v>94</v>
      </c>
    </row>
    <row r="542" customFormat="false" ht="15" hidden="false" customHeight="false" outlineLevel="0" collapsed="false">
      <c r="A542" s="19" t="n">
        <v>491</v>
      </c>
      <c r="B542" s="19" t="s">
        <v>700</v>
      </c>
      <c r="C542" s="19" t="s">
        <v>57</v>
      </c>
      <c r="D542" s="19"/>
      <c r="E542" s="19" t="s">
        <v>58</v>
      </c>
      <c r="F542" s="20" t="n">
        <v>30</v>
      </c>
      <c r="G542" s="20" t="n">
        <v>25</v>
      </c>
      <c r="H542" s="21" t="n">
        <v>13199.67</v>
      </c>
      <c r="I542" s="21" t="n">
        <v>-59.99</v>
      </c>
      <c r="J542" s="21" t="n">
        <v>-1179.98</v>
      </c>
      <c r="K542" s="22" t="n">
        <f aca="false">H542+I542+J542</f>
        <v>11959.7</v>
      </c>
      <c r="L542" s="23" t="n">
        <f aca="false">IF($K$1282=0,0,K542/$K$1282)</f>
        <v>0.000990722863714984</v>
      </c>
      <c r="M542" s="24" t="n">
        <f aca="false">IF(F542&lt;=0,0,K542/F542)</f>
        <v>398.656666666667</v>
      </c>
      <c r="N542" s="21" t="n">
        <v>399.99</v>
      </c>
      <c r="O542" s="49" t="n">
        <v>13</v>
      </c>
      <c r="P542" s="24" t="n">
        <f aca="false">O542*'Price Groups'!$B$5</f>
        <v>292.5</v>
      </c>
      <c r="Q542" s="26" t="n">
        <f aca="false">IF(OR(N542="",P542=""),"",(N542-P542)/N542)</f>
        <v>0.268731718292957</v>
      </c>
      <c r="R542" s="27" t="n">
        <v>2</v>
      </c>
      <c r="S542" s="28" t="n">
        <f aca="false">IF(R542="-",0,IFERROR(VLOOKUP(R542,'Price Groups'!$A$13:$C$17,3,FALSE()),0))</f>
        <v>0.18</v>
      </c>
      <c r="T542" s="22" t="n">
        <f aca="false">IF(OR(N542="",R542="-"),"",CEILING(ROUND(N542*(1+S542),2),IF(N542*(1+S542)&lt;100,0.5,IF(N542*(1+S542)&lt;1000,1,5))))</f>
        <v>472</v>
      </c>
      <c r="U542" s="26" t="n">
        <f aca="false">IF(OR(T542="",P542=""),"",(T542-P542)/T542)</f>
        <v>0.380296610169492</v>
      </c>
      <c r="V542" s="26" t="n">
        <f aca="false">IF(T542="",0,T542/N542-1)</f>
        <v>0.180029500737518</v>
      </c>
      <c r="W542" s="19" t="s">
        <v>686</v>
      </c>
    </row>
    <row r="543" customFormat="false" ht="15" hidden="false" customHeight="false" outlineLevel="0" collapsed="false">
      <c r="A543" s="38" t="n">
        <v>492</v>
      </c>
      <c r="B543" s="38" t="s">
        <v>701</v>
      </c>
      <c r="C543" s="38" t="s">
        <v>57</v>
      </c>
      <c r="D543" s="38"/>
      <c r="E543" s="38" t="s">
        <v>58</v>
      </c>
      <c r="F543" s="39" t="n">
        <v>29</v>
      </c>
      <c r="G543" s="39" t="n">
        <v>7</v>
      </c>
      <c r="H543" s="40" t="n">
        <v>1884.96</v>
      </c>
      <c r="I543" s="40" t="n">
        <v>-3.99</v>
      </c>
      <c r="J543" s="40" t="n">
        <v>0</v>
      </c>
      <c r="K543" s="41" t="n">
        <f aca="false">H543+I543+J543</f>
        <v>1880.97</v>
      </c>
      <c r="L543" s="42" t="n">
        <f aca="false">IF($K$1282=0,0,K543/$K$1282)</f>
        <v>0.000155816616216291</v>
      </c>
      <c r="M543" s="43" t="n">
        <f aca="false">IF(F543&lt;=0,0,K543/F543)</f>
        <v>64.8610344827586</v>
      </c>
      <c r="N543" s="40" t="n">
        <v>69</v>
      </c>
      <c r="O543" s="44" t="n">
        <v>1.61</v>
      </c>
      <c r="P543" s="43" t="n">
        <f aca="false">O543*'Price Groups'!$B$5</f>
        <v>36.225</v>
      </c>
      <c r="Q543" s="45" t="n">
        <f aca="false">IF(OR(N543="",P543=""),"",(N543-P543)/N543)</f>
        <v>0.475</v>
      </c>
      <c r="R543" s="46" t="n">
        <v>1</v>
      </c>
      <c r="S543" s="47" t="n">
        <f aca="false">IF(R543="-",0,IFERROR(VLOOKUP(R543,'Price Groups'!$A$13:$C$17,3,FALSE()),0))</f>
        <v>0.22</v>
      </c>
      <c r="T543" s="41" t="n">
        <f aca="false">IF(OR(N543="",R543="-"),"",CEILING(ROUND(N543*(1+S543),2),IF(N543*(1+S543)&lt;100,0.5,IF(N543*(1+S543)&lt;1000,1,5))))</f>
        <v>84.5</v>
      </c>
      <c r="U543" s="45" t="n">
        <f aca="false">IF(OR(T543="",P543=""),"",(T543-P543)/T543)</f>
        <v>0.571301775147929</v>
      </c>
      <c r="V543" s="45" t="n">
        <f aca="false">IF(T543="",0,T543/N543-1)</f>
        <v>0.22463768115942</v>
      </c>
      <c r="W543" s="38" t="s">
        <v>94</v>
      </c>
    </row>
    <row r="544" customFormat="false" ht="15" hidden="false" customHeight="false" outlineLevel="0" collapsed="false">
      <c r="A544" s="19" t="n">
        <v>493</v>
      </c>
      <c r="B544" s="19" t="s">
        <v>702</v>
      </c>
      <c r="C544" s="19" t="s">
        <v>57</v>
      </c>
      <c r="D544" s="19"/>
      <c r="E544" s="19" t="s">
        <v>58</v>
      </c>
      <c r="F544" s="20" t="n">
        <v>29</v>
      </c>
      <c r="G544" s="20" t="n">
        <v>9</v>
      </c>
      <c r="H544" s="21" t="n">
        <v>1553.79</v>
      </c>
      <c r="I544" s="21" t="n">
        <v>0</v>
      </c>
      <c r="J544" s="21" t="n">
        <v>0</v>
      </c>
      <c r="K544" s="22" t="n">
        <f aca="false">H544+I544+J544</f>
        <v>1553.79</v>
      </c>
      <c r="L544" s="23" t="n">
        <f aca="false">IF($K$1282=0,0,K544/$K$1282)</f>
        <v>0.000128713536159912</v>
      </c>
      <c r="M544" s="24" t="n">
        <f aca="false">IF(F544&lt;=0,0,K544/F544)</f>
        <v>53.5789655172414</v>
      </c>
      <c r="N544" s="21" t="n">
        <v>64.99</v>
      </c>
      <c r="O544" s="49" t="n">
        <v>1.33</v>
      </c>
      <c r="P544" s="24" t="n">
        <f aca="false">O544*'Price Groups'!$B$5</f>
        <v>29.925</v>
      </c>
      <c r="Q544" s="26" t="n">
        <f aca="false">IF(OR(N544="",P544=""),"",(N544-P544)/N544)</f>
        <v>0.539544545314664</v>
      </c>
      <c r="R544" s="27" t="n">
        <v>1</v>
      </c>
      <c r="S544" s="28" t="n">
        <f aca="false">IF(R544="-",0,IFERROR(VLOOKUP(R544,'Price Groups'!$A$13:$C$17,3,FALSE()),0))</f>
        <v>0.22</v>
      </c>
      <c r="T544" s="22" t="n">
        <f aca="false">IF(OR(N544="",R544="-"),"",CEILING(ROUND(N544*(1+S544),2),IF(N544*(1+S544)&lt;100,0.5,IF(N544*(1+S544)&lt;1000,1,5))))</f>
        <v>79.5</v>
      </c>
      <c r="U544" s="26" t="n">
        <f aca="false">IF(OR(T544="",P544=""),"",(T544-P544)/T544)</f>
        <v>0.623584905660377</v>
      </c>
      <c r="V544" s="26" t="n">
        <f aca="false">IF(T544="",0,T544/N544-1)</f>
        <v>0.223265117710417</v>
      </c>
      <c r="W544" s="19" t="s">
        <v>94</v>
      </c>
    </row>
    <row r="545" customFormat="false" ht="15" hidden="false" customHeight="false" outlineLevel="0" collapsed="false">
      <c r="A545" s="38" t="n">
        <v>494</v>
      </c>
      <c r="B545" s="38" t="s">
        <v>703</v>
      </c>
      <c r="C545" s="38" t="s">
        <v>57</v>
      </c>
      <c r="D545" s="38"/>
      <c r="E545" s="38" t="s">
        <v>58</v>
      </c>
      <c r="F545" s="39" t="n">
        <v>29</v>
      </c>
      <c r="G545" s="39" t="n">
        <v>21</v>
      </c>
      <c r="H545" s="40" t="n">
        <v>11439</v>
      </c>
      <c r="I545" s="40" t="n">
        <v>-36.9</v>
      </c>
      <c r="J545" s="40" t="n">
        <v>-738</v>
      </c>
      <c r="K545" s="41" t="n">
        <f aca="false">H545+I545+J545</f>
        <v>10664.1</v>
      </c>
      <c r="L545" s="42" t="n">
        <f aca="false">IF($K$1282=0,0,K545/$K$1282)</f>
        <v>0.000883397383792483</v>
      </c>
      <c r="M545" s="43" t="n">
        <f aca="false">IF(F545&lt;=0,0,K545/F545)</f>
        <v>367.727586206897</v>
      </c>
      <c r="N545" s="40" t="n">
        <v>369</v>
      </c>
      <c r="O545" s="44" t="n">
        <v>12</v>
      </c>
      <c r="P545" s="43" t="n">
        <f aca="false">O545*'Price Groups'!$B$5</f>
        <v>270</v>
      </c>
      <c r="Q545" s="45" t="n">
        <f aca="false">IF(OR(N545="",P545=""),"",(N545-P545)/N545)</f>
        <v>0.268292682926829</v>
      </c>
      <c r="R545" s="46" t="n">
        <v>1</v>
      </c>
      <c r="S545" s="47" t="n">
        <f aca="false">IF(R545="-",0,IFERROR(VLOOKUP(R545,'Price Groups'!$A$13:$C$17,3,FALSE()),0))</f>
        <v>0.22</v>
      </c>
      <c r="T545" s="41" t="n">
        <f aca="false">IF(OR(N545="",R545="-"),"",CEILING(ROUND(N545*(1+S545),2),IF(N545*(1+S545)&lt;100,0.5,IF(N545*(1+S545)&lt;1000,1,5))))</f>
        <v>451</v>
      </c>
      <c r="U545" s="45" t="n">
        <f aca="false">IF(OR(T545="",P545=""),"",(T545-P545)/T545)</f>
        <v>0.401330376940133</v>
      </c>
      <c r="V545" s="45" t="n">
        <f aca="false">IF(T545="",0,T545/N545-1)</f>
        <v>0.222222222222222</v>
      </c>
      <c r="W545" s="38" t="s">
        <v>94</v>
      </c>
    </row>
    <row r="546" customFormat="false" ht="15" hidden="false" customHeight="false" outlineLevel="0" collapsed="false">
      <c r="A546" s="19" t="n">
        <v>495</v>
      </c>
      <c r="B546" s="19" t="s">
        <v>704</v>
      </c>
      <c r="C546" s="19" t="s">
        <v>57</v>
      </c>
      <c r="D546" s="19"/>
      <c r="E546" s="19" t="s">
        <v>58</v>
      </c>
      <c r="F546" s="20" t="n">
        <v>29</v>
      </c>
      <c r="G546" s="20" t="n">
        <v>8</v>
      </c>
      <c r="H546" s="21" t="n">
        <v>12579.99</v>
      </c>
      <c r="I546" s="21" t="n">
        <v>-481.91</v>
      </c>
      <c r="J546" s="21" t="n">
        <v>-3883.08</v>
      </c>
      <c r="K546" s="22" t="n">
        <f aca="false">H546+I546+J546</f>
        <v>8215</v>
      </c>
      <c r="L546" s="23" t="n">
        <f aca="false">IF($K$1282=0,0,K546/$K$1282)</f>
        <v>0.000680517765948861</v>
      </c>
      <c r="M546" s="24" t="n">
        <f aca="false">IF(F546&lt;=0,0,K546/F546)</f>
        <v>283.275862068966</v>
      </c>
      <c r="N546" s="21" t="n">
        <v>250</v>
      </c>
      <c r="O546" s="49" t="n">
        <v>6.44</v>
      </c>
      <c r="P546" s="24" t="n">
        <f aca="false">O546*'Price Groups'!$B$5</f>
        <v>144.9</v>
      </c>
      <c r="Q546" s="26" t="n">
        <f aca="false">IF(OR(N546="",P546=""),"",(N546-P546)/N546)</f>
        <v>0.4204</v>
      </c>
      <c r="R546" s="27" t="n">
        <v>1</v>
      </c>
      <c r="S546" s="28" t="n">
        <f aca="false">IF(R546="-",0,IFERROR(VLOOKUP(R546,'Price Groups'!$A$13:$C$17,3,FALSE()),0))</f>
        <v>0.22</v>
      </c>
      <c r="T546" s="22" t="n">
        <f aca="false">IF(OR(N546="",R546="-"),"",CEILING(ROUND(N546*(1+S546),2),IF(N546*(1+S546)&lt;100,0.5,IF(N546*(1+S546)&lt;1000,1,5))))</f>
        <v>305</v>
      </c>
      <c r="U546" s="26" t="n">
        <f aca="false">IF(OR(T546="",P546=""),"",(T546-P546)/T546)</f>
        <v>0.524918032786885</v>
      </c>
      <c r="V546" s="26" t="n">
        <f aca="false">IF(T546="",0,T546/N546-1)</f>
        <v>0.22</v>
      </c>
      <c r="W546" s="19" t="s">
        <v>94</v>
      </c>
    </row>
    <row r="547" customFormat="false" ht="15" hidden="false" customHeight="false" outlineLevel="0" collapsed="false">
      <c r="A547" s="38" t="n">
        <v>496</v>
      </c>
      <c r="B547" s="38" t="s">
        <v>705</v>
      </c>
      <c r="C547" s="38" t="s">
        <v>57</v>
      </c>
      <c r="D547" s="38"/>
      <c r="E547" s="38" t="s">
        <v>58</v>
      </c>
      <c r="F547" s="39" t="n">
        <v>29</v>
      </c>
      <c r="G547" s="39" t="n">
        <v>17</v>
      </c>
      <c r="H547" s="40" t="n">
        <v>8639.8</v>
      </c>
      <c r="I547" s="40" t="n">
        <v>0</v>
      </c>
      <c r="J547" s="40" t="n">
        <v>-739.99</v>
      </c>
      <c r="K547" s="41" t="n">
        <f aca="false">H547+I547+J547</f>
        <v>7899.81</v>
      </c>
      <c r="L547" s="42" t="n">
        <f aca="false">IF($K$1282=0,0,K547/$K$1282)</f>
        <v>0.000654407918760861</v>
      </c>
      <c r="M547" s="43" t="n">
        <f aca="false">IF(F547&lt;=0,0,K547/F547)</f>
        <v>272.40724137931</v>
      </c>
      <c r="N547" s="40" t="n">
        <v>220</v>
      </c>
      <c r="O547" s="44" t="n">
        <v>5.67</v>
      </c>
      <c r="P547" s="43" t="n">
        <f aca="false">O547*'Price Groups'!$B$5</f>
        <v>127.575</v>
      </c>
      <c r="Q547" s="45" t="n">
        <f aca="false">IF(OR(N547="",P547=""),"",(N547-P547)/N547)</f>
        <v>0.420113636363636</v>
      </c>
      <c r="R547" s="46" t="n">
        <v>1</v>
      </c>
      <c r="S547" s="47" t="n">
        <f aca="false">IF(R547="-",0,IFERROR(VLOOKUP(R547,'Price Groups'!$A$13:$C$17,3,FALSE()),0))</f>
        <v>0.22</v>
      </c>
      <c r="T547" s="41" t="n">
        <f aca="false">IF(OR(N547="",R547="-"),"",CEILING(ROUND(N547*(1+S547),2),IF(N547*(1+S547)&lt;100,0.5,IF(N547*(1+S547)&lt;1000,1,5))))</f>
        <v>269</v>
      </c>
      <c r="U547" s="45" t="n">
        <f aca="false">IF(OR(T547="",P547=""),"",(T547-P547)/T547)</f>
        <v>0.525743494423792</v>
      </c>
      <c r="V547" s="45" t="n">
        <f aca="false">IF(T547="",0,T547/N547-1)</f>
        <v>0.222727272727273</v>
      </c>
      <c r="W547" s="38" t="s">
        <v>94</v>
      </c>
    </row>
    <row r="548" customFormat="false" ht="15" hidden="false" customHeight="false" outlineLevel="0" collapsed="false">
      <c r="A548" s="19" t="n">
        <v>497</v>
      </c>
      <c r="B548" s="19" t="s">
        <v>236</v>
      </c>
      <c r="C548" s="19" t="s">
        <v>307</v>
      </c>
      <c r="D548" s="19" t="s">
        <v>235</v>
      </c>
      <c r="E548" s="19" t="s">
        <v>58</v>
      </c>
      <c r="F548" s="20" t="n">
        <v>28</v>
      </c>
      <c r="G548" s="20" t="n">
        <v>25</v>
      </c>
      <c r="H548" s="21" t="n">
        <v>4950</v>
      </c>
      <c r="I548" s="21" t="n">
        <v>-65.99</v>
      </c>
      <c r="J548" s="21" t="n">
        <v>-313.51</v>
      </c>
      <c r="K548" s="22" t="n">
        <f aca="false">H548+I548+J548</f>
        <v>4570.5</v>
      </c>
      <c r="L548" s="23" t="n">
        <f aca="false">IF($K$1282=0,0,K548/$K$1282)</f>
        <v>0.000378613079643247</v>
      </c>
      <c r="M548" s="24" t="n">
        <f aca="false">IF(F548&lt;=0,0,K548/F548)</f>
        <v>163.232142857143</v>
      </c>
      <c r="N548" s="21" t="n">
        <v>165</v>
      </c>
      <c r="O548" s="49" t="n">
        <v>4.74</v>
      </c>
      <c r="P548" s="24" t="n">
        <f aca="false">O548*'Price Groups'!$B$5</f>
        <v>106.65</v>
      </c>
      <c r="Q548" s="26" t="n">
        <f aca="false">IF(OR(N548="",P548=""),"",(N548-P548)/N548)</f>
        <v>0.353636363636364</v>
      </c>
      <c r="R548" s="27" t="n">
        <v>2</v>
      </c>
      <c r="S548" s="28" t="n">
        <f aca="false">IF(R548="-",0,IFERROR(VLOOKUP(R548,'Price Groups'!$A$13:$C$17,3,FALSE()),0))</f>
        <v>0.18</v>
      </c>
      <c r="T548" s="22" t="n">
        <f aca="false">IF(OR(N548="",R548="-"),"",CEILING(ROUND(N548*(1+S548),2),IF(N548*(1+S548)&lt;100,0.5,IF(N548*(1+S548)&lt;1000,1,5))))</f>
        <v>195</v>
      </c>
      <c r="U548" s="26" t="n">
        <f aca="false">IF(OR(T548="",P548=""),"",(T548-P548)/T548)</f>
        <v>0.453076923076923</v>
      </c>
      <c r="V548" s="26" t="n">
        <f aca="false">IF(T548="",0,T548/N548-1)</f>
        <v>0.181818181818182</v>
      </c>
      <c r="W548" s="19" t="s">
        <v>706</v>
      </c>
    </row>
    <row r="549" customFormat="false" ht="15" hidden="false" customHeight="false" outlineLevel="0" collapsed="false">
      <c r="A549" s="38" t="n">
        <v>498</v>
      </c>
      <c r="B549" s="38" t="s">
        <v>707</v>
      </c>
      <c r="C549" s="38" t="s">
        <v>57</v>
      </c>
      <c r="D549" s="38"/>
      <c r="E549" s="38" t="s">
        <v>58</v>
      </c>
      <c r="F549" s="39" t="n">
        <v>28</v>
      </c>
      <c r="G549" s="39" t="n">
        <v>24</v>
      </c>
      <c r="H549" s="40" t="n">
        <v>32341</v>
      </c>
      <c r="I549" s="40" t="n">
        <v>-183.32</v>
      </c>
      <c r="J549" s="40" t="n">
        <v>-3698</v>
      </c>
      <c r="K549" s="41" t="n">
        <f aca="false">H549+I549+J549</f>
        <v>28459.68</v>
      </c>
      <c r="L549" s="42" t="n">
        <f aca="false">IF($K$1282=0,0,K549/$K$1282)</f>
        <v>0.00235755542948503</v>
      </c>
      <c r="M549" s="43" t="n">
        <f aca="false">IF(F549&lt;=0,0,K549/F549)</f>
        <v>1016.41714285714</v>
      </c>
      <c r="N549" s="40" t="n">
        <v>900</v>
      </c>
      <c r="O549" s="44" t="n">
        <v>34.9</v>
      </c>
      <c r="P549" s="43" t="n">
        <f aca="false">O549*'Price Groups'!$B$5</f>
        <v>785.25</v>
      </c>
      <c r="Q549" s="45" t="n">
        <f aca="false">IF(OR(N549="",P549=""),"",(N549-P549)/N549)</f>
        <v>0.1275</v>
      </c>
      <c r="R549" s="46" t="n">
        <v>1</v>
      </c>
      <c r="S549" s="47" t="n">
        <f aca="false">IF(R549="-",0,IFERROR(VLOOKUP(R549,'Price Groups'!$A$13:$C$17,3,FALSE()),0))</f>
        <v>0.22</v>
      </c>
      <c r="T549" s="41" t="n">
        <f aca="false">IF(OR(N549="",R549="-"),"",CEILING(ROUND(N549*(1+S549),2),IF(N549*(1+S549)&lt;100,0.5,IF(N549*(1+S549)&lt;1000,1,5))))</f>
        <v>1100</v>
      </c>
      <c r="U549" s="45" t="n">
        <f aca="false">IF(OR(T549="",P549=""),"",(T549-P549)/T549)</f>
        <v>0.286136363636364</v>
      </c>
      <c r="V549" s="45" t="n">
        <f aca="false">IF(T549="",0,T549/N549-1)</f>
        <v>0.222222222222222</v>
      </c>
      <c r="W549" s="38" t="s">
        <v>476</v>
      </c>
    </row>
    <row r="550" customFormat="false" ht="15" hidden="false" customHeight="false" outlineLevel="0" collapsed="false">
      <c r="A550" s="19" t="n">
        <v>499</v>
      </c>
      <c r="B550" s="19" t="s">
        <v>708</v>
      </c>
      <c r="C550" s="19" t="s">
        <v>57</v>
      </c>
      <c r="D550" s="19"/>
      <c r="E550" s="19" t="s">
        <v>58</v>
      </c>
      <c r="F550" s="20" t="n">
        <v>28</v>
      </c>
      <c r="G550" s="20" t="n">
        <v>28</v>
      </c>
      <c r="H550" s="21" t="n">
        <v>10830.18</v>
      </c>
      <c r="I550" s="21" t="n">
        <v>-72.07</v>
      </c>
      <c r="J550" s="21" t="n">
        <v>-899.98</v>
      </c>
      <c r="K550" s="22" t="n">
        <f aca="false">H550+I550+J550</f>
        <v>9858.13</v>
      </c>
      <c r="L550" s="23" t="n">
        <f aca="false">IF($K$1282=0,0,K550/$K$1282)</f>
        <v>0.000816632088135538</v>
      </c>
      <c r="M550" s="24" t="n">
        <f aca="false">IF(F550&lt;=0,0,K550/F550)</f>
        <v>352.076071428572</v>
      </c>
      <c r="N550" s="21" t="n">
        <v>349.99</v>
      </c>
      <c r="O550" s="49" t="n">
        <v>8.7</v>
      </c>
      <c r="P550" s="24" t="n">
        <f aca="false">O550*'Price Groups'!$B$5</f>
        <v>195.75</v>
      </c>
      <c r="Q550" s="26" t="n">
        <f aca="false">IF(OR(N550="",P550=""),"",(N550-P550)/N550)</f>
        <v>0.440698305665876</v>
      </c>
      <c r="R550" s="27" t="n">
        <v>1</v>
      </c>
      <c r="S550" s="28" t="n">
        <f aca="false">IF(R550="-",0,IFERROR(VLOOKUP(R550,'Price Groups'!$A$13:$C$17,3,FALSE()),0))</f>
        <v>0.22</v>
      </c>
      <c r="T550" s="22" t="n">
        <f aca="false">IF(OR(N550="",R550="-"),"",CEILING(ROUND(N550*(1+S550),2),IF(N550*(1+S550)&lt;100,0.5,IF(N550*(1+S550)&lt;1000,1,5))))</f>
        <v>427</v>
      </c>
      <c r="U550" s="26" t="n">
        <f aca="false">IF(OR(T550="",P550=""),"",(T550-P550)/T550)</f>
        <v>0.541569086651054</v>
      </c>
      <c r="V550" s="26" t="n">
        <f aca="false">IF(T550="",0,T550/N550-1)</f>
        <v>0.220034858138804</v>
      </c>
      <c r="W550" s="19" t="s">
        <v>94</v>
      </c>
    </row>
    <row r="551" customFormat="false" ht="15" hidden="false" customHeight="false" outlineLevel="0" collapsed="false">
      <c r="A551" s="38" t="n">
        <v>500</v>
      </c>
      <c r="B551" s="38" t="s">
        <v>709</v>
      </c>
      <c r="C551" s="38" t="s">
        <v>57</v>
      </c>
      <c r="D551" s="38"/>
      <c r="E551" s="38" t="s">
        <v>58</v>
      </c>
      <c r="F551" s="39" t="n">
        <v>28</v>
      </c>
      <c r="G551" s="39" t="n">
        <v>27</v>
      </c>
      <c r="H551" s="40" t="n">
        <v>2700</v>
      </c>
      <c r="I551" s="40" t="n">
        <v>-3.53</v>
      </c>
      <c r="J551" s="40" t="n">
        <v>-180</v>
      </c>
      <c r="K551" s="41" t="n">
        <f aca="false">H551+I551+J551</f>
        <v>2516.47</v>
      </c>
      <c r="L551" s="42" t="n">
        <f aca="false">IF($K$1282=0,0,K551/$K$1282)</f>
        <v>0.000208460443393467</v>
      </c>
      <c r="M551" s="43" t="n">
        <f aca="false">IF(F551&lt;=0,0,K551/F551)</f>
        <v>89.8739285714286</v>
      </c>
      <c r="N551" s="40" t="n">
        <v>90</v>
      </c>
      <c r="O551" s="44" t="n">
        <v>2.5</v>
      </c>
      <c r="P551" s="43" t="n">
        <f aca="false">O551*'Price Groups'!$B$5</f>
        <v>56.25</v>
      </c>
      <c r="Q551" s="45" t="n">
        <f aca="false">IF(OR(N551="",P551=""),"",(N551-P551)/N551)</f>
        <v>0.375</v>
      </c>
      <c r="R551" s="46" t="n">
        <v>1</v>
      </c>
      <c r="S551" s="47" t="n">
        <f aca="false">IF(R551="-",0,IFERROR(VLOOKUP(R551,'Price Groups'!$A$13:$C$17,3,FALSE()),0))</f>
        <v>0.22</v>
      </c>
      <c r="T551" s="41" t="n">
        <f aca="false">IF(OR(N551="",R551="-"),"",CEILING(ROUND(N551*(1+S551),2),IF(N551*(1+S551)&lt;100,0.5,IF(N551*(1+S551)&lt;1000,1,5))))</f>
        <v>110</v>
      </c>
      <c r="U551" s="45" t="n">
        <f aca="false">IF(OR(T551="",P551=""),"",(T551-P551)/T551)</f>
        <v>0.488636363636364</v>
      </c>
      <c r="V551" s="45" t="n">
        <f aca="false">IF(T551="",0,T551/N551-1)</f>
        <v>0.222222222222222</v>
      </c>
      <c r="W551" s="38" t="s">
        <v>94</v>
      </c>
    </row>
    <row r="552" customFormat="false" ht="15" hidden="false" customHeight="false" outlineLevel="0" collapsed="false">
      <c r="A552" s="19" t="n">
        <v>501</v>
      </c>
      <c r="B552" s="19" t="s">
        <v>710</v>
      </c>
      <c r="C552" s="19" t="s">
        <v>57</v>
      </c>
      <c r="D552" s="19"/>
      <c r="E552" s="19" t="s">
        <v>58</v>
      </c>
      <c r="F552" s="20" t="n">
        <v>28</v>
      </c>
      <c r="G552" s="20" t="n">
        <v>27</v>
      </c>
      <c r="H552" s="21" t="n">
        <v>7366.74</v>
      </c>
      <c r="I552" s="21" t="n">
        <v>-23.84</v>
      </c>
      <c r="J552" s="21" t="n">
        <v>-210.9</v>
      </c>
      <c r="K552" s="22" t="n">
        <f aca="false">H552+I552+J552</f>
        <v>7132</v>
      </c>
      <c r="L552" s="23" t="n">
        <f aca="false">IF($K$1282=0,0,K552/$K$1282)</f>
        <v>0.000590803737887678</v>
      </c>
      <c r="M552" s="24" t="n">
        <f aca="false">IF(F552&lt;=0,0,K552/F552)</f>
        <v>254.714285714286</v>
      </c>
      <c r="N552" s="21" t="n">
        <v>224.99</v>
      </c>
      <c r="O552" s="49" t="n">
        <v>7.13</v>
      </c>
      <c r="P552" s="24" t="n">
        <f aca="false">O552*'Price Groups'!$B$5</f>
        <v>160.425</v>
      </c>
      <c r="Q552" s="26" t="n">
        <f aca="false">IF(OR(N552="",P552=""),"",(N552-P552)/N552)</f>
        <v>0.286968309702653</v>
      </c>
      <c r="R552" s="27" t="n">
        <v>1</v>
      </c>
      <c r="S552" s="28" t="n">
        <f aca="false">IF(R552="-",0,IFERROR(VLOOKUP(R552,'Price Groups'!$A$13:$C$17,3,FALSE()),0))</f>
        <v>0.22</v>
      </c>
      <c r="T552" s="22" t="n">
        <f aca="false">IF(OR(N552="",R552="-"),"",CEILING(ROUND(N552*(1+S552),2),IF(N552*(1+S552)&lt;100,0.5,IF(N552*(1+S552)&lt;1000,1,5))))</f>
        <v>275</v>
      </c>
      <c r="U552" s="26" t="n">
        <f aca="false">IF(OR(T552="",P552=""),"",(T552-P552)/T552)</f>
        <v>0.416636363636364</v>
      </c>
      <c r="V552" s="26" t="n">
        <f aca="false">IF(T552="",0,T552/N552-1)</f>
        <v>0.22227654562425</v>
      </c>
      <c r="W552" s="19" t="s">
        <v>94</v>
      </c>
    </row>
    <row r="553" customFormat="false" ht="15" hidden="false" customHeight="false" outlineLevel="0" collapsed="false">
      <c r="A553" s="38" t="n">
        <v>502</v>
      </c>
      <c r="B553" s="38" t="s">
        <v>711</v>
      </c>
      <c r="C553" s="38" t="s">
        <v>57</v>
      </c>
      <c r="D553" s="38"/>
      <c r="E553" s="38" t="s">
        <v>58</v>
      </c>
      <c r="F553" s="39" t="n">
        <v>28</v>
      </c>
      <c r="G553" s="39" t="n">
        <v>12</v>
      </c>
      <c r="H553" s="40" t="n">
        <v>2039.72</v>
      </c>
      <c r="I553" s="40" t="n">
        <v>-6.44</v>
      </c>
      <c r="J553" s="40" t="n">
        <v>-64.49</v>
      </c>
      <c r="K553" s="41" t="n">
        <f aca="false">H553+I553+J553</f>
        <v>1968.79</v>
      </c>
      <c r="L553" s="42" t="n">
        <f aca="false">IF($K$1282=0,0,K553/$K$1282)</f>
        <v>0.000163091487817706</v>
      </c>
      <c r="M553" s="43" t="n">
        <f aca="false">IF(F553&lt;=0,0,K553/F553)</f>
        <v>70.3139285714286</v>
      </c>
      <c r="N553" s="40" t="n">
        <v>79.99</v>
      </c>
      <c r="O553" s="44" t="n">
        <v>2.18</v>
      </c>
      <c r="P553" s="43" t="n">
        <f aca="false">O553*'Price Groups'!$B$5</f>
        <v>49.05</v>
      </c>
      <c r="Q553" s="45" t="n">
        <f aca="false">IF(OR(N553="",P553=""),"",(N553-P553)/N553)</f>
        <v>0.386798349793724</v>
      </c>
      <c r="R553" s="46" t="n">
        <v>1</v>
      </c>
      <c r="S553" s="47" t="n">
        <f aca="false">IF(R553="-",0,IFERROR(VLOOKUP(R553,'Price Groups'!$A$13:$C$17,3,FALSE()),0))</f>
        <v>0.22</v>
      </c>
      <c r="T553" s="41" t="n">
        <f aca="false">IF(OR(N553="",R553="-"),"",CEILING(ROUND(N553*(1+S553),2),IF(N553*(1+S553)&lt;100,0.5,IF(N553*(1+S553)&lt;1000,1,5))))</f>
        <v>98</v>
      </c>
      <c r="U553" s="45" t="n">
        <f aca="false">IF(OR(T553="",P553=""),"",(T553-P553)/T553)</f>
        <v>0.499489795918367</v>
      </c>
      <c r="V553" s="45" t="n">
        <f aca="false">IF(T553="",0,T553/N553-1)</f>
        <v>0.225153144143018</v>
      </c>
      <c r="W553" s="38" t="s">
        <v>94</v>
      </c>
    </row>
    <row r="554" customFormat="false" ht="15" hidden="false" customHeight="false" outlineLevel="0" collapsed="false">
      <c r="A554" s="19" t="n">
        <v>503</v>
      </c>
      <c r="B554" s="19" t="s">
        <v>712</v>
      </c>
      <c r="C554" s="19" t="s">
        <v>57</v>
      </c>
      <c r="D554" s="19"/>
      <c r="E554" s="19" t="s">
        <v>58</v>
      </c>
      <c r="F554" s="20" t="n">
        <v>28</v>
      </c>
      <c r="G554" s="20" t="n">
        <v>17</v>
      </c>
      <c r="H554" s="21" t="n">
        <v>10332</v>
      </c>
      <c r="I554" s="21" t="n">
        <v>0</v>
      </c>
      <c r="J554" s="21" t="n">
        <v>0</v>
      </c>
      <c r="K554" s="22" t="n">
        <f aca="false">H554+I554+J554</f>
        <v>10332</v>
      </c>
      <c r="L554" s="23" t="n">
        <f aca="false">IF($K$1282=0,0,K554/$K$1282)</f>
        <v>0.000855886738622475</v>
      </c>
      <c r="M554" s="24" t="n">
        <f aca="false">IF(F554&lt;=0,0,K554/F554)</f>
        <v>369</v>
      </c>
      <c r="N554" s="21" t="n">
        <v>369</v>
      </c>
      <c r="O554" s="49" t="n">
        <v>12</v>
      </c>
      <c r="P554" s="24" t="n">
        <f aca="false">O554*'Price Groups'!$B$5</f>
        <v>270</v>
      </c>
      <c r="Q554" s="26" t="n">
        <f aca="false">IF(OR(N554="",P554=""),"",(N554-P554)/N554)</f>
        <v>0.268292682926829</v>
      </c>
      <c r="R554" s="27" t="n">
        <v>1</v>
      </c>
      <c r="S554" s="28" t="n">
        <f aca="false">IF(R554="-",0,IFERROR(VLOOKUP(R554,'Price Groups'!$A$13:$C$17,3,FALSE()),0))</f>
        <v>0.22</v>
      </c>
      <c r="T554" s="22" t="n">
        <f aca="false">IF(OR(N554="",R554="-"),"",CEILING(ROUND(N554*(1+S554),2),IF(N554*(1+S554)&lt;100,0.5,IF(N554*(1+S554)&lt;1000,1,5))))</f>
        <v>451</v>
      </c>
      <c r="U554" s="26" t="n">
        <f aca="false">IF(OR(T554="",P554=""),"",(T554-P554)/T554)</f>
        <v>0.401330376940133</v>
      </c>
      <c r="V554" s="26" t="n">
        <f aca="false">IF(T554="",0,T554/N554-1)</f>
        <v>0.222222222222222</v>
      </c>
      <c r="W554" s="19" t="s">
        <v>94</v>
      </c>
    </row>
    <row r="555" customFormat="false" ht="15" hidden="false" customHeight="false" outlineLevel="0" collapsed="false">
      <c r="A555" s="38" t="n">
        <v>504</v>
      </c>
      <c r="B555" s="38" t="s">
        <v>713</v>
      </c>
      <c r="C555" s="38" t="s">
        <v>57</v>
      </c>
      <c r="D555" s="38"/>
      <c r="E555" s="38" t="s">
        <v>58</v>
      </c>
      <c r="F555" s="39" t="n">
        <v>28</v>
      </c>
      <c r="G555" s="39" t="n">
        <v>20</v>
      </c>
      <c r="H555" s="40" t="n">
        <v>4289.73</v>
      </c>
      <c r="I555" s="40" t="n">
        <v>-68.97</v>
      </c>
      <c r="J555" s="40" t="n">
        <v>-149.99</v>
      </c>
      <c r="K555" s="41" t="n">
        <f aca="false">H555+I555+J555</f>
        <v>4070.77</v>
      </c>
      <c r="L555" s="42" t="n">
        <f aca="false">IF($K$1282=0,0,K555/$K$1282)</f>
        <v>0.000337216227156621</v>
      </c>
      <c r="M555" s="43" t="n">
        <f aca="false">IF(F555&lt;=0,0,K555/F555)</f>
        <v>145.384642857143</v>
      </c>
      <c r="N555" s="40" t="n">
        <v>120</v>
      </c>
      <c r="O555" s="44" t="n">
        <v>2</v>
      </c>
      <c r="P555" s="43" t="n">
        <f aca="false">O555*'Price Groups'!$B$5</f>
        <v>45</v>
      </c>
      <c r="Q555" s="45" t="n">
        <f aca="false">IF(OR(N555="",P555=""),"",(N555-P555)/N555)</f>
        <v>0.625</v>
      </c>
      <c r="R555" s="46" t="n">
        <v>1</v>
      </c>
      <c r="S555" s="47" t="n">
        <f aca="false">IF(R555="-",0,IFERROR(VLOOKUP(R555,'Price Groups'!$A$13:$C$17,3,FALSE()),0))</f>
        <v>0.22</v>
      </c>
      <c r="T555" s="41" t="n">
        <f aca="false">IF(OR(N555="",R555="-"),"",CEILING(ROUND(N555*(1+S555),2),IF(N555*(1+S555)&lt;100,0.5,IF(N555*(1+S555)&lt;1000,1,5))))</f>
        <v>147</v>
      </c>
      <c r="U555" s="45" t="n">
        <f aca="false">IF(OR(T555="",P555=""),"",(T555-P555)/T555)</f>
        <v>0.693877551020408</v>
      </c>
      <c r="V555" s="45" t="n">
        <f aca="false">IF(T555="",0,T555/N555-1)</f>
        <v>0.225</v>
      </c>
      <c r="W555" s="38" t="s">
        <v>94</v>
      </c>
    </row>
    <row r="556" customFormat="false" ht="15" hidden="false" customHeight="false" outlineLevel="0" collapsed="false">
      <c r="A556" s="19" t="n">
        <v>505</v>
      </c>
      <c r="B556" s="19" t="s">
        <v>714</v>
      </c>
      <c r="C556" s="19" t="s">
        <v>57</v>
      </c>
      <c r="D556" s="19"/>
      <c r="E556" s="19" t="s">
        <v>58</v>
      </c>
      <c r="F556" s="20" t="n">
        <v>28</v>
      </c>
      <c r="G556" s="20" t="n">
        <v>9</v>
      </c>
      <c r="H556" s="21" t="n">
        <v>946.17</v>
      </c>
      <c r="I556" s="21" t="n">
        <v>-2.84</v>
      </c>
      <c r="J556" s="21" t="n">
        <v>-148.45</v>
      </c>
      <c r="K556" s="22" t="n">
        <f aca="false">H556+I556+J556</f>
        <v>794.88</v>
      </c>
      <c r="L556" s="23" t="n">
        <f aca="false">IF($K$1282=0,0,K556/$K$1282)</f>
        <v>6.58466173825235E-005</v>
      </c>
      <c r="M556" s="24" t="n">
        <f aca="false">IF(F556&lt;=0,0,K556/F556)</f>
        <v>28.3885714285714</v>
      </c>
      <c r="N556" s="21" t="n">
        <v>29.99</v>
      </c>
      <c r="O556" s="49" t="n">
        <v>0.66</v>
      </c>
      <c r="P556" s="24" t="n">
        <f aca="false">O556*'Price Groups'!$B$5</f>
        <v>14.85</v>
      </c>
      <c r="Q556" s="26" t="n">
        <f aca="false">IF(OR(N556="",P556=""),"",(N556-P556)/N556)</f>
        <v>0.504834944981661</v>
      </c>
      <c r="R556" s="27" t="n">
        <v>1</v>
      </c>
      <c r="S556" s="28" t="n">
        <f aca="false">IF(R556="-",0,IFERROR(VLOOKUP(R556,'Price Groups'!$A$13:$C$17,3,FALSE()),0))</f>
        <v>0.22</v>
      </c>
      <c r="T556" s="22" t="n">
        <f aca="false">IF(OR(N556="",R556="-"),"",CEILING(ROUND(N556*(1+S556),2),IF(N556*(1+S556)&lt;100,0.5,IF(N556*(1+S556)&lt;1000,1,5))))</f>
        <v>37</v>
      </c>
      <c r="U556" s="26" t="n">
        <f aca="false">IF(OR(T556="",P556=""),"",(T556-P556)/T556)</f>
        <v>0.598648648648649</v>
      </c>
      <c r="V556" s="26" t="n">
        <f aca="false">IF(T556="",0,T556/N556-1)</f>
        <v>0.233744581527176</v>
      </c>
      <c r="W556" s="19" t="s">
        <v>94</v>
      </c>
    </row>
    <row r="557" customFormat="false" ht="15" hidden="false" customHeight="false" outlineLevel="0" collapsed="false">
      <c r="A557" s="38" t="n">
        <v>506</v>
      </c>
      <c r="B557" s="38" t="s">
        <v>715</v>
      </c>
      <c r="C557" s="38" t="s">
        <v>57</v>
      </c>
      <c r="D557" s="38"/>
      <c r="E557" s="38" t="s">
        <v>58</v>
      </c>
      <c r="F557" s="39" t="n">
        <v>28</v>
      </c>
      <c r="G557" s="39" t="n">
        <v>15</v>
      </c>
      <c r="H557" s="40" t="n">
        <v>11599.71</v>
      </c>
      <c r="I557" s="40" t="n">
        <v>-240.29</v>
      </c>
      <c r="J557" s="40" t="n">
        <v>-399.99</v>
      </c>
      <c r="K557" s="41" t="n">
        <f aca="false">H557+I557+J557</f>
        <v>10959.43</v>
      </c>
      <c r="L557" s="42" t="n">
        <f aca="false">IF($K$1282=0,0,K557/$K$1282)</f>
        <v>0.000907862059607173</v>
      </c>
      <c r="M557" s="43" t="n">
        <f aca="false">IF(F557&lt;=0,0,K557/F557)</f>
        <v>391.408214285714</v>
      </c>
      <c r="N557" s="40" t="n">
        <v>399.99</v>
      </c>
      <c r="O557" s="44" t="n">
        <v>11</v>
      </c>
      <c r="P557" s="43" t="n">
        <f aca="false">O557*'Price Groups'!$B$5</f>
        <v>247.5</v>
      </c>
      <c r="Q557" s="45" t="n">
        <f aca="false">IF(OR(N557="",P557=""),"",(N557-P557)/N557)</f>
        <v>0.381234530863272</v>
      </c>
      <c r="R557" s="46" t="n">
        <v>2</v>
      </c>
      <c r="S557" s="47" t="n">
        <f aca="false">IF(R557="-",0,IFERROR(VLOOKUP(R557,'Price Groups'!$A$13:$C$17,3,FALSE()),0))</f>
        <v>0.18</v>
      </c>
      <c r="T557" s="41" t="n">
        <f aca="false">IF(OR(N557="",R557="-"),"",CEILING(ROUND(N557*(1+S557),2),IF(N557*(1+S557)&lt;100,0.5,IF(N557*(1+S557)&lt;1000,1,5))))</f>
        <v>472</v>
      </c>
      <c r="U557" s="45" t="n">
        <f aca="false">IF(OR(T557="",P557=""),"",(T557-P557)/T557)</f>
        <v>0.475635593220339</v>
      </c>
      <c r="V557" s="45" t="n">
        <f aca="false">IF(T557="",0,T557/N557-1)</f>
        <v>0.180029500737518</v>
      </c>
      <c r="W557" s="38" t="s">
        <v>195</v>
      </c>
    </row>
    <row r="558" customFormat="false" ht="15" hidden="false" customHeight="false" outlineLevel="0" collapsed="false">
      <c r="A558" s="19" t="n">
        <v>507</v>
      </c>
      <c r="B558" s="19" t="s">
        <v>716</v>
      </c>
      <c r="C558" s="19" t="s">
        <v>57</v>
      </c>
      <c r="D558" s="19"/>
      <c r="E558" s="19" t="s">
        <v>58</v>
      </c>
      <c r="F558" s="20" t="n">
        <v>28</v>
      </c>
      <c r="G558" s="20" t="n">
        <v>18</v>
      </c>
      <c r="H558" s="21" t="n">
        <v>8179.92</v>
      </c>
      <c r="I558" s="21" t="n">
        <v>0</v>
      </c>
      <c r="J558" s="21" t="n">
        <v>0</v>
      </c>
      <c r="K558" s="22" t="n">
        <f aca="false">H558+I558+J558</f>
        <v>8179.92</v>
      </c>
      <c r="L558" s="23" t="n">
        <f aca="false">IF($K$1282=0,0,K558/$K$1282)</f>
        <v>0.000677611793553306</v>
      </c>
      <c r="M558" s="24" t="n">
        <f aca="false">IF(F558&lt;=0,0,K558/F558)</f>
        <v>292.14</v>
      </c>
      <c r="N558" s="21" t="n">
        <v>299</v>
      </c>
      <c r="O558" s="49" t="n">
        <v>6.73</v>
      </c>
      <c r="P558" s="24" t="n">
        <f aca="false">O558*'Price Groups'!$B$5</f>
        <v>151.425</v>
      </c>
      <c r="Q558" s="26" t="n">
        <f aca="false">IF(OR(N558="",P558=""),"",(N558-P558)/N558)</f>
        <v>0.493561872909699</v>
      </c>
      <c r="R558" s="27" t="n">
        <v>1</v>
      </c>
      <c r="S558" s="28" t="n">
        <f aca="false">IF(R558="-",0,IFERROR(VLOOKUP(R558,'Price Groups'!$A$13:$C$17,3,FALSE()),0))</f>
        <v>0.22</v>
      </c>
      <c r="T558" s="22" t="n">
        <f aca="false">IF(OR(N558="",R558="-"),"",CEILING(ROUND(N558*(1+S558),2),IF(N558*(1+S558)&lt;100,0.5,IF(N558*(1+S558)&lt;1000,1,5))))</f>
        <v>365</v>
      </c>
      <c r="U558" s="26" t="n">
        <f aca="false">IF(OR(T558="",P558=""),"",(T558-P558)/T558)</f>
        <v>0.58513698630137</v>
      </c>
      <c r="V558" s="26" t="n">
        <f aca="false">IF(T558="",0,T558/N558-1)</f>
        <v>0.220735785953177</v>
      </c>
      <c r="W558" s="19" t="s">
        <v>94</v>
      </c>
    </row>
    <row r="559" customFormat="false" ht="15" hidden="false" customHeight="false" outlineLevel="0" collapsed="false">
      <c r="A559" s="38" t="n">
        <v>508</v>
      </c>
      <c r="B559" s="38" t="s">
        <v>717</v>
      </c>
      <c r="C559" s="38" t="s">
        <v>57</v>
      </c>
      <c r="D559" s="38"/>
      <c r="E559" s="38" t="s">
        <v>58</v>
      </c>
      <c r="F559" s="39" t="n">
        <v>27</v>
      </c>
      <c r="G559" s="39" t="n">
        <v>19</v>
      </c>
      <c r="H559" s="40" t="n">
        <v>1799.7</v>
      </c>
      <c r="I559" s="40" t="n">
        <v>-42.06</v>
      </c>
      <c r="J559" s="40" t="n">
        <v>-179.84</v>
      </c>
      <c r="K559" s="41" t="n">
        <f aca="false">H559+I559+J559</f>
        <v>1577.8</v>
      </c>
      <c r="L559" s="42" t="n">
        <f aca="false">IF($K$1282=0,0,K559/$K$1282)</f>
        <v>0.000130702487049801</v>
      </c>
      <c r="M559" s="43" t="n">
        <f aca="false">IF(F559&lt;=0,0,K559/F559)</f>
        <v>58.437037037037</v>
      </c>
      <c r="N559" s="40" t="n">
        <v>59.99</v>
      </c>
      <c r="O559" s="44" t="n">
        <v>1.48</v>
      </c>
      <c r="P559" s="43" t="n">
        <f aca="false">O559*'Price Groups'!$B$5</f>
        <v>33.3</v>
      </c>
      <c r="Q559" s="45" t="n">
        <f aca="false">IF(OR(N559="",P559=""),"",(N559-P559)/N559)</f>
        <v>0.444907484580764</v>
      </c>
      <c r="R559" s="46" t="n">
        <v>1</v>
      </c>
      <c r="S559" s="47" t="n">
        <f aca="false">IF(R559="-",0,IFERROR(VLOOKUP(R559,'Price Groups'!$A$13:$C$17,3,FALSE()),0))</f>
        <v>0.22</v>
      </c>
      <c r="T559" s="41" t="n">
        <f aca="false">IF(OR(N559="",R559="-"),"",CEILING(ROUND(N559*(1+S559),2),IF(N559*(1+S559)&lt;100,0.5,IF(N559*(1+S559)&lt;1000,1,5))))</f>
        <v>73.5</v>
      </c>
      <c r="U559" s="45" t="n">
        <f aca="false">IF(OR(T559="",P559=""),"",(T559-P559)/T559)</f>
        <v>0.546938775510204</v>
      </c>
      <c r="V559" s="45" t="n">
        <f aca="false">IF(T559="",0,T559/N559-1)</f>
        <v>0.225204200700117</v>
      </c>
      <c r="W559" s="38" t="s">
        <v>94</v>
      </c>
    </row>
    <row r="560" customFormat="false" ht="15" hidden="false" customHeight="false" outlineLevel="0" collapsed="false">
      <c r="A560" s="19" t="n">
        <v>509</v>
      </c>
      <c r="B560" s="19" t="s">
        <v>718</v>
      </c>
      <c r="C560" s="19" t="s">
        <v>57</v>
      </c>
      <c r="D560" s="19"/>
      <c r="E560" s="19" t="s">
        <v>58</v>
      </c>
      <c r="F560" s="20" t="n">
        <v>27</v>
      </c>
      <c r="G560" s="20" t="n">
        <v>22</v>
      </c>
      <c r="H560" s="21" t="n">
        <v>4464.42</v>
      </c>
      <c r="I560" s="21" t="n">
        <v>-57.72</v>
      </c>
      <c r="J560" s="21" t="n">
        <v>-184</v>
      </c>
      <c r="K560" s="22" t="n">
        <f aca="false">H560+I560+J560</f>
        <v>4222.7</v>
      </c>
      <c r="L560" s="23" t="n">
        <f aca="false">IF($K$1282=0,0,K560/$K$1282)</f>
        <v>0.000349801871000883</v>
      </c>
      <c r="M560" s="24" t="n">
        <f aca="false">IF(F560&lt;=0,0,K560/F560)</f>
        <v>156.396296296296</v>
      </c>
      <c r="N560" s="21" t="n">
        <v>120</v>
      </c>
      <c r="O560" s="49" t="n">
        <v>3.56</v>
      </c>
      <c r="P560" s="24" t="n">
        <f aca="false">O560*'Price Groups'!$B$5</f>
        <v>80.1</v>
      </c>
      <c r="Q560" s="26" t="n">
        <f aca="false">IF(OR(N560="",P560=""),"",(N560-P560)/N560)</f>
        <v>0.3325</v>
      </c>
      <c r="R560" s="27" t="n">
        <v>1</v>
      </c>
      <c r="S560" s="28" t="n">
        <f aca="false">IF(R560="-",0,IFERROR(VLOOKUP(R560,'Price Groups'!$A$13:$C$17,3,FALSE()),0))</f>
        <v>0.22</v>
      </c>
      <c r="T560" s="22" t="n">
        <f aca="false">IF(OR(N560="",R560="-"),"",CEILING(ROUND(N560*(1+S560),2),IF(N560*(1+S560)&lt;100,0.5,IF(N560*(1+S560)&lt;1000,1,5))))</f>
        <v>147</v>
      </c>
      <c r="U560" s="26" t="n">
        <f aca="false">IF(OR(T560="",P560=""),"",(T560-P560)/T560)</f>
        <v>0.455102040816327</v>
      </c>
      <c r="V560" s="26" t="n">
        <f aca="false">IF(T560="",0,T560/N560-1)</f>
        <v>0.225</v>
      </c>
      <c r="W560" s="19" t="s">
        <v>94</v>
      </c>
    </row>
    <row r="561" customFormat="false" ht="15" hidden="false" customHeight="false" outlineLevel="0" collapsed="false">
      <c r="A561" s="38" t="n">
        <v>510</v>
      </c>
      <c r="B561" s="38" t="s">
        <v>719</v>
      </c>
      <c r="C561" s="38" t="s">
        <v>57</v>
      </c>
      <c r="D561" s="38"/>
      <c r="E561" s="38" t="s">
        <v>58</v>
      </c>
      <c r="F561" s="39" t="n">
        <v>27</v>
      </c>
      <c r="G561" s="39" t="n">
        <v>22</v>
      </c>
      <c r="H561" s="40" t="n">
        <v>774.69</v>
      </c>
      <c r="I561" s="40" t="n">
        <v>-2.53</v>
      </c>
      <c r="J561" s="40" t="n">
        <v>-99.92</v>
      </c>
      <c r="K561" s="41" t="n">
        <f aca="false">H561+I561+J561</f>
        <v>672.24</v>
      </c>
      <c r="L561" s="42" t="n">
        <f aca="false">IF($K$1282=0,0,K561/$K$1282)</f>
        <v>5.56873113793625E-005</v>
      </c>
      <c r="M561" s="43" t="n">
        <f aca="false">IF(F561&lt;=0,0,K561/F561)</f>
        <v>24.8977777777778</v>
      </c>
      <c r="N561" s="40" t="n">
        <v>24.99</v>
      </c>
      <c r="O561" s="44" t="n">
        <v>0.48</v>
      </c>
      <c r="P561" s="43" t="n">
        <f aca="false">O561*'Price Groups'!$B$5</f>
        <v>10.8</v>
      </c>
      <c r="Q561" s="45" t="n">
        <f aca="false">IF(OR(N561="",P561=""),"",(N561-P561)/N561)</f>
        <v>0.567827130852341</v>
      </c>
      <c r="R561" s="46" t="n">
        <v>1</v>
      </c>
      <c r="S561" s="47" t="n">
        <f aca="false">IF(R561="-",0,IFERROR(VLOOKUP(R561,'Price Groups'!$A$13:$C$17,3,FALSE()),0))</f>
        <v>0.22</v>
      </c>
      <c r="T561" s="41" t="n">
        <f aca="false">IF(OR(N561="",R561="-"),"",CEILING(ROUND(N561*(1+S561),2),IF(N561*(1+S561)&lt;100,0.5,IF(N561*(1+S561)&lt;1000,1,5))))</f>
        <v>30.5</v>
      </c>
      <c r="U561" s="45" t="n">
        <f aca="false">IF(OR(T561="",P561=""),"",(T561-P561)/T561)</f>
        <v>0.645901639344262</v>
      </c>
      <c r="V561" s="45" t="n">
        <f aca="false">IF(T561="",0,T561/N561-1)</f>
        <v>0.220488195278111</v>
      </c>
      <c r="W561" s="38" t="s">
        <v>94</v>
      </c>
    </row>
    <row r="562" customFormat="false" ht="15" hidden="false" customHeight="false" outlineLevel="0" collapsed="false">
      <c r="A562" s="19" t="n">
        <v>511</v>
      </c>
      <c r="B562" s="19" t="s">
        <v>720</v>
      </c>
      <c r="C562" s="19" t="s">
        <v>57</v>
      </c>
      <c r="D562" s="19"/>
      <c r="E562" s="19" t="s">
        <v>58</v>
      </c>
      <c r="F562" s="20" t="n">
        <v>27</v>
      </c>
      <c r="G562" s="20" t="n">
        <v>13</v>
      </c>
      <c r="H562" s="21" t="n">
        <v>779.7</v>
      </c>
      <c r="I562" s="21" t="n">
        <v>-6.35</v>
      </c>
      <c r="J562" s="21" t="n">
        <v>-77.97</v>
      </c>
      <c r="K562" s="22" t="n">
        <f aca="false">H562+I562+J562</f>
        <v>695.38</v>
      </c>
      <c r="L562" s="23" t="n">
        <f aca="false">IF($K$1282=0,0,K562/$K$1282)</f>
        <v>5.76041928284259E-005</v>
      </c>
      <c r="M562" s="24" t="n">
        <f aca="false">IF(F562&lt;=0,0,K562/F562)</f>
        <v>25.7548148148148</v>
      </c>
      <c r="N562" s="21" t="n">
        <v>25.99</v>
      </c>
      <c r="O562" s="49" t="n">
        <v>0.56</v>
      </c>
      <c r="P562" s="24" t="n">
        <f aca="false">O562*'Price Groups'!$B$5</f>
        <v>12.6</v>
      </c>
      <c r="Q562" s="26" t="n">
        <f aca="false">IF(OR(N562="",P562=""),"",(N562-P562)/N562)</f>
        <v>0.515198153135821</v>
      </c>
      <c r="R562" s="27" t="n">
        <v>1</v>
      </c>
      <c r="S562" s="28" t="n">
        <f aca="false">IF(R562="-",0,IFERROR(VLOOKUP(R562,'Price Groups'!$A$13:$C$17,3,FALSE()),0))</f>
        <v>0.22</v>
      </c>
      <c r="T562" s="22" t="n">
        <f aca="false">IF(OR(N562="",R562="-"),"",CEILING(ROUND(N562*(1+S562),2),IF(N562*(1+S562)&lt;100,0.5,IF(N562*(1+S562)&lt;1000,1,5))))</f>
        <v>32</v>
      </c>
      <c r="U562" s="26" t="n">
        <f aca="false">IF(OR(T562="",P562=""),"",(T562-P562)/T562)</f>
        <v>0.60625</v>
      </c>
      <c r="V562" s="26" t="n">
        <f aca="false">IF(T562="",0,T562/N562-1)</f>
        <v>0.231242785686803</v>
      </c>
      <c r="W562" s="19" t="s">
        <v>94</v>
      </c>
    </row>
    <row r="563" customFormat="false" ht="15" hidden="false" customHeight="false" outlineLevel="0" collapsed="false">
      <c r="A563" s="38" t="n">
        <v>512</v>
      </c>
      <c r="B563" s="38" t="s">
        <v>721</v>
      </c>
      <c r="C563" s="38" t="s">
        <v>57</v>
      </c>
      <c r="D563" s="38"/>
      <c r="E563" s="38" t="s">
        <v>58</v>
      </c>
      <c r="F563" s="39" t="n">
        <v>27</v>
      </c>
      <c r="G563" s="39" t="n">
        <v>4</v>
      </c>
      <c r="H563" s="40" t="n">
        <v>1019.73</v>
      </c>
      <c r="I563" s="40" t="n">
        <v>0</v>
      </c>
      <c r="J563" s="40" t="n">
        <v>0</v>
      </c>
      <c r="K563" s="41" t="n">
        <f aca="false">H563+I563+J563</f>
        <v>1019.73</v>
      </c>
      <c r="L563" s="42" t="n">
        <f aca="false">IF($K$1282=0,0,K563/$K$1282)</f>
        <v>8.44728401060295E-005</v>
      </c>
      <c r="M563" s="43" t="n">
        <f aca="false">IF(F563&lt;=0,0,K563/F563)</f>
        <v>37.7677777777778</v>
      </c>
      <c r="N563" s="40" t="n">
        <v>39.99</v>
      </c>
      <c r="O563" s="44" t="n">
        <v>0.63</v>
      </c>
      <c r="P563" s="43" t="n">
        <f aca="false">O563*'Price Groups'!$B$5</f>
        <v>14.175</v>
      </c>
      <c r="Q563" s="45" t="n">
        <f aca="false">IF(OR(N563="",P563=""),"",(N563-P563)/N563)</f>
        <v>0.645536384096024</v>
      </c>
      <c r="R563" s="46" t="n">
        <v>1</v>
      </c>
      <c r="S563" s="47" t="n">
        <f aca="false">IF(R563="-",0,IFERROR(VLOOKUP(R563,'Price Groups'!$A$13:$C$17,3,FALSE()),0))</f>
        <v>0.22</v>
      </c>
      <c r="T563" s="41" t="n">
        <f aca="false">IF(OR(N563="",R563="-"),"",CEILING(ROUND(N563*(1+S563),2),IF(N563*(1+S563)&lt;100,0.5,IF(N563*(1+S563)&lt;1000,1,5))))</f>
        <v>49</v>
      </c>
      <c r="U563" s="45" t="n">
        <f aca="false">IF(OR(T563="",P563=""),"",(T563-P563)/T563)</f>
        <v>0.710714285714286</v>
      </c>
      <c r="V563" s="45" t="n">
        <f aca="false">IF(T563="",0,T563/N563-1)</f>
        <v>0.225306326581645</v>
      </c>
      <c r="W563" s="38" t="s">
        <v>94</v>
      </c>
    </row>
    <row r="564" customFormat="false" ht="15" hidden="false" customHeight="false" outlineLevel="0" collapsed="false">
      <c r="A564" s="19" t="n">
        <v>513</v>
      </c>
      <c r="B564" s="19" t="s">
        <v>722</v>
      </c>
      <c r="C564" s="19" t="s">
        <v>57</v>
      </c>
      <c r="D564" s="19"/>
      <c r="E564" s="19" t="s">
        <v>58</v>
      </c>
      <c r="F564" s="20" t="n">
        <v>27</v>
      </c>
      <c r="G564" s="20" t="n">
        <v>24</v>
      </c>
      <c r="H564" s="21" t="n">
        <v>2399.7</v>
      </c>
      <c r="I564" s="21" t="n">
        <v>-51.94</v>
      </c>
      <c r="J564" s="21" t="n">
        <v>-235.97</v>
      </c>
      <c r="K564" s="22" t="n">
        <f aca="false">H564+I564+J564</f>
        <v>2111.79</v>
      </c>
      <c r="L564" s="23" t="n">
        <f aca="false">IF($K$1282=0,0,K564/$K$1282)</f>
        <v>0.000174937384413043</v>
      </c>
      <c r="M564" s="24" t="n">
        <f aca="false">IF(F564&lt;=0,0,K564/F564)</f>
        <v>78.2144444444444</v>
      </c>
      <c r="N564" s="21" t="n">
        <v>79.99</v>
      </c>
      <c r="O564" s="49" t="n">
        <v>1.5</v>
      </c>
      <c r="P564" s="24" t="n">
        <f aca="false">O564*'Price Groups'!$B$5</f>
        <v>33.75</v>
      </c>
      <c r="Q564" s="26" t="n">
        <f aca="false">IF(OR(N564="",P564=""),"",(N564-P564)/N564)</f>
        <v>0.578072259032379</v>
      </c>
      <c r="R564" s="27" t="n">
        <v>1</v>
      </c>
      <c r="S564" s="28" t="n">
        <f aca="false">IF(R564="-",0,IFERROR(VLOOKUP(R564,'Price Groups'!$A$13:$C$17,3,FALSE()),0))</f>
        <v>0.22</v>
      </c>
      <c r="T564" s="22" t="n">
        <f aca="false">IF(OR(N564="",R564="-"),"",CEILING(ROUND(N564*(1+S564),2),IF(N564*(1+S564)&lt;100,0.5,IF(N564*(1+S564)&lt;1000,1,5))))</f>
        <v>98</v>
      </c>
      <c r="U564" s="26" t="n">
        <f aca="false">IF(OR(T564="",P564=""),"",(T564-P564)/T564)</f>
        <v>0.655612244897959</v>
      </c>
      <c r="V564" s="26" t="n">
        <f aca="false">IF(T564="",0,T564/N564-1)</f>
        <v>0.225153144143018</v>
      </c>
      <c r="W564" s="19" t="s">
        <v>94</v>
      </c>
    </row>
    <row r="565" customFormat="false" ht="15" hidden="false" customHeight="false" outlineLevel="0" collapsed="false">
      <c r="A565" s="38" t="n">
        <v>514</v>
      </c>
      <c r="B565" s="38" t="s">
        <v>723</v>
      </c>
      <c r="C565" s="38" t="s">
        <v>57</v>
      </c>
      <c r="D565" s="38"/>
      <c r="E565" s="38" t="s">
        <v>58</v>
      </c>
      <c r="F565" s="39" t="n">
        <v>27</v>
      </c>
      <c r="G565" s="39" t="n">
        <v>19</v>
      </c>
      <c r="H565" s="40" t="n">
        <v>2699.73</v>
      </c>
      <c r="I565" s="40" t="n">
        <v>-9.99</v>
      </c>
      <c r="J565" s="40" t="n">
        <v>0</v>
      </c>
      <c r="K565" s="41" t="n">
        <f aca="false">H565+I565+J565</f>
        <v>2689.74</v>
      </c>
      <c r="L565" s="42" t="n">
        <f aca="false">IF($K$1282=0,0,K565/$K$1282)</f>
        <v>0.000222813859498879</v>
      </c>
      <c r="M565" s="43" t="n">
        <f aca="false">IF(F565&lt;=0,0,K565/F565)</f>
        <v>99.62</v>
      </c>
      <c r="N565" s="40" t="n">
        <v>99.99</v>
      </c>
      <c r="O565" s="44" t="n">
        <v>2.05</v>
      </c>
      <c r="P565" s="43" t="n">
        <f aca="false">O565*'Price Groups'!$B$5</f>
        <v>46.125</v>
      </c>
      <c r="Q565" s="45" t="n">
        <f aca="false">IF(OR(N565="",P565=""),"",(N565-P565)/N565)</f>
        <v>0.538703870387039</v>
      </c>
      <c r="R565" s="46" t="n">
        <v>1</v>
      </c>
      <c r="S565" s="47" t="n">
        <f aca="false">IF(R565="-",0,IFERROR(VLOOKUP(R565,'Price Groups'!$A$13:$C$17,3,FALSE()),0))</f>
        <v>0.22</v>
      </c>
      <c r="T565" s="41" t="n">
        <f aca="false">IF(OR(N565="",R565="-"),"",CEILING(ROUND(N565*(1+S565),2),IF(N565*(1+S565)&lt;100,0.5,IF(N565*(1+S565)&lt;1000,1,5))))</f>
        <v>122</v>
      </c>
      <c r="U565" s="45" t="n">
        <f aca="false">IF(OR(T565="",P565=""),"",(T565-P565)/T565)</f>
        <v>0.621926229508197</v>
      </c>
      <c r="V565" s="45" t="n">
        <f aca="false">IF(T565="",0,T565/N565-1)</f>
        <v>0.22012201220122</v>
      </c>
      <c r="W565" s="38" t="s">
        <v>94</v>
      </c>
    </row>
    <row r="566" customFormat="false" ht="15" hidden="false" customHeight="false" outlineLevel="0" collapsed="false">
      <c r="A566" s="19" t="n">
        <v>515</v>
      </c>
      <c r="B566" s="19" t="s">
        <v>724</v>
      </c>
      <c r="C566" s="19" t="s">
        <v>57</v>
      </c>
      <c r="D566" s="19"/>
      <c r="E566" s="19" t="s">
        <v>58</v>
      </c>
      <c r="F566" s="20" t="n">
        <v>26</v>
      </c>
      <c r="G566" s="20" t="n">
        <v>16</v>
      </c>
      <c r="H566" s="21" t="n">
        <v>1717.23</v>
      </c>
      <c r="I566" s="21" t="n">
        <v>-23.94</v>
      </c>
      <c r="J566" s="21" t="n">
        <v>0</v>
      </c>
      <c r="K566" s="22" t="n">
        <f aca="false">H566+I566+J566</f>
        <v>1693.29</v>
      </c>
      <c r="L566" s="23" t="n">
        <f aca="false">IF($K$1282=0,0,K566/$K$1282)</f>
        <v>0.000140269498223195</v>
      </c>
      <c r="M566" s="24" t="n">
        <f aca="false">IF(F566&lt;=0,0,K566/F566)</f>
        <v>65.1265384615385</v>
      </c>
      <c r="N566" s="21" t="n">
        <v>64.99</v>
      </c>
      <c r="O566" s="49" t="n">
        <v>1.5</v>
      </c>
      <c r="P566" s="24" t="n">
        <f aca="false">O566*'Price Groups'!$B$5</f>
        <v>33.75</v>
      </c>
      <c r="Q566" s="26" t="n">
        <f aca="false">IF(OR(N566="",P566=""),"",(N566-P566)/N566)</f>
        <v>0.480689336821049</v>
      </c>
      <c r="R566" s="27" t="n">
        <v>1</v>
      </c>
      <c r="S566" s="28" t="n">
        <f aca="false">IF(R566="-",0,IFERROR(VLOOKUP(R566,'Price Groups'!$A$13:$C$17,3,FALSE()),0))</f>
        <v>0.22</v>
      </c>
      <c r="T566" s="22" t="n">
        <f aca="false">IF(OR(N566="",R566="-"),"",CEILING(ROUND(N566*(1+S566),2),IF(N566*(1+S566)&lt;100,0.5,IF(N566*(1+S566)&lt;1000,1,5))))</f>
        <v>79.5</v>
      </c>
      <c r="U566" s="26" t="n">
        <f aca="false">IF(OR(T566="",P566=""),"",(T566-P566)/T566)</f>
        <v>0.575471698113208</v>
      </c>
      <c r="V566" s="26" t="n">
        <f aca="false">IF(T566="",0,T566/N566-1)</f>
        <v>0.223265117710417</v>
      </c>
      <c r="W566" s="19" t="s">
        <v>94</v>
      </c>
    </row>
    <row r="567" customFormat="false" ht="15" hidden="false" customHeight="false" outlineLevel="0" collapsed="false">
      <c r="A567" s="38" t="n">
        <v>516</v>
      </c>
      <c r="B567" s="38" t="s">
        <v>725</v>
      </c>
      <c r="C567" s="38" t="s">
        <v>57</v>
      </c>
      <c r="D567" s="38"/>
      <c r="E567" s="38" t="s">
        <v>58</v>
      </c>
      <c r="F567" s="39" t="n">
        <v>26</v>
      </c>
      <c r="G567" s="39" t="n">
        <v>7</v>
      </c>
      <c r="H567" s="40" t="n">
        <v>1169.74</v>
      </c>
      <c r="I567" s="40" t="n">
        <v>-548.86</v>
      </c>
      <c r="J567" s="40" t="n">
        <v>0</v>
      </c>
      <c r="K567" s="41" t="n">
        <f aca="false">H567+I567+J567</f>
        <v>620.88</v>
      </c>
      <c r="L567" s="42" t="n">
        <f aca="false">IF($K$1282=0,0,K567/$K$1282)</f>
        <v>5.1432729217569E-005</v>
      </c>
      <c r="M567" s="43" t="n">
        <f aca="false">IF(F567&lt;=0,0,K567/F567)</f>
        <v>23.88</v>
      </c>
      <c r="N567" s="40" t="n">
        <v>44.99</v>
      </c>
      <c r="O567" s="44" t="n">
        <v>1.17</v>
      </c>
      <c r="P567" s="43" t="n">
        <f aca="false">O567*'Price Groups'!$B$5</f>
        <v>26.325</v>
      </c>
      <c r="Q567" s="45" t="n">
        <f aca="false">IF(OR(N567="",P567=""),"",(N567-P567)/N567)</f>
        <v>0.41486997110469</v>
      </c>
      <c r="R567" s="46" t="n">
        <v>1</v>
      </c>
      <c r="S567" s="47" t="n">
        <f aca="false">IF(R567="-",0,IFERROR(VLOOKUP(R567,'Price Groups'!$A$13:$C$17,3,FALSE()),0))</f>
        <v>0.22</v>
      </c>
      <c r="T567" s="41" t="n">
        <f aca="false">IF(OR(N567="",R567="-"),"",CEILING(ROUND(N567*(1+S567),2),IF(N567*(1+S567)&lt;100,0.5,IF(N567*(1+S567)&lt;1000,1,5))))</f>
        <v>55</v>
      </c>
      <c r="U567" s="45" t="n">
        <f aca="false">IF(OR(T567="",P567=""),"",(T567-P567)/T567)</f>
        <v>0.521363636363636</v>
      </c>
      <c r="V567" s="45" t="n">
        <f aca="false">IF(T567="",0,T567/N567-1)</f>
        <v>0.222493887530562</v>
      </c>
      <c r="W567" s="38" t="s">
        <v>94</v>
      </c>
    </row>
    <row r="568" customFormat="false" ht="15" hidden="false" customHeight="false" outlineLevel="0" collapsed="false">
      <c r="A568" s="19" t="n">
        <v>517</v>
      </c>
      <c r="B568" s="19" t="s">
        <v>726</v>
      </c>
      <c r="C568" s="19" t="s">
        <v>57</v>
      </c>
      <c r="D568" s="19"/>
      <c r="E568" s="19" t="s">
        <v>58</v>
      </c>
      <c r="F568" s="20" t="n">
        <v>26</v>
      </c>
      <c r="G568" s="20" t="n">
        <v>23</v>
      </c>
      <c r="H568" s="21" t="n">
        <v>3445.34</v>
      </c>
      <c r="I568" s="21" t="n">
        <v>-114.89</v>
      </c>
      <c r="J568" s="21" t="n">
        <v>0</v>
      </c>
      <c r="K568" s="22" t="n">
        <f aca="false">H568+I568+J568</f>
        <v>3330.45</v>
      </c>
      <c r="L568" s="23" t="n">
        <f aca="false">IF($K$1282=0,0,K568/$K$1282)</f>
        <v>0.000275889274936626</v>
      </c>
      <c r="M568" s="24" t="n">
        <f aca="false">IF(F568&lt;=0,0,K568/F568)</f>
        <v>128.094230769231</v>
      </c>
      <c r="N568" s="21" t="n">
        <v>149.99</v>
      </c>
      <c r="O568" s="49" t="n">
        <v>2.93</v>
      </c>
      <c r="P568" s="24" t="n">
        <f aca="false">O568*'Price Groups'!$B$5</f>
        <v>65.925</v>
      </c>
      <c r="Q568" s="26" t="n">
        <f aca="false">IF(OR(N568="",P568=""),"",(N568-P568)/N568)</f>
        <v>0.560470698046537</v>
      </c>
      <c r="R568" s="27" t="n">
        <v>1</v>
      </c>
      <c r="S568" s="28" t="n">
        <f aca="false">IF(R568="-",0,IFERROR(VLOOKUP(R568,'Price Groups'!$A$13:$C$17,3,FALSE()),0))</f>
        <v>0.22</v>
      </c>
      <c r="T568" s="22" t="n">
        <f aca="false">IF(OR(N568="",R568="-"),"",CEILING(ROUND(N568*(1+S568),2),IF(N568*(1+S568)&lt;100,0.5,IF(N568*(1+S568)&lt;1000,1,5))))</f>
        <v>183</v>
      </c>
      <c r="U568" s="26" t="n">
        <f aca="false">IF(OR(T568="",P568=""),"",(T568-P568)/T568)</f>
        <v>0.639754098360656</v>
      </c>
      <c r="V568" s="26" t="n">
        <f aca="false">IF(T568="",0,T568/N568-1)</f>
        <v>0.220081338755917</v>
      </c>
      <c r="W568" s="19" t="s">
        <v>94</v>
      </c>
    </row>
    <row r="569" customFormat="false" ht="15" hidden="false" customHeight="false" outlineLevel="0" collapsed="false">
      <c r="A569" s="38" t="n">
        <v>518</v>
      </c>
      <c r="B569" s="38" t="s">
        <v>727</v>
      </c>
      <c r="C569" s="38" t="s">
        <v>57</v>
      </c>
      <c r="D569" s="38"/>
      <c r="E569" s="38" t="s">
        <v>58</v>
      </c>
      <c r="F569" s="39" t="n">
        <v>26</v>
      </c>
      <c r="G569" s="39" t="n">
        <v>20</v>
      </c>
      <c r="H569" s="40" t="n">
        <v>3342.74</v>
      </c>
      <c r="I569" s="40" t="n">
        <v>-11.06</v>
      </c>
      <c r="J569" s="40" t="n">
        <v>-221.78</v>
      </c>
      <c r="K569" s="41" t="n">
        <f aca="false">H569+I569+J569</f>
        <v>3109.9</v>
      </c>
      <c r="L569" s="42" t="n">
        <f aca="false">IF($K$1282=0,0,K569/$K$1282)</f>
        <v>0.000257619257495358</v>
      </c>
      <c r="M569" s="43" t="n">
        <f aca="false">IF(F569&lt;=0,0,K569/F569)</f>
        <v>119.611538461538</v>
      </c>
      <c r="N569" s="40" t="n">
        <v>110.93</v>
      </c>
      <c r="O569" s="44" t="n">
        <v>3.75</v>
      </c>
      <c r="P569" s="43" t="n">
        <f aca="false">O569*'Price Groups'!$B$5</f>
        <v>84.375</v>
      </c>
      <c r="Q569" s="45" t="n">
        <f aca="false">IF(OR(N569="",P569=""),"",(N569-P569)/N569)</f>
        <v>0.239385197872532</v>
      </c>
      <c r="R569" s="46" t="n">
        <v>1</v>
      </c>
      <c r="S569" s="47" t="n">
        <f aca="false">IF(R569="-",0,IFERROR(VLOOKUP(R569,'Price Groups'!$A$13:$C$17,3,FALSE()),0))</f>
        <v>0.22</v>
      </c>
      <c r="T569" s="41" t="n">
        <f aca="false">IF(OR(N569="",R569="-"),"",CEILING(ROUND(N569*(1+S569),2),IF(N569*(1+S569)&lt;100,0.5,IF(N569*(1+S569)&lt;1000,1,5))))</f>
        <v>136</v>
      </c>
      <c r="U569" s="45" t="n">
        <f aca="false">IF(OR(T569="",P569=""),"",(T569-P569)/T569)</f>
        <v>0.379595588235294</v>
      </c>
      <c r="V569" s="45" t="n">
        <f aca="false">IF(T569="",0,T569/N569-1)</f>
        <v>0.225998377355089</v>
      </c>
      <c r="W569" s="38" t="s">
        <v>244</v>
      </c>
    </row>
    <row r="570" customFormat="false" ht="15" hidden="false" customHeight="false" outlineLevel="0" collapsed="false">
      <c r="A570" s="19" t="n">
        <v>519</v>
      </c>
      <c r="B570" s="19" t="s">
        <v>728</v>
      </c>
      <c r="C570" s="19" t="s">
        <v>57</v>
      </c>
      <c r="D570" s="19"/>
      <c r="E570" s="19" t="s">
        <v>58</v>
      </c>
      <c r="F570" s="20" t="n">
        <v>26</v>
      </c>
      <c r="G570" s="20" t="n">
        <v>21</v>
      </c>
      <c r="H570" s="21" t="n">
        <v>4659.68</v>
      </c>
      <c r="I570" s="21" t="n">
        <v>-45.97</v>
      </c>
      <c r="J570" s="21" t="n">
        <v>-439.95</v>
      </c>
      <c r="K570" s="22" t="n">
        <f aca="false">H570+I570+J570</f>
        <v>4173.76</v>
      </c>
      <c r="L570" s="23" t="n">
        <f aca="false">IF($K$1282=0,0,K570/$K$1282)</f>
        <v>0.000345747757858396</v>
      </c>
      <c r="M570" s="24" t="n">
        <f aca="false">IF(F570&lt;=0,0,K570/F570)</f>
        <v>160.529230769231</v>
      </c>
      <c r="N570" s="21" t="n">
        <v>169.99</v>
      </c>
      <c r="O570" s="49" t="n">
        <v>5.07</v>
      </c>
      <c r="P570" s="24" t="n">
        <f aca="false">O570*'Price Groups'!$B$5</f>
        <v>114.075</v>
      </c>
      <c r="Q570" s="26" t="n">
        <f aca="false">IF(OR(N570="",P570=""),"",(N570-P570)/N570)</f>
        <v>0.328931113594917</v>
      </c>
      <c r="R570" s="27" t="n">
        <v>1</v>
      </c>
      <c r="S570" s="28" t="n">
        <f aca="false">IF(R570="-",0,IFERROR(VLOOKUP(R570,'Price Groups'!$A$13:$C$17,3,FALSE()),0))</f>
        <v>0.22</v>
      </c>
      <c r="T570" s="22" t="n">
        <f aca="false">IF(OR(N570="",R570="-"),"",CEILING(ROUND(N570*(1+S570),2),IF(N570*(1+S570)&lt;100,0.5,IF(N570*(1+S570)&lt;1000,1,5))))</f>
        <v>208</v>
      </c>
      <c r="U570" s="26" t="n">
        <f aca="false">IF(OR(T570="",P570=""),"",(T570-P570)/T570)</f>
        <v>0.4515625</v>
      </c>
      <c r="V570" s="26" t="n">
        <f aca="false">IF(T570="",0,T570/N570-1)</f>
        <v>0.22360138831696</v>
      </c>
      <c r="W570" s="19" t="s">
        <v>94</v>
      </c>
    </row>
    <row r="571" customFormat="false" ht="15" hidden="false" customHeight="false" outlineLevel="0" collapsed="false">
      <c r="A571" s="38" t="n">
        <v>520</v>
      </c>
      <c r="B571" s="38" t="s">
        <v>729</v>
      </c>
      <c r="C571" s="38" t="s">
        <v>57</v>
      </c>
      <c r="D571" s="38"/>
      <c r="E571" s="38" t="s">
        <v>58</v>
      </c>
      <c r="F571" s="39" t="n">
        <v>26</v>
      </c>
      <c r="G571" s="39" t="n">
        <v>20</v>
      </c>
      <c r="H571" s="40" t="n">
        <v>22404.4</v>
      </c>
      <c r="I571" s="40" t="n">
        <v>0</v>
      </c>
      <c r="J571" s="40" t="n">
        <v>-1580</v>
      </c>
      <c r="K571" s="41" t="n">
        <f aca="false">H571+I571+J571</f>
        <v>20824.4</v>
      </c>
      <c r="L571" s="42" t="n">
        <f aca="false">IF($K$1282=0,0,K571/$K$1282)</f>
        <v>0.00172506076265678</v>
      </c>
      <c r="M571" s="43" t="n">
        <f aca="false">IF(F571&lt;=0,0,K571/F571)</f>
        <v>800.938461538462</v>
      </c>
      <c r="N571" s="40" t="n">
        <v>499.99</v>
      </c>
      <c r="O571" s="44" t="n">
        <v>6.5</v>
      </c>
      <c r="P571" s="43" t="n">
        <f aca="false">O571*'Price Groups'!$B$5</f>
        <v>146.25</v>
      </c>
      <c r="Q571" s="45" t="n">
        <f aca="false">IF(OR(N571="",P571=""),"",(N571-P571)/N571)</f>
        <v>0.707494149882998</v>
      </c>
      <c r="R571" s="46" t="n">
        <v>3</v>
      </c>
      <c r="S571" s="47" t="n">
        <f aca="false">IF(R571="-",0,IFERROR(VLOOKUP(R571,'Price Groups'!$A$13:$C$17,3,FALSE()),0))</f>
        <v>0.16</v>
      </c>
      <c r="T571" s="41" t="n">
        <f aca="false">IF(OR(N571="",R571="-"),"",CEILING(ROUND(N571*(1+S571),2),IF(N571*(1+S571)&lt;100,0.5,IF(N571*(1+S571)&lt;1000,1,5))))</f>
        <v>580</v>
      </c>
      <c r="U571" s="45" t="n">
        <f aca="false">IF(OR(T571="",P571=""),"",(T571-P571)/T571)</f>
        <v>0.747844827586207</v>
      </c>
      <c r="V571" s="45" t="n">
        <f aca="false">IF(T571="",0,T571/N571-1)</f>
        <v>0.160023200464009</v>
      </c>
      <c r="W571" s="38" t="s">
        <v>107</v>
      </c>
    </row>
    <row r="572" customFormat="false" ht="15" hidden="false" customHeight="false" outlineLevel="0" collapsed="false">
      <c r="A572" s="19" t="n">
        <v>521</v>
      </c>
      <c r="B572" s="19" t="s">
        <v>730</v>
      </c>
      <c r="C572" s="19" t="s">
        <v>57</v>
      </c>
      <c r="D572" s="19"/>
      <c r="E572" s="19" t="s">
        <v>58</v>
      </c>
      <c r="F572" s="20" t="n">
        <v>26</v>
      </c>
      <c r="G572" s="20" t="n">
        <v>16</v>
      </c>
      <c r="H572" s="21" t="n">
        <v>773.79</v>
      </c>
      <c r="I572" s="21" t="n">
        <v>-11.17</v>
      </c>
      <c r="J572" s="21" t="n">
        <v>-54</v>
      </c>
      <c r="K572" s="22" t="n">
        <f aca="false">H572+I572+J572</f>
        <v>708.62</v>
      </c>
      <c r="L572" s="23" t="n">
        <f aca="false">IF($K$1282=0,0,K572/$K$1282)</f>
        <v>5.87009737439662E-005</v>
      </c>
      <c r="M572" s="24" t="n">
        <f aca="false">IF(F572&lt;=0,0,K572/F572)</f>
        <v>27.2546153846154</v>
      </c>
      <c r="N572" s="21" t="n">
        <v>29.99</v>
      </c>
      <c r="O572" s="49" t="n">
        <v>0.65</v>
      </c>
      <c r="P572" s="24" t="n">
        <f aca="false">O572*'Price Groups'!$B$5</f>
        <v>14.625</v>
      </c>
      <c r="Q572" s="26" t="n">
        <f aca="false">IF(OR(N572="",P572=""),"",(N572-P572)/N572)</f>
        <v>0.512337445815272</v>
      </c>
      <c r="R572" s="27" t="n">
        <v>1</v>
      </c>
      <c r="S572" s="28" t="n">
        <f aca="false">IF(R572="-",0,IFERROR(VLOOKUP(R572,'Price Groups'!$A$13:$C$17,3,FALSE()),0))</f>
        <v>0.22</v>
      </c>
      <c r="T572" s="22" t="n">
        <f aca="false">IF(OR(N572="",R572="-"),"",CEILING(ROUND(N572*(1+S572),2),IF(N572*(1+S572)&lt;100,0.5,IF(N572*(1+S572)&lt;1000,1,5))))</f>
        <v>37</v>
      </c>
      <c r="U572" s="26" t="n">
        <f aca="false">IF(OR(T572="",P572=""),"",(T572-P572)/T572)</f>
        <v>0.60472972972973</v>
      </c>
      <c r="V572" s="26" t="n">
        <f aca="false">IF(T572="",0,T572/N572-1)</f>
        <v>0.233744581527176</v>
      </c>
      <c r="W572" s="19" t="s">
        <v>94</v>
      </c>
    </row>
    <row r="573" customFormat="false" ht="15" hidden="false" customHeight="false" outlineLevel="0" collapsed="false">
      <c r="A573" s="38" t="n">
        <v>522</v>
      </c>
      <c r="B573" s="38" t="s">
        <v>731</v>
      </c>
      <c r="C573" s="38" t="s">
        <v>57</v>
      </c>
      <c r="D573" s="38"/>
      <c r="E573" s="38" t="s">
        <v>58</v>
      </c>
      <c r="F573" s="39" t="n">
        <v>26</v>
      </c>
      <c r="G573" s="39" t="n">
        <v>28</v>
      </c>
      <c r="H573" s="40" t="n">
        <v>13093.19</v>
      </c>
      <c r="I573" s="40" t="n">
        <v>-138.21</v>
      </c>
      <c r="J573" s="40" t="n">
        <v>-2106.95</v>
      </c>
      <c r="K573" s="41" t="n">
        <f aca="false">H573+I573+J573</f>
        <v>10848.03</v>
      </c>
      <c r="L573" s="42" t="n">
        <f aca="false">IF($K$1282=0,0,K573/$K$1282)</f>
        <v>0.000898633857644093</v>
      </c>
      <c r="M573" s="43" t="n">
        <f aca="false">IF(F573&lt;=0,0,K573/F573)</f>
        <v>417.231923076923</v>
      </c>
      <c r="N573" s="40" t="n">
        <v>350</v>
      </c>
      <c r="O573" s="44" t="n">
        <v>12.67</v>
      </c>
      <c r="P573" s="43" t="n">
        <f aca="false">O573*'Price Groups'!$B$5</f>
        <v>285.075</v>
      </c>
      <c r="Q573" s="45" t="n">
        <f aca="false">IF(OR(N573="",P573=""),"",(N573-P573)/N573)</f>
        <v>0.1855</v>
      </c>
      <c r="R573" s="46" t="n">
        <v>1</v>
      </c>
      <c r="S573" s="47" t="n">
        <f aca="false">IF(R573="-",0,IFERROR(VLOOKUP(R573,'Price Groups'!$A$13:$C$17,3,FALSE()),0))</f>
        <v>0.22</v>
      </c>
      <c r="T573" s="41" t="n">
        <f aca="false">IF(OR(N573="",R573="-"),"",CEILING(ROUND(N573*(1+S573),2),IF(N573*(1+S573)&lt;100,0.5,IF(N573*(1+S573)&lt;1000,1,5))))</f>
        <v>427</v>
      </c>
      <c r="U573" s="45" t="n">
        <f aca="false">IF(OR(T573="",P573=""),"",(T573-P573)/T573)</f>
        <v>0.332377049180328</v>
      </c>
      <c r="V573" s="45" t="n">
        <f aca="false">IF(T573="",0,T573/N573-1)</f>
        <v>0.22</v>
      </c>
      <c r="W573" s="38" t="s">
        <v>541</v>
      </c>
    </row>
    <row r="574" customFormat="false" ht="15" hidden="false" customHeight="false" outlineLevel="0" collapsed="false">
      <c r="A574" s="19" t="n">
        <v>523</v>
      </c>
      <c r="B574" s="19" t="s">
        <v>111</v>
      </c>
      <c r="C574" s="19" t="s">
        <v>307</v>
      </c>
      <c r="D574" s="19" t="s">
        <v>110</v>
      </c>
      <c r="E574" s="19" t="s">
        <v>58</v>
      </c>
      <c r="F574" s="20" t="n">
        <v>26</v>
      </c>
      <c r="G574" s="20" t="n">
        <v>19</v>
      </c>
      <c r="H574" s="21" t="n">
        <v>12720</v>
      </c>
      <c r="I574" s="21" t="n">
        <v>-100</v>
      </c>
      <c r="J574" s="21" t="n">
        <v>-1200</v>
      </c>
      <c r="K574" s="22" t="n">
        <f aca="false">H574+I574+J574</f>
        <v>11420</v>
      </c>
      <c r="L574" s="23" t="n">
        <f aca="false">IF($K$1282=0,0,K574/$K$1282)</f>
        <v>0.000946014958872306</v>
      </c>
      <c r="M574" s="24" t="n">
        <f aca="false">IF(F574&lt;=0,0,K574/F574)</f>
        <v>439.230769230769</v>
      </c>
      <c r="N574" s="21" t="n">
        <v>615</v>
      </c>
      <c r="O574" s="49" t="n">
        <v>15</v>
      </c>
      <c r="P574" s="24" t="n">
        <f aca="false">O574*'Price Groups'!$B$5</f>
        <v>337.5</v>
      </c>
      <c r="Q574" s="26" t="n">
        <f aca="false">IF(OR(N574="",P574=""),"",(N574-P574)/N574)</f>
        <v>0.451219512195122</v>
      </c>
      <c r="R574" s="27" t="n">
        <v>5</v>
      </c>
      <c r="S574" s="28" t="n">
        <f aca="false">IF(R574="-",0,IFERROR(VLOOKUP(R574,'Price Groups'!$A$13:$C$17,3,FALSE()),0))</f>
        <v>0.02</v>
      </c>
      <c r="T574" s="22" t="n">
        <f aca="false">IF(OR(N574="",R574="-"),"",CEILING(ROUND(N574*(1+S574),2),IF(N574*(1+S574)&lt;100,0.5,IF(N574*(1+S574)&lt;1000,1,5))))</f>
        <v>628</v>
      </c>
      <c r="U574" s="26" t="n">
        <f aca="false">IF(OR(T574="",P574=""),"",(T574-P574)/T574)</f>
        <v>0.462579617834395</v>
      </c>
      <c r="V574" s="26" t="n">
        <f aca="false">IF(T574="",0,T574/N574-1)</f>
        <v>0.0211382113821139</v>
      </c>
      <c r="W574" s="19" t="s">
        <v>732</v>
      </c>
    </row>
    <row r="575" customFormat="false" ht="15" hidden="false" customHeight="false" outlineLevel="0" collapsed="false">
      <c r="A575" s="38" t="n">
        <v>524</v>
      </c>
      <c r="B575" s="38" t="s">
        <v>733</v>
      </c>
      <c r="C575" s="38" t="s">
        <v>57</v>
      </c>
      <c r="D575" s="38"/>
      <c r="E575" s="38" t="s">
        <v>58</v>
      </c>
      <c r="F575" s="39" t="n">
        <v>25</v>
      </c>
      <c r="G575" s="39" t="n">
        <v>31</v>
      </c>
      <c r="H575" s="40" t="n">
        <v>20893.44</v>
      </c>
      <c r="I575" s="40" t="n">
        <v>-145.1</v>
      </c>
      <c r="J575" s="40" t="n">
        <v>-4674.44</v>
      </c>
      <c r="K575" s="41" t="n">
        <f aca="false">H575+I575+J575</f>
        <v>16073.9</v>
      </c>
      <c r="L575" s="42" t="n">
        <f aca="false">IF($K$1282=0,0,K575/$K$1282)</f>
        <v>0.0013315367642222</v>
      </c>
      <c r="M575" s="43" t="n">
        <f aca="false">IF(F575&lt;=0,0,K575/F575)</f>
        <v>642.956</v>
      </c>
      <c r="N575" s="40" t="n">
        <v>450</v>
      </c>
      <c r="O575" s="44" t="n">
        <v>12.94</v>
      </c>
      <c r="P575" s="43" t="n">
        <f aca="false">O575*'Price Groups'!$B$5</f>
        <v>291.15</v>
      </c>
      <c r="Q575" s="45" t="n">
        <f aca="false">IF(OR(N575="",P575=""),"",(N575-P575)/N575)</f>
        <v>0.353</v>
      </c>
      <c r="R575" s="46" t="n">
        <v>2</v>
      </c>
      <c r="S575" s="47" t="n">
        <f aca="false">IF(R575="-",0,IFERROR(VLOOKUP(R575,'Price Groups'!$A$13:$C$17,3,FALSE()),0))</f>
        <v>0.18</v>
      </c>
      <c r="T575" s="41" t="n">
        <f aca="false">IF(OR(N575="",R575="-"),"",CEILING(ROUND(N575*(1+S575),2),IF(N575*(1+S575)&lt;100,0.5,IF(N575*(1+S575)&lt;1000,1,5))))</f>
        <v>531</v>
      </c>
      <c r="U575" s="45" t="n">
        <f aca="false">IF(OR(T575="",P575=""),"",(T575-P575)/T575)</f>
        <v>0.451694915254237</v>
      </c>
      <c r="V575" s="45" t="n">
        <f aca="false">IF(T575="",0,T575/N575-1)</f>
        <v>0.18</v>
      </c>
      <c r="W575" s="38" t="s">
        <v>237</v>
      </c>
    </row>
    <row r="576" customFormat="false" ht="15" hidden="false" customHeight="false" outlineLevel="0" collapsed="false">
      <c r="A576" s="19" t="n">
        <v>525</v>
      </c>
      <c r="B576" s="19" t="s">
        <v>734</v>
      </c>
      <c r="C576" s="19" t="s">
        <v>57</v>
      </c>
      <c r="D576" s="19"/>
      <c r="E576" s="19" t="s">
        <v>58</v>
      </c>
      <c r="F576" s="20" t="n">
        <v>25</v>
      </c>
      <c r="G576" s="20" t="n">
        <v>6</v>
      </c>
      <c r="H576" s="21" t="n">
        <v>999.75</v>
      </c>
      <c r="I576" s="21" t="n">
        <v>0</v>
      </c>
      <c r="J576" s="21" t="n">
        <v>0</v>
      </c>
      <c r="K576" s="22" t="n">
        <f aca="false">H576+I576+J576</f>
        <v>999.75</v>
      </c>
      <c r="L576" s="23" t="n">
        <f aca="false">IF($K$1282=0,0,K576/$K$1282)</f>
        <v>8.28177281201916E-005</v>
      </c>
      <c r="M576" s="24" t="n">
        <f aca="false">IF(F576&lt;=0,0,K576/F576)</f>
        <v>39.99</v>
      </c>
      <c r="N576" s="21" t="n">
        <v>39.99</v>
      </c>
      <c r="O576" s="49" t="n">
        <v>1</v>
      </c>
      <c r="P576" s="24" t="n">
        <f aca="false">O576*'Price Groups'!$B$5</f>
        <v>22.5</v>
      </c>
      <c r="Q576" s="26" t="n">
        <f aca="false">IF(OR(N576="",P576=""),"",(N576-P576)/N576)</f>
        <v>0.437359339834959</v>
      </c>
      <c r="R576" s="27" t="n">
        <v>1</v>
      </c>
      <c r="S576" s="28" t="n">
        <f aca="false">IF(R576="-",0,IFERROR(VLOOKUP(R576,'Price Groups'!$A$13:$C$17,3,FALSE()),0))</f>
        <v>0.22</v>
      </c>
      <c r="T576" s="22" t="n">
        <f aca="false">IF(OR(N576="",R576="-"),"",CEILING(ROUND(N576*(1+S576),2),IF(N576*(1+S576)&lt;100,0.5,IF(N576*(1+S576)&lt;1000,1,5))))</f>
        <v>49</v>
      </c>
      <c r="U576" s="26" t="n">
        <f aca="false">IF(OR(T576="",P576=""),"",(T576-P576)/T576)</f>
        <v>0.540816326530612</v>
      </c>
      <c r="V576" s="26" t="n">
        <f aca="false">IF(T576="",0,T576/N576-1)</f>
        <v>0.225306326581645</v>
      </c>
      <c r="W576" s="19" t="s">
        <v>94</v>
      </c>
    </row>
    <row r="577" customFormat="false" ht="15" hidden="false" customHeight="false" outlineLevel="0" collapsed="false">
      <c r="A577" s="38" t="n">
        <v>526</v>
      </c>
      <c r="B577" s="38" t="s">
        <v>735</v>
      </c>
      <c r="C577" s="38" t="s">
        <v>57</v>
      </c>
      <c r="D577" s="38"/>
      <c r="E577" s="38" t="s">
        <v>58</v>
      </c>
      <c r="F577" s="39" t="n">
        <v>25</v>
      </c>
      <c r="G577" s="39" t="n">
        <v>18</v>
      </c>
      <c r="H577" s="40" t="n">
        <v>20071.76</v>
      </c>
      <c r="I577" s="40" t="n">
        <v>0</v>
      </c>
      <c r="J577" s="40" t="n">
        <v>-799</v>
      </c>
      <c r="K577" s="41" t="n">
        <f aca="false">H577+I577+J577</f>
        <v>19272.76</v>
      </c>
      <c r="L577" s="42" t="n">
        <f aca="false">IF($K$1282=0,0,K577/$K$1282)</f>
        <v>0.00159652532913799</v>
      </c>
      <c r="M577" s="43" t="n">
        <f aca="false">IF(F577&lt;=0,0,K577/F577)</f>
        <v>770.9104</v>
      </c>
      <c r="N577" s="40" t="n">
        <v>650</v>
      </c>
      <c r="O577" s="44" t="n">
        <v>11.5</v>
      </c>
      <c r="P577" s="43" t="n">
        <f aca="false">O577*'Price Groups'!$B$5</f>
        <v>258.75</v>
      </c>
      <c r="Q577" s="45" t="n">
        <f aca="false">IF(OR(N577="",P577=""),"",(N577-P577)/N577)</f>
        <v>0.601923076923077</v>
      </c>
      <c r="R577" s="46" t="n">
        <v>3</v>
      </c>
      <c r="S577" s="47" t="n">
        <f aca="false">IF(R577="-",0,IFERROR(VLOOKUP(R577,'Price Groups'!$A$13:$C$17,3,FALSE()),0))</f>
        <v>0.16</v>
      </c>
      <c r="T577" s="41" t="n">
        <f aca="false">IF(OR(N577="",R577="-"),"",CEILING(ROUND(N577*(1+S577),2),IF(N577*(1+S577)&lt;100,0.5,IF(N577*(1+S577)&lt;1000,1,5))))</f>
        <v>754</v>
      </c>
      <c r="U577" s="45" t="n">
        <f aca="false">IF(OR(T577="",P577=""),"",(T577-P577)/T577)</f>
        <v>0.656830238726791</v>
      </c>
      <c r="V577" s="45" t="n">
        <f aca="false">IF(T577="",0,T577/N577-1)</f>
        <v>0.16</v>
      </c>
      <c r="W577" s="38" t="s">
        <v>107</v>
      </c>
    </row>
    <row r="578" customFormat="false" ht="15" hidden="false" customHeight="false" outlineLevel="0" collapsed="false">
      <c r="A578" s="19" t="n">
        <v>527</v>
      </c>
      <c r="B578" s="19" t="s">
        <v>736</v>
      </c>
      <c r="C578" s="19" t="s">
        <v>57</v>
      </c>
      <c r="D578" s="19"/>
      <c r="E578" s="19" t="s">
        <v>58</v>
      </c>
      <c r="F578" s="20" t="n">
        <v>25</v>
      </c>
      <c r="G578" s="20" t="n">
        <v>6</v>
      </c>
      <c r="H578" s="21" t="n">
        <v>1495.89</v>
      </c>
      <c r="I578" s="21" t="n">
        <v>0</v>
      </c>
      <c r="J578" s="21" t="n">
        <v>0</v>
      </c>
      <c r="K578" s="22" t="n">
        <f aca="false">H578+I578+J578</f>
        <v>1495.89</v>
      </c>
      <c r="L578" s="23" t="n">
        <f aca="false">IF($K$1282=0,0,K578/$K$1282)</f>
        <v>0.000123917190615367</v>
      </c>
      <c r="M578" s="24" t="n">
        <f aca="false">IF(F578&lt;=0,0,K578/F578)</f>
        <v>59.8356</v>
      </c>
      <c r="N578" s="21" t="n">
        <v>49.99</v>
      </c>
      <c r="O578" s="49" t="n">
        <v>1.47</v>
      </c>
      <c r="P578" s="24" t="n">
        <f aca="false">O578*'Price Groups'!$B$5</f>
        <v>33.075</v>
      </c>
      <c r="Q578" s="26" t="n">
        <f aca="false">IF(OR(N578="",P578=""),"",(N578-P578)/N578)</f>
        <v>0.338367673534707</v>
      </c>
      <c r="R578" s="27" t="n">
        <v>1</v>
      </c>
      <c r="S578" s="28" t="n">
        <f aca="false">IF(R578="-",0,IFERROR(VLOOKUP(R578,'Price Groups'!$A$13:$C$17,3,FALSE()),0))</f>
        <v>0.22</v>
      </c>
      <c r="T578" s="22" t="n">
        <f aca="false">IF(OR(N578="",R578="-"),"",CEILING(ROUND(N578*(1+S578),2),IF(N578*(1+S578)&lt;100,0.5,IF(N578*(1+S578)&lt;1000,1,5))))</f>
        <v>61</v>
      </c>
      <c r="U578" s="26" t="n">
        <f aca="false">IF(OR(T578="",P578=""),"",(T578-P578)/T578)</f>
        <v>0.457786885245902</v>
      </c>
      <c r="V578" s="26" t="n">
        <f aca="false">IF(T578="",0,T578/N578-1)</f>
        <v>0.220244048809762</v>
      </c>
      <c r="W578" s="19" t="s">
        <v>94</v>
      </c>
    </row>
    <row r="579" customFormat="false" ht="15" hidden="false" customHeight="false" outlineLevel="0" collapsed="false">
      <c r="A579" s="38" t="n">
        <v>528</v>
      </c>
      <c r="B579" s="38" t="s">
        <v>737</v>
      </c>
      <c r="C579" s="38" t="s">
        <v>57</v>
      </c>
      <c r="D579" s="38"/>
      <c r="E579" s="38" t="s">
        <v>58</v>
      </c>
      <c r="F579" s="39" t="n">
        <v>25</v>
      </c>
      <c r="G579" s="39" t="n">
        <v>18</v>
      </c>
      <c r="H579" s="40" t="n">
        <v>4871.19</v>
      </c>
      <c r="I579" s="40" t="n">
        <v>0</v>
      </c>
      <c r="J579" s="40" t="n">
        <v>-163.42</v>
      </c>
      <c r="K579" s="41" t="n">
        <f aca="false">H579+I579+J579</f>
        <v>4707.77</v>
      </c>
      <c r="L579" s="42" t="n">
        <f aca="false">IF($K$1282=0,0,K579/$K$1282)</f>
        <v>0.000389984311990392</v>
      </c>
      <c r="M579" s="43" t="n">
        <f aca="false">IF(F579&lt;=0,0,K579/F579)</f>
        <v>188.3108</v>
      </c>
      <c r="N579" s="40" t="n">
        <v>163.42</v>
      </c>
      <c r="O579" s="44" t="n">
        <v>5.1</v>
      </c>
      <c r="P579" s="43" t="n">
        <f aca="false">O579*'Price Groups'!$B$5</f>
        <v>114.75</v>
      </c>
      <c r="Q579" s="45" t="n">
        <f aca="false">IF(OR(N579="",P579=""),"",(N579-P579)/N579)</f>
        <v>0.297821564068046</v>
      </c>
      <c r="R579" s="46" t="n">
        <v>1</v>
      </c>
      <c r="S579" s="47" t="n">
        <f aca="false">IF(R579="-",0,IFERROR(VLOOKUP(R579,'Price Groups'!$A$13:$C$17,3,FALSE()),0))</f>
        <v>0.22</v>
      </c>
      <c r="T579" s="41" t="n">
        <f aca="false">IF(OR(N579="",R579="-"),"",CEILING(ROUND(N579*(1+S579),2),IF(N579*(1+S579)&lt;100,0.5,IF(N579*(1+S579)&lt;1000,1,5))))</f>
        <v>200</v>
      </c>
      <c r="U579" s="45" t="n">
        <f aca="false">IF(OR(T579="",P579=""),"",(T579-P579)/T579)</f>
        <v>0.42625</v>
      </c>
      <c r="V579" s="45" t="n">
        <f aca="false">IF(T579="",0,T579/N579-1)</f>
        <v>0.223840411210378</v>
      </c>
      <c r="W579" s="38" t="s">
        <v>94</v>
      </c>
    </row>
    <row r="580" customFormat="false" ht="15" hidden="false" customHeight="false" outlineLevel="0" collapsed="false">
      <c r="A580" s="19" t="n">
        <v>529</v>
      </c>
      <c r="B580" s="19" t="s">
        <v>738</v>
      </c>
      <c r="C580" s="19" t="s">
        <v>57</v>
      </c>
      <c r="D580" s="19"/>
      <c r="E580" s="19" t="s">
        <v>58</v>
      </c>
      <c r="F580" s="20" t="n">
        <v>25</v>
      </c>
      <c r="G580" s="20" t="n">
        <v>23</v>
      </c>
      <c r="H580" s="21" t="n">
        <v>9032.67</v>
      </c>
      <c r="I580" s="21" t="n">
        <v>-124.95</v>
      </c>
      <c r="J580" s="21" t="n">
        <v>-2945.64</v>
      </c>
      <c r="K580" s="22" t="n">
        <f aca="false">H580+I580+J580</f>
        <v>5962.08</v>
      </c>
      <c r="L580" s="23" t="n">
        <f aca="false">IF($K$1282=0,0,K580/$K$1282)</f>
        <v>0.000493889392819037</v>
      </c>
      <c r="M580" s="24" t="n">
        <f aca="false">IF(F580&lt;=0,0,K580/F580)</f>
        <v>238.4832</v>
      </c>
      <c r="N580" s="21" t="n">
        <v>249.99</v>
      </c>
      <c r="O580" s="49" t="n">
        <v>7.84</v>
      </c>
      <c r="P580" s="24" t="n">
        <f aca="false">O580*'Price Groups'!$B$5</f>
        <v>176.4</v>
      </c>
      <c r="Q580" s="26" t="n">
        <f aca="false">IF(OR(N580="",P580=""),"",(N580-P580)/N580)</f>
        <v>0.294371774870995</v>
      </c>
      <c r="R580" s="27" t="n">
        <v>1</v>
      </c>
      <c r="S580" s="28" t="n">
        <f aca="false">IF(R580="-",0,IFERROR(VLOOKUP(R580,'Price Groups'!$A$13:$C$17,3,FALSE()),0))</f>
        <v>0.22</v>
      </c>
      <c r="T580" s="22" t="n">
        <f aca="false">IF(OR(N580="",R580="-"),"",CEILING(ROUND(N580*(1+S580),2),IF(N580*(1+S580)&lt;100,0.5,IF(N580*(1+S580)&lt;1000,1,5))))</f>
        <v>305</v>
      </c>
      <c r="U580" s="26" t="n">
        <f aca="false">IF(OR(T580="",P580=""),"",(T580-P580)/T580)</f>
        <v>0.421639344262295</v>
      </c>
      <c r="V580" s="26" t="n">
        <f aca="false">IF(T580="",0,T580/N580-1)</f>
        <v>0.220048801952078</v>
      </c>
      <c r="W580" s="19" t="s">
        <v>94</v>
      </c>
    </row>
    <row r="581" customFormat="false" ht="15" hidden="false" customHeight="false" outlineLevel="0" collapsed="false">
      <c r="A581" s="38" t="n">
        <v>530</v>
      </c>
      <c r="B581" s="38" t="s">
        <v>739</v>
      </c>
      <c r="C581" s="38" t="s">
        <v>57</v>
      </c>
      <c r="D581" s="38"/>
      <c r="E581" s="38" t="s">
        <v>58</v>
      </c>
      <c r="F581" s="39" t="n">
        <v>25</v>
      </c>
      <c r="G581" s="39" t="n">
        <v>19</v>
      </c>
      <c r="H581" s="40" t="n">
        <v>11019.71</v>
      </c>
      <c r="I581" s="40" t="n">
        <v>-170.95</v>
      </c>
      <c r="J581" s="40" t="n">
        <v>-1500.97</v>
      </c>
      <c r="K581" s="41" t="n">
        <f aca="false">H581+I581+J581</f>
        <v>9347.79</v>
      </c>
      <c r="L581" s="42" t="n">
        <f aca="false">IF($K$1282=0,0,K581/$K$1282)</f>
        <v>0.000774356319824602</v>
      </c>
      <c r="M581" s="43" t="n">
        <f aca="false">IF(F581&lt;=0,0,K581/F581)</f>
        <v>373.9116</v>
      </c>
      <c r="N581" s="40" t="n">
        <v>379.99</v>
      </c>
      <c r="O581" s="44" t="n">
        <v>13</v>
      </c>
      <c r="P581" s="43" t="n">
        <f aca="false">O581*'Price Groups'!$B$5</f>
        <v>292.5</v>
      </c>
      <c r="Q581" s="45" t="n">
        <f aca="false">IF(OR(N581="",P581=""),"",(N581-P581)/N581)</f>
        <v>0.230242901128977</v>
      </c>
      <c r="R581" s="46" t="n">
        <v>1</v>
      </c>
      <c r="S581" s="47" t="n">
        <f aca="false">IF(R581="-",0,IFERROR(VLOOKUP(R581,'Price Groups'!$A$13:$C$17,3,FALSE()),0))</f>
        <v>0.22</v>
      </c>
      <c r="T581" s="41" t="n">
        <f aca="false">IF(OR(N581="",R581="-"),"",CEILING(ROUND(N581*(1+S581),2),IF(N581*(1+S581)&lt;100,0.5,IF(N581*(1+S581)&lt;1000,1,5))))</f>
        <v>464</v>
      </c>
      <c r="U581" s="45" t="n">
        <f aca="false">IF(OR(T581="",P581=""),"",(T581-P581)/T581)</f>
        <v>0.369612068965517</v>
      </c>
      <c r="V581" s="45" t="n">
        <f aca="false">IF(T581="",0,T581/N581-1)</f>
        <v>0.221084765388563</v>
      </c>
      <c r="W581" s="38" t="s">
        <v>633</v>
      </c>
    </row>
    <row r="582" customFormat="false" ht="15" hidden="false" customHeight="false" outlineLevel="0" collapsed="false">
      <c r="A582" s="19" t="n">
        <v>531</v>
      </c>
      <c r="B582" s="19" t="s">
        <v>740</v>
      </c>
      <c r="C582" s="19" t="s">
        <v>57</v>
      </c>
      <c r="D582" s="19"/>
      <c r="E582" s="19" t="s">
        <v>58</v>
      </c>
      <c r="F582" s="20" t="n">
        <v>25</v>
      </c>
      <c r="G582" s="20" t="n">
        <v>18</v>
      </c>
      <c r="H582" s="21" t="n">
        <v>945</v>
      </c>
      <c r="I582" s="21" t="n">
        <v>-14</v>
      </c>
      <c r="J582" s="21" t="n">
        <v>-70</v>
      </c>
      <c r="K582" s="22" t="n">
        <f aca="false">H582+I582+J582</f>
        <v>861</v>
      </c>
      <c r="L582" s="23" t="n">
        <f aca="false">IF($K$1282=0,0,K582/$K$1282)</f>
        <v>7.13238948852063E-005</v>
      </c>
      <c r="M582" s="24" t="n">
        <f aca="false">IF(F582&lt;=0,0,K582/F582)</f>
        <v>34.44</v>
      </c>
      <c r="N582" s="21" t="n">
        <v>35</v>
      </c>
      <c r="O582" s="49" t="n">
        <v>0.76</v>
      </c>
      <c r="P582" s="24" t="n">
        <f aca="false">O582*'Price Groups'!$B$5</f>
        <v>17.1</v>
      </c>
      <c r="Q582" s="26" t="n">
        <f aca="false">IF(OR(N582="",P582=""),"",(N582-P582)/N582)</f>
        <v>0.511428571428571</v>
      </c>
      <c r="R582" s="27" t="n">
        <v>1</v>
      </c>
      <c r="S582" s="28" t="n">
        <f aca="false">IF(R582="-",0,IFERROR(VLOOKUP(R582,'Price Groups'!$A$13:$C$17,3,FALSE()),0))</f>
        <v>0.22</v>
      </c>
      <c r="T582" s="22" t="n">
        <f aca="false">IF(OR(N582="",R582="-"),"",CEILING(ROUND(N582*(1+S582),2),IF(N582*(1+S582)&lt;100,0.5,IF(N582*(1+S582)&lt;1000,1,5))))</f>
        <v>43</v>
      </c>
      <c r="U582" s="26" t="n">
        <f aca="false">IF(OR(T582="",P582=""),"",(T582-P582)/T582)</f>
        <v>0.602325581395349</v>
      </c>
      <c r="V582" s="26" t="n">
        <f aca="false">IF(T582="",0,T582/N582-1)</f>
        <v>0.228571428571429</v>
      </c>
      <c r="W582" s="19" t="s">
        <v>94</v>
      </c>
    </row>
    <row r="583" customFormat="false" ht="15" hidden="false" customHeight="false" outlineLevel="0" collapsed="false">
      <c r="A583" s="38" t="n">
        <v>532</v>
      </c>
      <c r="B583" s="38" t="s">
        <v>741</v>
      </c>
      <c r="C583" s="38" t="s">
        <v>57</v>
      </c>
      <c r="D583" s="38"/>
      <c r="E583" s="38" t="s">
        <v>58</v>
      </c>
      <c r="F583" s="39" t="n">
        <v>25</v>
      </c>
      <c r="G583" s="39" t="n">
        <v>23</v>
      </c>
      <c r="H583" s="40" t="n">
        <v>599.7</v>
      </c>
      <c r="I583" s="40" t="n">
        <v>-2.03</v>
      </c>
      <c r="J583" s="40" t="n">
        <v>-99.95</v>
      </c>
      <c r="K583" s="41" t="n">
        <f aca="false">H583+I583+J583</f>
        <v>497.72</v>
      </c>
      <c r="L583" s="42" t="n">
        <f aca="false">IF($K$1282=0,0,K583/$K$1282)</f>
        <v>4.12303472267885E-005</v>
      </c>
      <c r="M583" s="43" t="n">
        <f aca="false">IF(F583&lt;=0,0,K583/F583)</f>
        <v>19.9088</v>
      </c>
      <c r="N583" s="40" t="n">
        <v>19.99</v>
      </c>
      <c r="O583" s="50"/>
      <c r="P583" s="43"/>
      <c r="Q583" s="45" t="str">
        <f aca="false">IF(OR(N583="",P583=""),"",(N583-P583)/N583)</f>
        <v/>
      </c>
      <c r="R583" s="46" t="n">
        <v>2</v>
      </c>
      <c r="S583" s="47" t="n">
        <f aca="false">IF(R583="-",0,IFERROR(VLOOKUP(R583,'Price Groups'!$A$13:$C$17,3,FALSE()),0))</f>
        <v>0.18</v>
      </c>
      <c r="T583" s="41" t="n">
        <f aca="false">IF(OR(N583="",R583="-"),"",CEILING(ROUND(N583*(1+S583),2),IF(N583*(1+S583)&lt;100,0.5,IF(N583*(1+S583)&lt;1000,1,5))))</f>
        <v>24</v>
      </c>
      <c r="U583" s="45" t="str">
        <f aca="false">IF(OR(T583="",P583=""),"",(T583-P583)/T583)</f>
        <v/>
      </c>
      <c r="V583" s="45" t="n">
        <f aca="false">IF(T583="",0,T583/N583-1)</f>
        <v>0.200600300150075</v>
      </c>
      <c r="W583" s="38" t="s">
        <v>129</v>
      </c>
    </row>
    <row r="584" customFormat="false" ht="15" hidden="false" customHeight="false" outlineLevel="0" collapsed="false">
      <c r="A584" s="19" t="n">
        <v>533</v>
      </c>
      <c r="B584" s="19" t="s">
        <v>742</v>
      </c>
      <c r="C584" s="19" t="s">
        <v>57</v>
      </c>
      <c r="D584" s="19"/>
      <c r="E584" s="19" t="s">
        <v>58</v>
      </c>
      <c r="F584" s="20" t="n">
        <v>25</v>
      </c>
      <c r="G584" s="20" t="n">
        <v>15</v>
      </c>
      <c r="H584" s="21" t="n">
        <v>1124.75</v>
      </c>
      <c r="I584" s="21" t="n">
        <v>-4.49</v>
      </c>
      <c r="J584" s="21" t="n">
        <v>0</v>
      </c>
      <c r="K584" s="22" t="n">
        <f aca="false">H584+I584+J584</f>
        <v>1120.26</v>
      </c>
      <c r="L584" s="23" t="n">
        <f aca="false">IF($K$1282=0,0,K584/$K$1282)</f>
        <v>9.28005882509886E-005</v>
      </c>
      <c r="M584" s="24" t="n">
        <f aca="false">IF(F584&lt;=0,0,K584/F584)</f>
        <v>44.8104</v>
      </c>
      <c r="N584" s="21" t="n">
        <v>47.24</v>
      </c>
      <c r="O584" s="49" t="n">
        <v>0.95</v>
      </c>
      <c r="P584" s="24" t="n">
        <f aca="false">O584*'Price Groups'!$B$5</f>
        <v>21.375</v>
      </c>
      <c r="Q584" s="26" t="n">
        <f aca="false">IF(OR(N584="",P584=""),"",(N584-P584)/N584)</f>
        <v>0.547523285351397</v>
      </c>
      <c r="R584" s="27" t="n">
        <v>1</v>
      </c>
      <c r="S584" s="28" t="n">
        <f aca="false">IF(R584="-",0,IFERROR(VLOOKUP(R584,'Price Groups'!$A$13:$C$17,3,FALSE()),0))</f>
        <v>0.22</v>
      </c>
      <c r="T584" s="22" t="n">
        <f aca="false">IF(OR(N584="",R584="-"),"",CEILING(ROUND(N584*(1+S584),2),IF(N584*(1+S584)&lt;100,0.5,IF(N584*(1+S584)&lt;1000,1,5))))</f>
        <v>58</v>
      </c>
      <c r="U584" s="26" t="n">
        <f aca="false">IF(OR(T584="",P584=""),"",(T584-P584)/T584)</f>
        <v>0.631465517241379</v>
      </c>
      <c r="V584" s="26" t="n">
        <f aca="false">IF(T584="",0,T584/N584-1)</f>
        <v>0.227773073666384</v>
      </c>
      <c r="W584" s="19" t="s">
        <v>94</v>
      </c>
    </row>
    <row r="585" customFormat="false" ht="15" hidden="false" customHeight="false" outlineLevel="0" collapsed="false">
      <c r="A585" s="38" t="n">
        <v>534</v>
      </c>
      <c r="B585" s="38" t="s">
        <v>743</v>
      </c>
      <c r="C585" s="38" t="s">
        <v>57</v>
      </c>
      <c r="D585" s="38"/>
      <c r="E585" s="38" t="s">
        <v>58</v>
      </c>
      <c r="F585" s="39" t="n">
        <v>25</v>
      </c>
      <c r="G585" s="39" t="n">
        <v>20</v>
      </c>
      <c r="H585" s="40" t="n">
        <v>558.35</v>
      </c>
      <c r="I585" s="40" t="n">
        <v>-1.27</v>
      </c>
      <c r="J585" s="40" t="n">
        <v>0</v>
      </c>
      <c r="K585" s="41" t="n">
        <f aca="false">H585+I585+J585</f>
        <v>557.08</v>
      </c>
      <c r="L585" s="42" t="n">
        <f aca="false">IF($K$1282=0,0,K585/$K$1282)</f>
        <v>4.61476368904189E-005</v>
      </c>
      <c r="M585" s="43" t="n">
        <f aca="false">IF(F585&lt;=0,0,K585/F585)</f>
        <v>22.2832</v>
      </c>
      <c r="N585" s="40" t="n">
        <v>33</v>
      </c>
      <c r="O585" s="44" t="n">
        <v>0.43</v>
      </c>
      <c r="P585" s="43" t="n">
        <f aca="false">O585*'Price Groups'!$B$5</f>
        <v>9.675</v>
      </c>
      <c r="Q585" s="45" t="n">
        <f aca="false">IF(OR(N585="",P585=""),"",(N585-P585)/N585)</f>
        <v>0.706818181818182</v>
      </c>
      <c r="R585" s="46" t="n">
        <v>1</v>
      </c>
      <c r="S585" s="47" t="n">
        <f aca="false">IF(R585="-",0,IFERROR(VLOOKUP(R585,'Price Groups'!$A$13:$C$17,3,FALSE()),0))</f>
        <v>0.22</v>
      </c>
      <c r="T585" s="41" t="n">
        <f aca="false">IF(OR(N585="",R585="-"),"",CEILING(ROUND(N585*(1+S585),2),IF(N585*(1+S585)&lt;100,0.5,IF(N585*(1+S585)&lt;1000,1,5))))</f>
        <v>40.5</v>
      </c>
      <c r="U585" s="45" t="n">
        <f aca="false">IF(OR(T585="",P585=""),"",(T585-P585)/T585)</f>
        <v>0.761111111111111</v>
      </c>
      <c r="V585" s="45" t="n">
        <f aca="false">IF(T585="",0,T585/N585-1)</f>
        <v>0.227272727272727</v>
      </c>
      <c r="W585" s="38" t="s">
        <v>94</v>
      </c>
    </row>
    <row r="586" customFormat="false" ht="15" hidden="false" customHeight="false" outlineLevel="0" collapsed="false">
      <c r="A586" s="19" t="n">
        <v>535</v>
      </c>
      <c r="B586" s="19" t="s">
        <v>744</v>
      </c>
      <c r="C586" s="19" t="s">
        <v>57</v>
      </c>
      <c r="D586" s="19"/>
      <c r="E586" s="19" t="s">
        <v>58</v>
      </c>
      <c r="F586" s="20" t="n">
        <v>25</v>
      </c>
      <c r="G586" s="20" t="n">
        <v>16</v>
      </c>
      <c r="H586" s="21" t="n">
        <v>2664.23</v>
      </c>
      <c r="I586" s="21" t="n">
        <v>-63.25</v>
      </c>
      <c r="J586" s="21" t="n">
        <v>0</v>
      </c>
      <c r="K586" s="22" t="n">
        <f aca="false">H586+I586+J586</f>
        <v>2600.98</v>
      </c>
      <c r="L586" s="23" t="n">
        <f aca="false">IF($K$1282=0,0,K586/$K$1282)</f>
        <v>0.000215461119765997</v>
      </c>
      <c r="M586" s="24" t="n">
        <f aca="false">IF(F586&lt;=0,0,K586/F586)</f>
        <v>104.0392</v>
      </c>
      <c r="N586" s="21" t="n">
        <v>129.99</v>
      </c>
      <c r="O586" s="49" t="n">
        <v>1.47</v>
      </c>
      <c r="P586" s="24" t="n">
        <f aca="false">O586*'Price Groups'!$B$5</f>
        <v>33.075</v>
      </c>
      <c r="Q586" s="26" t="n">
        <f aca="false">IF(OR(N586="",P586=""),"",(N586-P586)/N586)</f>
        <v>0.745557350565428</v>
      </c>
      <c r="R586" s="27" t="n">
        <v>1</v>
      </c>
      <c r="S586" s="28" t="n">
        <f aca="false">IF(R586="-",0,IFERROR(VLOOKUP(R586,'Price Groups'!$A$13:$C$17,3,FALSE()),0))</f>
        <v>0.22</v>
      </c>
      <c r="T586" s="22" t="n">
        <f aca="false">IF(OR(N586="",R586="-"),"",CEILING(ROUND(N586*(1+S586),2),IF(N586*(1+S586)&lt;100,0.5,IF(N586*(1+S586)&lt;1000,1,5))))</f>
        <v>159</v>
      </c>
      <c r="U586" s="26" t="n">
        <f aca="false">IF(OR(T586="",P586=""),"",(T586-P586)/T586)</f>
        <v>0.791981132075472</v>
      </c>
      <c r="V586" s="26" t="n">
        <f aca="false">IF(T586="",0,T586/N586-1)</f>
        <v>0.223171013154858</v>
      </c>
      <c r="W586" s="19" t="s">
        <v>94</v>
      </c>
    </row>
    <row r="587" customFormat="false" ht="15" hidden="false" customHeight="false" outlineLevel="0" collapsed="false">
      <c r="A587" s="38" t="n">
        <v>536</v>
      </c>
      <c r="B587" s="38" t="s">
        <v>745</v>
      </c>
      <c r="C587" s="38" t="s">
        <v>57</v>
      </c>
      <c r="D587" s="38"/>
      <c r="E587" s="38" t="s">
        <v>58</v>
      </c>
      <c r="F587" s="39" t="n">
        <v>25</v>
      </c>
      <c r="G587" s="39" t="n">
        <v>15</v>
      </c>
      <c r="H587" s="40" t="n">
        <v>289.47</v>
      </c>
      <c r="I587" s="40" t="n">
        <v>-8.44</v>
      </c>
      <c r="J587" s="40" t="n">
        <v>0</v>
      </c>
      <c r="K587" s="41" t="n">
        <f aca="false">H587+I587+J587</f>
        <v>281.03</v>
      </c>
      <c r="L587" s="42" t="n">
        <f aca="false">IF($K$1282=0,0,K587/$K$1282)</f>
        <v>2.32800861551562E-005</v>
      </c>
      <c r="M587" s="43" t="n">
        <f aca="false">IF(F587&lt;=0,0,K587/F587)</f>
        <v>11.2412</v>
      </c>
      <c r="N587" s="40" t="n">
        <v>24.99</v>
      </c>
      <c r="O587" s="44" t="n">
        <v>0.35</v>
      </c>
      <c r="P587" s="43" t="n">
        <f aca="false">O587*'Price Groups'!$B$5</f>
        <v>7.875</v>
      </c>
      <c r="Q587" s="45" t="n">
        <f aca="false">IF(OR(N587="",P587=""),"",(N587-P587)/N587)</f>
        <v>0.684873949579832</v>
      </c>
      <c r="R587" s="46" t="n">
        <v>1</v>
      </c>
      <c r="S587" s="47" t="n">
        <f aca="false">IF(R587="-",0,IFERROR(VLOOKUP(R587,'Price Groups'!$A$13:$C$17,3,FALSE()),0))</f>
        <v>0.22</v>
      </c>
      <c r="T587" s="41" t="n">
        <f aca="false">IF(OR(N587="",R587="-"),"",CEILING(ROUND(N587*(1+S587),2),IF(N587*(1+S587)&lt;100,0.5,IF(N587*(1+S587)&lt;1000,1,5))))</f>
        <v>30.5</v>
      </c>
      <c r="U587" s="45" t="n">
        <f aca="false">IF(OR(T587="",P587=""),"",(T587-P587)/T587)</f>
        <v>0.741803278688525</v>
      </c>
      <c r="V587" s="45" t="n">
        <f aca="false">IF(T587="",0,T587/N587-1)</f>
        <v>0.220488195278111</v>
      </c>
      <c r="W587" s="38" t="s">
        <v>94</v>
      </c>
    </row>
    <row r="588" customFormat="false" ht="15" hidden="false" customHeight="false" outlineLevel="0" collapsed="false">
      <c r="A588" s="19" t="n">
        <v>537</v>
      </c>
      <c r="B588" s="19" t="s">
        <v>746</v>
      </c>
      <c r="C588" s="19" t="s">
        <v>57</v>
      </c>
      <c r="D588" s="19"/>
      <c r="E588" s="19" t="s">
        <v>58</v>
      </c>
      <c r="F588" s="20" t="n">
        <v>25</v>
      </c>
      <c r="G588" s="20" t="n">
        <v>20</v>
      </c>
      <c r="H588" s="21" t="n">
        <v>12999.74</v>
      </c>
      <c r="I588" s="21" t="n">
        <v>-99.99</v>
      </c>
      <c r="J588" s="21" t="n">
        <v>-499.99</v>
      </c>
      <c r="K588" s="22" t="n">
        <f aca="false">H588+I588+J588</f>
        <v>12399.76</v>
      </c>
      <c r="L588" s="23" t="n">
        <f aca="false">IF($K$1282=0,0,K588/$K$1282)</f>
        <v>0.00102717674662228</v>
      </c>
      <c r="M588" s="24" t="n">
        <f aca="false">IF(F588&lt;=0,0,K588/F588)</f>
        <v>495.9904</v>
      </c>
      <c r="N588" s="21" t="n">
        <v>499.99</v>
      </c>
      <c r="O588" s="49" t="n">
        <v>17</v>
      </c>
      <c r="P588" s="24" t="n">
        <f aca="false">O588*'Price Groups'!$B$5</f>
        <v>382.5</v>
      </c>
      <c r="Q588" s="26" t="n">
        <f aca="false">IF(OR(N588="",P588=""),"",(N588-P588)/N588)</f>
        <v>0.234984699693994</v>
      </c>
      <c r="R588" s="27" t="n">
        <v>1</v>
      </c>
      <c r="S588" s="28" t="n">
        <f aca="false">IF(R588="-",0,IFERROR(VLOOKUP(R588,'Price Groups'!$A$13:$C$17,3,FALSE()),0))</f>
        <v>0.22</v>
      </c>
      <c r="T588" s="22" t="n">
        <f aca="false">IF(OR(N588="",R588="-"),"",CEILING(ROUND(N588*(1+S588),2),IF(N588*(1+S588)&lt;100,0.5,IF(N588*(1+S588)&lt;1000,1,5))))</f>
        <v>610</v>
      </c>
      <c r="U588" s="26" t="n">
        <f aca="false">IF(OR(T588="",P588=""),"",(T588-P588)/T588)</f>
        <v>0.372950819672131</v>
      </c>
      <c r="V588" s="26" t="n">
        <f aca="false">IF(T588="",0,T588/N588-1)</f>
        <v>0.22002440048801</v>
      </c>
      <c r="W588" s="19" t="s">
        <v>633</v>
      </c>
    </row>
    <row r="589" customFormat="false" ht="15" hidden="false" customHeight="false" outlineLevel="0" collapsed="false">
      <c r="A589" s="38" t="n">
        <v>538</v>
      </c>
      <c r="B589" s="38" t="s">
        <v>747</v>
      </c>
      <c r="C589" s="38" t="s">
        <v>57</v>
      </c>
      <c r="D589" s="38"/>
      <c r="E589" s="38" t="s">
        <v>58</v>
      </c>
      <c r="F589" s="39" t="n">
        <v>24</v>
      </c>
      <c r="G589" s="39" t="n">
        <v>17</v>
      </c>
      <c r="H589" s="40" t="n">
        <v>814.75</v>
      </c>
      <c r="I589" s="40" t="n">
        <v>-0.13</v>
      </c>
      <c r="J589" s="40" t="n">
        <v>-34.99</v>
      </c>
      <c r="K589" s="41" t="n">
        <f aca="false">H589+I589+J589</f>
        <v>779.63</v>
      </c>
      <c r="L589" s="42" t="n">
        <f aca="false">IF($K$1282=0,0,K589/$K$1282)</f>
        <v>6.45833312071468E-005</v>
      </c>
      <c r="M589" s="43" t="n">
        <f aca="false">IF(F589&lt;=0,0,K589/F589)</f>
        <v>32.4845833333333</v>
      </c>
      <c r="N589" s="40" t="n">
        <v>29.99</v>
      </c>
      <c r="O589" s="44" t="n">
        <v>0.62</v>
      </c>
      <c r="P589" s="43" t="n">
        <f aca="false">O589*'Price Groups'!$B$5</f>
        <v>13.95</v>
      </c>
      <c r="Q589" s="45" t="n">
        <f aca="false">IF(OR(N589="",P589=""),"",(N589-P589)/N589)</f>
        <v>0.534844948316105</v>
      </c>
      <c r="R589" s="46" t="n">
        <v>1</v>
      </c>
      <c r="S589" s="47" t="n">
        <f aca="false">IF(R589="-",0,IFERROR(VLOOKUP(R589,'Price Groups'!$A$13:$C$17,3,FALSE()),0))</f>
        <v>0.22</v>
      </c>
      <c r="T589" s="41" t="n">
        <f aca="false">IF(OR(N589="",R589="-"),"",CEILING(ROUND(N589*(1+S589),2),IF(N589*(1+S589)&lt;100,0.5,IF(N589*(1+S589)&lt;1000,1,5))))</f>
        <v>37</v>
      </c>
      <c r="U589" s="45" t="n">
        <f aca="false">IF(OR(T589="",P589=""),"",(T589-P589)/T589)</f>
        <v>0.622972972972973</v>
      </c>
      <c r="V589" s="45" t="n">
        <f aca="false">IF(T589="",0,T589/N589-1)</f>
        <v>0.233744581527176</v>
      </c>
      <c r="W589" s="38" t="s">
        <v>94</v>
      </c>
    </row>
    <row r="590" customFormat="false" ht="15" hidden="false" customHeight="false" outlineLevel="0" collapsed="false">
      <c r="A590" s="19" t="n">
        <v>539</v>
      </c>
      <c r="B590" s="19" t="s">
        <v>748</v>
      </c>
      <c r="C590" s="19" t="s">
        <v>57</v>
      </c>
      <c r="D590" s="19"/>
      <c r="E590" s="19" t="s">
        <v>58</v>
      </c>
      <c r="F590" s="20" t="n">
        <v>24</v>
      </c>
      <c r="G590" s="20" t="n">
        <v>18</v>
      </c>
      <c r="H590" s="21" t="n">
        <v>606.19</v>
      </c>
      <c r="I590" s="21" t="n">
        <v>-4.87</v>
      </c>
      <c r="J590" s="21" t="n">
        <v>-19.17</v>
      </c>
      <c r="K590" s="22" t="n">
        <f aca="false">H590+I590+J590</f>
        <v>582.15</v>
      </c>
      <c r="L590" s="23" t="n">
        <f aca="false">IF($K$1282=0,0,K590/$K$1282)</f>
        <v>4.82243965243006E-005</v>
      </c>
      <c r="M590" s="24" t="n">
        <f aca="false">IF(F590&lt;=0,0,K590/F590)</f>
        <v>24.25625</v>
      </c>
      <c r="N590" s="21" t="n">
        <v>19.22</v>
      </c>
      <c r="O590" s="49" t="n">
        <v>0.65</v>
      </c>
      <c r="P590" s="24" t="n">
        <f aca="false">O590*'Price Groups'!$B$5</f>
        <v>14.625</v>
      </c>
      <c r="Q590" s="26" t="n">
        <f aca="false">IF(OR(N590="",P590=""),"",(N590-P590)/N590)</f>
        <v>0.239073881373569</v>
      </c>
      <c r="R590" s="27" t="n">
        <v>1</v>
      </c>
      <c r="S590" s="28" t="n">
        <f aca="false">IF(R590="-",0,IFERROR(VLOOKUP(R590,'Price Groups'!$A$13:$C$17,3,FALSE()),0))</f>
        <v>0.22</v>
      </c>
      <c r="T590" s="22" t="n">
        <f aca="false">IF(OR(N590="",R590="-"),"",CEILING(ROUND(N590*(1+S590),2),IF(N590*(1+S590)&lt;100,0.5,IF(N590*(1+S590)&lt;1000,1,5))))</f>
        <v>23.5</v>
      </c>
      <c r="U590" s="26" t="n">
        <f aca="false">IF(OR(T590="",P590=""),"",(T590-P590)/T590)</f>
        <v>0.377659574468085</v>
      </c>
      <c r="V590" s="26" t="n">
        <f aca="false">IF(T590="",0,T590/N590-1)</f>
        <v>0.222684703433923</v>
      </c>
      <c r="W590" s="19" t="s">
        <v>244</v>
      </c>
    </row>
    <row r="591" customFormat="false" ht="15" hidden="false" customHeight="false" outlineLevel="0" collapsed="false">
      <c r="A591" s="38" t="n">
        <v>540</v>
      </c>
      <c r="B591" s="38" t="s">
        <v>749</v>
      </c>
      <c r="C591" s="38" t="s">
        <v>57</v>
      </c>
      <c r="D591" s="38"/>
      <c r="E591" s="38" t="s">
        <v>58</v>
      </c>
      <c r="F591" s="39" t="n">
        <v>24</v>
      </c>
      <c r="G591" s="39" t="n">
        <v>17</v>
      </c>
      <c r="H591" s="40" t="n">
        <v>7050.97</v>
      </c>
      <c r="I591" s="40" t="n">
        <v>-123.15</v>
      </c>
      <c r="J591" s="40" t="n">
        <v>-1250</v>
      </c>
      <c r="K591" s="41" t="n">
        <f aca="false">H591+I591+J591</f>
        <v>5677.82</v>
      </c>
      <c r="L591" s="42" t="n">
        <f aca="false">IF($K$1282=0,0,K591/$K$1282)</f>
        <v>0.000470341738510014</v>
      </c>
      <c r="M591" s="43" t="n">
        <f aca="false">IF(F591&lt;=0,0,K591/F591)</f>
        <v>236.575833333333</v>
      </c>
      <c r="N591" s="40" t="n">
        <v>250</v>
      </c>
      <c r="O591" s="44" t="n">
        <v>7.84</v>
      </c>
      <c r="P591" s="43" t="n">
        <f aca="false">O591*'Price Groups'!$B$5</f>
        <v>176.4</v>
      </c>
      <c r="Q591" s="45" t="n">
        <f aca="false">IF(OR(N591="",P591=""),"",(N591-P591)/N591)</f>
        <v>0.2944</v>
      </c>
      <c r="R591" s="46" t="n">
        <v>1</v>
      </c>
      <c r="S591" s="47" t="n">
        <f aca="false">IF(R591="-",0,IFERROR(VLOOKUP(R591,'Price Groups'!$A$13:$C$17,3,FALSE()),0))</f>
        <v>0.22</v>
      </c>
      <c r="T591" s="41" t="n">
        <f aca="false">IF(OR(N591="",R591="-"),"",CEILING(ROUND(N591*(1+S591),2),IF(N591*(1+S591)&lt;100,0.5,IF(N591*(1+S591)&lt;1000,1,5))))</f>
        <v>305</v>
      </c>
      <c r="U591" s="45" t="n">
        <f aca="false">IF(OR(T591="",P591=""),"",(T591-P591)/T591)</f>
        <v>0.421639344262295</v>
      </c>
      <c r="V591" s="45" t="n">
        <f aca="false">IF(T591="",0,T591/N591-1)</f>
        <v>0.22</v>
      </c>
      <c r="W591" s="38" t="s">
        <v>94</v>
      </c>
    </row>
    <row r="592" customFormat="false" ht="15" hidden="false" customHeight="false" outlineLevel="0" collapsed="false">
      <c r="A592" s="19" t="n">
        <v>541</v>
      </c>
      <c r="B592" s="19" t="s">
        <v>750</v>
      </c>
      <c r="C592" s="19" t="s">
        <v>57</v>
      </c>
      <c r="D592" s="19"/>
      <c r="E592" s="19" t="s">
        <v>58</v>
      </c>
      <c r="F592" s="20" t="n">
        <v>24</v>
      </c>
      <c r="G592" s="20" t="n">
        <v>22</v>
      </c>
      <c r="H592" s="21" t="n">
        <v>2699.46</v>
      </c>
      <c r="I592" s="21" t="n">
        <v>-332.3</v>
      </c>
      <c r="J592" s="21" t="n">
        <v>-1177.74</v>
      </c>
      <c r="K592" s="22" t="n">
        <f aca="false">H592+I592+J592</f>
        <v>1189.42</v>
      </c>
      <c r="L592" s="23" t="n">
        <f aca="false">IF($K$1282=0,0,K592/$K$1282)</f>
        <v>9.85296946043694E-005</v>
      </c>
      <c r="M592" s="24" t="n">
        <f aca="false">IF(F592&lt;=0,0,K592/F592)</f>
        <v>49.5591666666667</v>
      </c>
      <c r="N592" s="21" t="n">
        <v>52.49</v>
      </c>
      <c r="O592" s="49" t="n">
        <v>1.35</v>
      </c>
      <c r="P592" s="24" t="n">
        <f aca="false">O592*'Price Groups'!$B$5</f>
        <v>30.375</v>
      </c>
      <c r="Q592" s="26" t="n">
        <f aca="false">IF(OR(N592="",P592=""),"",(N592-P592)/N592)</f>
        <v>0.421318346351686</v>
      </c>
      <c r="R592" s="27" t="n">
        <v>1</v>
      </c>
      <c r="S592" s="28" t="n">
        <f aca="false">IF(R592="-",0,IFERROR(VLOOKUP(R592,'Price Groups'!$A$13:$C$17,3,FALSE()),0))</f>
        <v>0.22</v>
      </c>
      <c r="T592" s="22" t="n">
        <f aca="false">IF(OR(N592="",R592="-"),"",CEILING(ROUND(N592*(1+S592),2),IF(N592*(1+S592)&lt;100,0.5,IF(N592*(1+S592)&lt;1000,1,5))))</f>
        <v>64.5</v>
      </c>
      <c r="U592" s="26" t="n">
        <f aca="false">IF(OR(T592="",P592=""),"",(T592-P592)/T592)</f>
        <v>0.529069767441861</v>
      </c>
      <c r="V592" s="26" t="n">
        <f aca="false">IF(T592="",0,T592/N592-1)</f>
        <v>0.228805486759383</v>
      </c>
      <c r="W592" s="19" t="s">
        <v>94</v>
      </c>
    </row>
    <row r="593" customFormat="false" ht="15" hidden="false" customHeight="false" outlineLevel="0" collapsed="false">
      <c r="A593" s="38" t="n">
        <v>542</v>
      </c>
      <c r="B593" s="38" t="s">
        <v>751</v>
      </c>
      <c r="C593" s="38" t="s">
        <v>57</v>
      </c>
      <c r="D593" s="38"/>
      <c r="E593" s="38" t="s">
        <v>58</v>
      </c>
      <c r="F593" s="39" t="n">
        <v>24</v>
      </c>
      <c r="G593" s="39" t="n">
        <v>15</v>
      </c>
      <c r="H593" s="40" t="n">
        <v>5154.99</v>
      </c>
      <c r="I593" s="40" t="n">
        <v>-139.3</v>
      </c>
      <c r="J593" s="40" t="n">
        <v>-398</v>
      </c>
      <c r="K593" s="41" t="n">
        <f aca="false">H593+I593+J593</f>
        <v>4617.69</v>
      </c>
      <c r="L593" s="42" t="n">
        <f aca="false">IF($K$1282=0,0,K593/$K$1282)</f>
        <v>0.000382522225519707</v>
      </c>
      <c r="M593" s="43" t="n">
        <f aca="false">IF(F593&lt;=0,0,K593/F593)</f>
        <v>192.40375</v>
      </c>
      <c r="N593" s="40" t="n">
        <v>199</v>
      </c>
      <c r="O593" s="44" t="n">
        <v>3.85</v>
      </c>
      <c r="P593" s="43" t="n">
        <f aca="false">O593*'Price Groups'!$B$5</f>
        <v>86.625</v>
      </c>
      <c r="Q593" s="45" t="n">
        <f aca="false">IF(OR(N593="",P593=""),"",(N593-P593)/N593)</f>
        <v>0.564698492462312</v>
      </c>
      <c r="R593" s="46" t="n">
        <v>1</v>
      </c>
      <c r="S593" s="47" t="n">
        <f aca="false">IF(R593="-",0,IFERROR(VLOOKUP(R593,'Price Groups'!$A$13:$C$17,3,FALSE()),0))</f>
        <v>0.22</v>
      </c>
      <c r="T593" s="41" t="n">
        <f aca="false">IF(OR(N593="",R593="-"),"",CEILING(ROUND(N593*(1+S593),2),IF(N593*(1+S593)&lt;100,0.5,IF(N593*(1+S593)&lt;1000,1,5))))</f>
        <v>243</v>
      </c>
      <c r="U593" s="45" t="n">
        <f aca="false">IF(OR(T593="",P593=""),"",(T593-P593)/T593)</f>
        <v>0.643518518518519</v>
      </c>
      <c r="V593" s="45" t="n">
        <f aca="false">IF(T593="",0,T593/N593-1)</f>
        <v>0.221105527638191</v>
      </c>
      <c r="W593" s="38" t="s">
        <v>94</v>
      </c>
    </row>
    <row r="594" customFormat="false" ht="15" hidden="false" customHeight="false" outlineLevel="0" collapsed="false">
      <c r="A594" s="19" t="n">
        <v>543</v>
      </c>
      <c r="B594" s="19" t="s">
        <v>752</v>
      </c>
      <c r="C594" s="19" t="s">
        <v>57</v>
      </c>
      <c r="D594" s="19"/>
      <c r="E594" s="19" t="s">
        <v>58</v>
      </c>
      <c r="F594" s="20" t="n">
        <v>24</v>
      </c>
      <c r="G594" s="20" t="n">
        <v>24</v>
      </c>
      <c r="H594" s="21" t="n">
        <v>5510.52</v>
      </c>
      <c r="I594" s="21" t="n">
        <v>-18.99</v>
      </c>
      <c r="J594" s="21" t="n">
        <v>-1130.09</v>
      </c>
      <c r="K594" s="22" t="n">
        <f aca="false">H594+I594+J594</f>
        <v>4361.44</v>
      </c>
      <c r="L594" s="23" t="n">
        <f aca="false">IF($K$1282=0,0,K594/$K$1282)</f>
        <v>0.000361294875851491</v>
      </c>
      <c r="M594" s="24" t="n">
        <f aca="false">IF(F594&lt;=0,0,K594/F594)</f>
        <v>181.726666666667</v>
      </c>
      <c r="N594" s="21" t="n">
        <v>140.03</v>
      </c>
      <c r="O594" s="49" t="n">
        <v>5.41</v>
      </c>
      <c r="P594" s="24" t="n">
        <f aca="false">O594*'Price Groups'!$B$5</f>
        <v>121.725</v>
      </c>
      <c r="Q594" s="26" t="n">
        <f aca="false">IF(OR(N594="",P594=""),"",(N594-P594)/N594)</f>
        <v>0.130721988145397</v>
      </c>
      <c r="R594" s="27" t="n">
        <v>1</v>
      </c>
      <c r="S594" s="28" t="n">
        <f aca="false">IF(R594="-",0,IFERROR(VLOOKUP(R594,'Price Groups'!$A$13:$C$17,3,FALSE()),0))</f>
        <v>0.22</v>
      </c>
      <c r="T594" s="22" t="n">
        <f aca="false">IF(OR(N594="",R594="-"),"",CEILING(ROUND(N594*(1+S594),2),IF(N594*(1+S594)&lt;100,0.5,IF(N594*(1+S594)&lt;1000,1,5))))</f>
        <v>171</v>
      </c>
      <c r="U594" s="26" t="n">
        <f aca="false">IF(OR(T594="",P594=""),"",(T594-P594)/T594)</f>
        <v>0.288157894736842</v>
      </c>
      <c r="V594" s="26" t="n">
        <f aca="false">IF(T594="",0,T594/N594-1)</f>
        <v>0.221166892808684</v>
      </c>
      <c r="W594" s="19" t="s">
        <v>476</v>
      </c>
    </row>
    <row r="595" customFormat="false" ht="15" hidden="false" customHeight="false" outlineLevel="0" collapsed="false">
      <c r="A595" s="38" t="n">
        <v>544</v>
      </c>
      <c r="B595" s="38" t="s">
        <v>753</v>
      </c>
      <c r="C595" s="38" t="s">
        <v>57</v>
      </c>
      <c r="D595" s="38"/>
      <c r="E595" s="38" t="s">
        <v>58</v>
      </c>
      <c r="F595" s="39" t="n">
        <v>24</v>
      </c>
      <c r="G595" s="39" t="n">
        <v>15</v>
      </c>
      <c r="H595" s="40" t="n">
        <v>1314.04</v>
      </c>
      <c r="I595" s="40" t="n">
        <v>0</v>
      </c>
      <c r="J595" s="40" t="n">
        <v>-52</v>
      </c>
      <c r="K595" s="41" t="n">
        <f aca="false">H595+I595+J595</f>
        <v>1262.04</v>
      </c>
      <c r="L595" s="42" t="n">
        <f aca="false">IF($K$1282=0,0,K595/$K$1282)</f>
        <v>0.000104545421952295</v>
      </c>
      <c r="M595" s="43" t="n">
        <f aca="false">IF(F595&lt;=0,0,K595/F595)</f>
        <v>52.585</v>
      </c>
      <c r="N595" s="40" t="n">
        <v>54.99</v>
      </c>
      <c r="O595" s="44" t="n">
        <v>0.82</v>
      </c>
      <c r="P595" s="43" t="n">
        <f aca="false">O595*'Price Groups'!$B$5</f>
        <v>18.45</v>
      </c>
      <c r="Q595" s="45" t="n">
        <f aca="false">IF(OR(N595="",P595=""),"",(N595-P595)/N595)</f>
        <v>0.664484451718494</v>
      </c>
      <c r="R595" s="46" t="n">
        <v>1</v>
      </c>
      <c r="S595" s="47" t="n">
        <f aca="false">IF(R595="-",0,IFERROR(VLOOKUP(R595,'Price Groups'!$A$13:$C$17,3,FALSE()),0))</f>
        <v>0.22</v>
      </c>
      <c r="T595" s="41" t="n">
        <f aca="false">IF(OR(N595="",R595="-"),"",CEILING(ROUND(N595*(1+S595),2),IF(N595*(1+S595)&lt;100,0.5,IF(N595*(1+S595)&lt;1000,1,5))))</f>
        <v>67.5</v>
      </c>
      <c r="U595" s="45" t="n">
        <f aca="false">IF(OR(T595="",P595=""),"",(T595-P595)/T595)</f>
        <v>0.726666666666667</v>
      </c>
      <c r="V595" s="45" t="n">
        <f aca="false">IF(T595="",0,T595/N595-1)</f>
        <v>0.227495908346972</v>
      </c>
      <c r="W595" s="38" t="s">
        <v>94</v>
      </c>
    </row>
    <row r="596" customFormat="false" ht="15" hidden="false" customHeight="false" outlineLevel="0" collapsed="false">
      <c r="A596" s="19" t="n">
        <v>545</v>
      </c>
      <c r="B596" s="19" t="s">
        <v>754</v>
      </c>
      <c r="C596" s="19" t="s">
        <v>57</v>
      </c>
      <c r="D596" s="19"/>
      <c r="E596" s="19" t="s">
        <v>58</v>
      </c>
      <c r="F596" s="20" t="n">
        <v>24</v>
      </c>
      <c r="G596" s="20" t="n">
        <v>8</v>
      </c>
      <c r="H596" s="21" t="n">
        <v>1299.74</v>
      </c>
      <c r="I596" s="21" t="n">
        <v>-9.98</v>
      </c>
      <c r="J596" s="21" t="n">
        <v>-99.98</v>
      </c>
      <c r="K596" s="22" t="n">
        <f aca="false">H596+I596+J596</f>
        <v>1189.78</v>
      </c>
      <c r="L596" s="23" t="n">
        <f aca="false">IF($K$1282=0,0,K596/$K$1282)</f>
        <v>9.85595164419521E-005</v>
      </c>
      <c r="M596" s="24" t="n">
        <f aca="false">IF(F596&lt;=0,0,K596/F596)</f>
        <v>49.5741666666667</v>
      </c>
      <c r="N596" s="21" t="n">
        <v>49.99</v>
      </c>
      <c r="O596" s="49" t="n">
        <v>1.33</v>
      </c>
      <c r="P596" s="24" t="n">
        <f aca="false">O596*'Price Groups'!$B$5</f>
        <v>29.925</v>
      </c>
      <c r="Q596" s="26" t="n">
        <f aca="false">IF(OR(N596="",P596=""),"",(N596-P596)/N596)</f>
        <v>0.401380276055211</v>
      </c>
      <c r="R596" s="27" t="n">
        <v>1</v>
      </c>
      <c r="S596" s="28" t="n">
        <f aca="false">IF(R596="-",0,IFERROR(VLOOKUP(R596,'Price Groups'!$A$13:$C$17,3,FALSE()),0))</f>
        <v>0.22</v>
      </c>
      <c r="T596" s="22" t="n">
        <f aca="false">IF(OR(N596="",R596="-"),"",CEILING(ROUND(N596*(1+S596),2),IF(N596*(1+S596)&lt;100,0.5,IF(N596*(1+S596)&lt;1000,1,5))))</f>
        <v>61</v>
      </c>
      <c r="U596" s="26" t="n">
        <f aca="false">IF(OR(T596="",P596=""),"",(T596-P596)/T596)</f>
        <v>0.509426229508197</v>
      </c>
      <c r="V596" s="26" t="n">
        <f aca="false">IF(T596="",0,T596/N596-1)</f>
        <v>0.220244048809762</v>
      </c>
      <c r="W596" s="19" t="s">
        <v>94</v>
      </c>
    </row>
    <row r="597" customFormat="false" ht="15" hidden="false" customHeight="false" outlineLevel="0" collapsed="false">
      <c r="A597" s="38" t="n">
        <v>546</v>
      </c>
      <c r="B597" s="38" t="s">
        <v>755</v>
      </c>
      <c r="C597" s="38" t="s">
        <v>57</v>
      </c>
      <c r="D597" s="38"/>
      <c r="E597" s="38" t="s">
        <v>58</v>
      </c>
      <c r="F597" s="39" t="n">
        <v>23</v>
      </c>
      <c r="G597" s="39" t="n">
        <v>12</v>
      </c>
      <c r="H597" s="40" t="n">
        <v>3427</v>
      </c>
      <c r="I597" s="40" t="n">
        <v>0</v>
      </c>
      <c r="J597" s="40" t="n">
        <v>0</v>
      </c>
      <c r="K597" s="41" t="n">
        <f aca="false">H597+I597+J597</f>
        <v>3427</v>
      </c>
      <c r="L597" s="42" t="n">
        <f aca="false">IF($K$1282=0,0,K597/$K$1282)</f>
        <v>0.000283887326099422</v>
      </c>
      <c r="M597" s="43" t="n">
        <f aca="false">IF(F597&lt;=0,0,K597/F597)</f>
        <v>149</v>
      </c>
      <c r="N597" s="40" t="n">
        <v>179.99</v>
      </c>
      <c r="O597" s="44" t="n">
        <v>3.05</v>
      </c>
      <c r="P597" s="43" t="n">
        <f aca="false">O597*'Price Groups'!$B$5</f>
        <v>68.625</v>
      </c>
      <c r="Q597" s="45" t="n">
        <f aca="false">IF(OR(N597="",P597=""),"",(N597-P597)/N597)</f>
        <v>0.618728818267682</v>
      </c>
      <c r="R597" s="46" t="n">
        <v>1</v>
      </c>
      <c r="S597" s="47" t="n">
        <f aca="false">IF(R597="-",0,IFERROR(VLOOKUP(R597,'Price Groups'!$A$13:$C$17,3,FALSE()),0))</f>
        <v>0.22</v>
      </c>
      <c r="T597" s="41" t="n">
        <f aca="false">IF(OR(N597="",R597="-"),"",CEILING(ROUND(N597*(1+S597),2),IF(N597*(1+S597)&lt;100,0.5,IF(N597*(1+S597)&lt;1000,1,5))))</f>
        <v>220</v>
      </c>
      <c r="U597" s="45" t="n">
        <f aca="false">IF(OR(T597="",P597=""),"",(T597-P597)/T597)</f>
        <v>0.688068181818182</v>
      </c>
      <c r="V597" s="45" t="n">
        <f aca="false">IF(T597="",0,T597/N597-1)</f>
        <v>0.222290127229291</v>
      </c>
      <c r="W597" s="38" t="s">
        <v>94</v>
      </c>
    </row>
    <row r="598" customFormat="false" ht="15" hidden="false" customHeight="false" outlineLevel="0" collapsed="false">
      <c r="A598" s="19" t="n">
        <v>547</v>
      </c>
      <c r="B598" s="19" t="s">
        <v>756</v>
      </c>
      <c r="C598" s="19" t="s">
        <v>57</v>
      </c>
      <c r="D598" s="19"/>
      <c r="E598" s="19" t="s">
        <v>58</v>
      </c>
      <c r="F598" s="20" t="n">
        <v>23</v>
      </c>
      <c r="G598" s="20" t="n">
        <v>18</v>
      </c>
      <c r="H598" s="21" t="n">
        <v>13818.76</v>
      </c>
      <c r="I598" s="21" t="n">
        <v>-284.63</v>
      </c>
      <c r="J598" s="21" t="n">
        <v>-549.99</v>
      </c>
      <c r="K598" s="22" t="n">
        <f aca="false">H598+I598+J598</f>
        <v>12984.14</v>
      </c>
      <c r="L598" s="23" t="n">
        <f aca="false">IF($K$1282=0,0,K598/$K$1282)</f>
        <v>0.00107558587286272</v>
      </c>
      <c r="M598" s="24" t="n">
        <f aca="false">IF(F598&lt;=0,0,K598/F598)</f>
        <v>564.527826086957</v>
      </c>
      <c r="N598" s="21" t="n">
        <v>549.99</v>
      </c>
      <c r="O598" s="49" t="n">
        <v>12</v>
      </c>
      <c r="P598" s="24" t="n">
        <f aca="false">O598*'Price Groups'!$B$5</f>
        <v>270</v>
      </c>
      <c r="Q598" s="26" t="n">
        <f aca="false">IF(OR(N598="",P598=""),"",(N598-P598)/N598)</f>
        <v>0.509081983308787</v>
      </c>
      <c r="R598" s="27" t="n">
        <v>3</v>
      </c>
      <c r="S598" s="28" t="n">
        <f aca="false">IF(R598="-",0,IFERROR(VLOOKUP(R598,'Price Groups'!$A$13:$C$17,3,FALSE()),0))</f>
        <v>0.16</v>
      </c>
      <c r="T598" s="22" t="n">
        <f aca="false">IF(OR(N598="",R598="-"),"",CEILING(ROUND(N598*(1+S598),2),IF(N598*(1+S598)&lt;100,0.5,IF(N598*(1+S598)&lt;1000,1,5))))</f>
        <v>638</v>
      </c>
      <c r="U598" s="26" t="n">
        <f aca="false">IF(OR(T598="",P598=""),"",(T598-P598)/T598)</f>
        <v>0.576802507836991</v>
      </c>
      <c r="V598" s="26" t="n">
        <f aca="false">IF(T598="",0,T598/N598-1)</f>
        <v>0.160021091292569</v>
      </c>
      <c r="W598" s="19" t="s">
        <v>107</v>
      </c>
    </row>
    <row r="599" customFormat="false" ht="15" hidden="false" customHeight="false" outlineLevel="0" collapsed="false">
      <c r="A599" s="38" t="n">
        <v>548</v>
      </c>
      <c r="B599" s="38" t="s">
        <v>757</v>
      </c>
      <c r="C599" s="38" t="s">
        <v>57</v>
      </c>
      <c r="D599" s="38"/>
      <c r="E599" s="38" t="s">
        <v>58</v>
      </c>
      <c r="F599" s="39" t="n">
        <v>23</v>
      </c>
      <c r="G599" s="39" t="n">
        <v>11</v>
      </c>
      <c r="H599" s="40" t="n">
        <v>1896</v>
      </c>
      <c r="I599" s="40" t="n">
        <v>0</v>
      </c>
      <c r="J599" s="40" t="n">
        <v>-79</v>
      </c>
      <c r="K599" s="41" t="n">
        <f aca="false">H599+I599+J599</f>
        <v>1817</v>
      </c>
      <c r="L599" s="42" t="n">
        <f aca="false">IF($K$1282=0,0,K599/$K$1282)</f>
        <v>0.000150517441354727</v>
      </c>
      <c r="M599" s="43" t="n">
        <f aca="false">IF(F599&lt;=0,0,K599/F599)</f>
        <v>79</v>
      </c>
      <c r="N599" s="40" t="n">
        <v>60</v>
      </c>
      <c r="O599" s="44" t="n">
        <v>1.61</v>
      </c>
      <c r="P599" s="43" t="n">
        <f aca="false">O599*'Price Groups'!$B$5</f>
        <v>36.225</v>
      </c>
      <c r="Q599" s="45" t="n">
        <f aca="false">IF(OR(N599="",P599=""),"",(N599-P599)/N599)</f>
        <v>0.39625</v>
      </c>
      <c r="R599" s="46" t="n">
        <v>1</v>
      </c>
      <c r="S599" s="47" t="n">
        <f aca="false">IF(R599="-",0,IFERROR(VLOOKUP(R599,'Price Groups'!$A$13:$C$17,3,FALSE()),0))</f>
        <v>0.22</v>
      </c>
      <c r="T599" s="41" t="n">
        <f aca="false">IF(OR(N599="",R599="-"),"",CEILING(ROUND(N599*(1+S599),2),IF(N599*(1+S599)&lt;100,0.5,IF(N599*(1+S599)&lt;1000,1,5))))</f>
        <v>73.5</v>
      </c>
      <c r="U599" s="45" t="n">
        <f aca="false">IF(OR(T599="",P599=""),"",(T599-P599)/T599)</f>
        <v>0.507142857142857</v>
      </c>
      <c r="V599" s="45" t="n">
        <f aca="false">IF(T599="",0,T599/N599-1)</f>
        <v>0.225</v>
      </c>
      <c r="W599" s="38" t="s">
        <v>94</v>
      </c>
    </row>
    <row r="600" customFormat="false" ht="15" hidden="false" customHeight="false" outlineLevel="0" collapsed="false">
      <c r="A600" s="19" t="n">
        <v>549</v>
      </c>
      <c r="B600" s="19" t="s">
        <v>758</v>
      </c>
      <c r="C600" s="19" t="s">
        <v>57</v>
      </c>
      <c r="D600" s="19"/>
      <c r="E600" s="19" t="s">
        <v>58</v>
      </c>
      <c r="F600" s="20" t="n">
        <v>23</v>
      </c>
      <c r="G600" s="20" t="n">
        <v>19</v>
      </c>
      <c r="H600" s="21" t="n">
        <v>6124.93</v>
      </c>
      <c r="I600" s="21" t="n">
        <v>-49.99</v>
      </c>
      <c r="J600" s="21" t="n">
        <v>0</v>
      </c>
      <c r="K600" s="22" t="n">
        <f aca="false">H600+I600+J600</f>
        <v>6074.94</v>
      </c>
      <c r="L600" s="23" t="n">
        <f aca="false">IF($K$1282=0,0,K600/$K$1282)</f>
        <v>0.000503238538901202</v>
      </c>
      <c r="M600" s="24" t="n">
        <f aca="false">IF(F600&lt;=0,0,K600/F600)</f>
        <v>264.127826086957</v>
      </c>
      <c r="N600" s="21" t="n">
        <v>199.99</v>
      </c>
      <c r="O600" s="49" t="n">
        <v>11.98</v>
      </c>
      <c r="P600" s="24" t="n">
        <f aca="false">O600*'Price Groups'!$B$5</f>
        <v>269.55</v>
      </c>
      <c r="Q600" s="26" t="n">
        <f aca="false">IF(OR(N600="",P600=""),"",(N600-P600)/N600)</f>
        <v>-0.347817390869544</v>
      </c>
      <c r="R600" s="27" t="n">
        <v>1</v>
      </c>
      <c r="S600" s="28" t="n">
        <f aca="false">IF(R600="-",0,IFERROR(VLOOKUP(R600,'Price Groups'!$A$13:$C$17,3,FALSE()),0))</f>
        <v>0.22</v>
      </c>
      <c r="T600" s="22" t="n">
        <f aca="false">IF(OR(N600="",R600="-"),"",CEILING(ROUND(N600*(1+S600),2),IF(N600*(1+S600)&lt;100,0.5,IF(N600*(1+S600)&lt;1000,1,5))))</f>
        <v>244</v>
      </c>
      <c r="U600" s="26" t="n">
        <f aca="false">IF(OR(T600="",P600=""),"",(T600-P600)/T600)</f>
        <v>-0.104713114754098</v>
      </c>
      <c r="V600" s="26" t="n">
        <f aca="false">IF(T600="",0,T600/N600-1)</f>
        <v>0.220061003050152</v>
      </c>
      <c r="W600" s="19" t="s">
        <v>759</v>
      </c>
    </row>
    <row r="601" customFormat="false" ht="15" hidden="false" customHeight="false" outlineLevel="0" collapsed="false">
      <c r="A601" s="38" t="n">
        <v>550</v>
      </c>
      <c r="B601" s="38" t="s">
        <v>760</v>
      </c>
      <c r="C601" s="38" t="s">
        <v>57</v>
      </c>
      <c r="D601" s="38"/>
      <c r="E601" s="38" t="s">
        <v>58</v>
      </c>
      <c r="F601" s="39" t="n">
        <v>23</v>
      </c>
      <c r="G601" s="39" t="n">
        <v>17</v>
      </c>
      <c r="H601" s="40" t="n">
        <v>9119.76</v>
      </c>
      <c r="I601" s="40" t="n">
        <v>-227.95</v>
      </c>
      <c r="J601" s="40" t="n">
        <v>-379.99</v>
      </c>
      <c r="K601" s="41" t="n">
        <f aca="false">H601+I601+J601</f>
        <v>8511.82</v>
      </c>
      <c r="L601" s="42" t="n">
        <f aca="false">IF($K$1282=0,0,K601/$K$1282)</f>
        <v>0.000705105871035768</v>
      </c>
      <c r="M601" s="43" t="n">
        <f aca="false">IF(F601&lt;=0,0,K601/F601)</f>
        <v>370.079130434783</v>
      </c>
      <c r="N601" s="40" t="n">
        <v>379.99</v>
      </c>
      <c r="O601" s="44" t="n">
        <v>13</v>
      </c>
      <c r="P601" s="43" t="n">
        <f aca="false">O601*'Price Groups'!$B$5</f>
        <v>292.5</v>
      </c>
      <c r="Q601" s="45" t="n">
        <f aca="false">IF(OR(N601="",P601=""),"",(N601-P601)/N601)</f>
        <v>0.230242901128977</v>
      </c>
      <c r="R601" s="46" t="n">
        <v>1</v>
      </c>
      <c r="S601" s="47" t="n">
        <f aca="false">IF(R601="-",0,IFERROR(VLOOKUP(R601,'Price Groups'!$A$13:$C$17,3,FALSE()),0))</f>
        <v>0.22</v>
      </c>
      <c r="T601" s="41" t="n">
        <f aca="false">IF(OR(N601="",R601="-"),"",CEILING(ROUND(N601*(1+S601),2),IF(N601*(1+S601)&lt;100,0.5,IF(N601*(1+S601)&lt;1000,1,5))))</f>
        <v>464</v>
      </c>
      <c r="U601" s="45" t="n">
        <f aca="false">IF(OR(T601="",P601=""),"",(T601-P601)/T601)</f>
        <v>0.369612068965517</v>
      </c>
      <c r="V601" s="45" t="n">
        <f aca="false">IF(T601="",0,T601/N601-1)</f>
        <v>0.221084765388563</v>
      </c>
      <c r="W601" s="38" t="s">
        <v>633</v>
      </c>
    </row>
    <row r="602" customFormat="false" ht="15" hidden="false" customHeight="false" outlineLevel="0" collapsed="false">
      <c r="A602" s="19" t="n">
        <v>551</v>
      </c>
      <c r="B602" s="19" t="s">
        <v>761</v>
      </c>
      <c r="C602" s="19" t="s">
        <v>57</v>
      </c>
      <c r="D602" s="19"/>
      <c r="E602" s="19" t="s">
        <v>58</v>
      </c>
      <c r="F602" s="20" t="n">
        <v>23</v>
      </c>
      <c r="G602" s="20" t="n">
        <v>17</v>
      </c>
      <c r="H602" s="21" t="n">
        <v>16249.75</v>
      </c>
      <c r="I602" s="21" t="n">
        <v>-185.89</v>
      </c>
      <c r="J602" s="21" t="n">
        <v>-1312.48</v>
      </c>
      <c r="K602" s="22" t="n">
        <f aca="false">H602+I602+J602</f>
        <v>14751.38</v>
      </c>
      <c r="L602" s="23" t="n">
        <f aca="false">IF($K$1282=0,0,K602/$K$1282)</f>
        <v>0.00122198127355602</v>
      </c>
      <c r="M602" s="24" t="n">
        <f aca="false">IF(F602&lt;=0,0,K602/F602)</f>
        <v>641.364347826087</v>
      </c>
      <c r="N602" s="21" t="n">
        <v>656.24</v>
      </c>
      <c r="O602" s="49" t="n">
        <v>13.18</v>
      </c>
      <c r="P602" s="24" t="n">
        <f aca="false">O602*'Price Groups'!$B$5</f>
        <v>296.55</v>
      </c>
      <c r="Q602" s="26" t="n">
        <f aca="false">IF(OR(N602="",P602=""),"",(N602-P602)/N602)</f>
        <v>0.548107399731805</v>
      </c>
      <c r="R602" s="27" t="n">
        <v>3</v>
      </c>
      <c r="S602" s="28" t="n">
        <f aca="false">IF(R602="-",0,IFERROR(VLOOKUP(R602,'Price Groups'!$A$13:$C$17,3,FALSE()),0))</f>
        <v>0.16</v>
      </c>
      <c r="T602" s="22" t="n">
        <f aca="false">IF(OR(N602="",R602="-"),"",CEILING(ROUND(N602*(1+S602),2),IF(N602*(1+S602)&lt;100,0.5,IF(N602*(1+S602)&lt;1000,1,5))))</f>
        <v>762</v>
      </c>
      <c r="U602" s="26" t="n">
        <f aca="false">IF(OR(T602="",P602=""),"",(T602-P602)/T602)</f>
        <v>0.610826771653543</v>
      </c>
      <c r="V602" s="26" t="n">
        <f aca="false">IF(T602="",0,T602/N602-1)</f>
        <v>0.16116055101792</v>
      </c>
      <c r="W602" s="19" t="s">
        <v>107</v>
      </c>
    </row>
    <row r="603" customFormat="false" ht="15" hidden="false" customHeight="false" outlineLevel="0" collapsed="false">
      <c r="A603" s="38" t="n">
        <v>552</v>
      </c>
      <c r="B603" s="38" t="s">
        <v>762</v>
      </c>
      <c r="C603" s="38" t="s">
        <v>57</v>
      </c>
      <c r="D603" s="38"/>
      <c r="E603" s="38" t="s">
        <v>58</v>
      </c>
      <c r="F603" s="39" t="n">
        <v>23</v>
      </c>
      <c r="G603" s="39" t="n">
        <v>29</v>
      </c>
      <c r="H603" s="40" t="n">
        <v>10031.96</v>
      </c>
      <c r="I603" s="40" t="n">
        <v>-51.45</v>
      </c>
      <c r="J603" s="40" t="n">
        <v>-2700.47</v>
      </c>
      <c r="K603" s="41" t="n">
        <f aca="false">H603+I603+J603</f>
        <v>7280.04</v>
      </c>
      <c r="L603" s="42" t="n">
        <f aca="false">IF($K$1282=0,0,K603/$K$1282)</f>
        <v>0.000603067140209172</v>
      </c>
      <c r="M603" s="43" t="n">
        <f aca="false">IF(F603&lt;=0,0,K603/F603)</f>
        <v>316.52347826087</v>
      </c>
      <c r="N603" s="40" t="n">
        <v>257.35</v>
      </c>
      <c r="O603" s="44" t="n">
        <v>8.7</v>
      </c>
      <c r="P603" s="43" t="n">
        <f aca="false">O603*'Price Groups'!$B$5</f>
        <v>195.75</v>
      </c>
      <c r="Q603" s="45" t="n">
        <f aca="false">IF(OR(N603="",P603=""),"",(N603-P603)/N603)</f>
        <v>0.239362735574121</v>
      </c>
      <c r="R603" s="46" t="n">
        <v>1</v>
      </c>
      <c r="S603" s="47" t="n">
        <f aca="false">IF(R603="-",0,IFERROR(VLOOKUP(R603,'Price Groups'!$A$13:$C$17,3,FALSE()),0))</f>
        <v>0.22</v>
      </c>
      <c r="T603" s="41" t="n">
        <f aca="false">IF(OR(N603="",R603="-"),"",CEILING(ROUND(N603*(1+S603),2),IF(N603*(1+S603)&lt;100,0.5,IF(N603*(1+S603)&lt;1000,1,5))))</f>
        <v>314</v>
      </c>
      <c r="U603" s="45" t="n">
        <f aca="false">IF(OR(T603="",P603=""),"",(T603-P603)/T603)</f>
        <v>0.376592356687898</v>
      </c>
      <c r="V603" s="45" t="n">
        <f aca="false">IF(T603="",0,T603/N603-1)</f>
        <v>0.220128230036915</v>
      </c>
      <c r="W603" s="38" t="s">
        <v>244</v>
      </c>
    </row>
    <row r="604" customFormat="false" ht="15" hidden="false" customHeight="false" outlineLevel="0" collapsed="false">
      <c r="A604" s="19" t="n">
        <v>553</v>
      </c>
      <c r="B604" s="19" t="s">
        <v>763</v>
      </c>
      <c r="C604" s="19" t="s">
        <v>57</v>
      </c>
      <c r="D604" s="19"/>
      <c r="E604" s="19" t="s">
        <v>58</v>
      </c>
      <c r="F604" s="20" t="n">
        <v>23</v>
      </c>
      <c r="G604" s="20" t="n">
        <v>16</v>
      </c>
      <c r="H604" s="21" t="n">
        <v>1404.95</v>
      </c>
      <c r="I604" s="21" t="n">
        <v>-0.08</v>
      </c>
      <c r="J604" s="21" t="n">
        <v>-343</v>
      </c>
      <c r="K604" s="22" t="n">
        <f aca="false">H604+I604+J604</f>
        <v>1061.87</v>
      </c>
      <c r="L604" s="23" t="n">
        <f aca="false">IF($K$1282=0,0,K604/$K$1282)</f>
        <v>8.79636518719559E-005</v>
      </c>
      <c r="M604" s="24" t="n">
        <f aca="false">IF(F604&lt;=0,0,K604/F604)</f>
        <v>46.1682608695652</v>
      </c>
      <c r="N604" s="21" t="n">
        <v>49</v>
      </c>
      <c r="O604" s="49" t="n">
        <v>0.91</v>
      </c>
      <c r="P604" s="24" t="n">
        <f aca="false">O604*'Price Groups'!$B$5</f>
        <v>20.475</v>
      </c>
      <c r="Q604" s="26" t="n">
        <f aca="false">IF(OR(N604="",P604=""),"",(N604-P604)/N604)</f>
        <v>0.582142857142857</v>
      </c>
      <c r="R604" s="27" t="n">
        <v>1</v>
      </c>
      <c r="S604" s="28" t="n">
        <f aca="false">IF(R604="-",0,IFERROR(VLOOKUP(R604,'Price Groups'!$A$13:$C$17,3,FALSE()),0))</f>
        <v>0.22</v>
      </c>
      <c r="T604" s="22" t="n">
        <f aca="false">IF(OR(N604="",R604="-"),"",CEILING(ROUND(N604*(1+S604),2),IF(N604*(1+S604)&lt;100,0.5,IF(N604*(1+S604)&lt;1000,1,5))))</f>
        <v>60</v>
      </c>
      <c r="U604" s="26" t="n">
        <f aca="false">IF(OR(T604="",P604=""),"",(T604-P604)/T604)</f>
        <v>0.65875</v>
      </c>
      <c r="V604" s="26" t="n">
        <f aca="false">IF(T604="",0,T604/N604-1)</f>
        <v>0.224489795918367</v>
      </c>
      <c r="W604" s="19" t="s">
        <v>94</v>
      </c>
    </row>
    <row r="605" customFormat="false" ht="15" hidden="false" customHeight="false" outlineLevel="0" collapsed="false">
      <c r="A605" s="38" t="n">
        <v>554</v>
      </c>
      <c r="B605" s="38" t="s">
        <v>764</v>
      </c>
      <c r="C605" s="38" t="s">
        <v>57</v>
      </c>
      <c r="D605" s="38"/>
      <c r="E605" s="38" t="s">
        <v>58</v>
      </c>
      <c r="F605" s="39" t="n">
        <v>23</v>
      </c>
      <c r="G605" s="39" t="n">
        <v>18</v>
      </c>
      <c r="H605" s="40" t="n">
        <v>773.5</v>
      </c>
      <c r="I605" s="40" t="n">
        <v>-3.65</v>
      </c>
      <c r="J605" s="40" t="n">
        <v>0</v>
      </c>
      <c r="K605" s="41" t="n">
        <f aca="false">H605+I605+J605</f>
        <v>769.85</v>
      </c>
      <c r="L605" s="42" t="n">
        <f aca="false">IF($K$1282=0,0,K605/$K$1282)</f>
        <v>6.3773171286151E-005</v>
      </c>
      <c r="M605" s="43" t="n">
        <f aca="false">IF(F605&lt;=0,0,K605/F605)</f>
        <v>33.4717391304348</v>
      </c>
      <c r="N605" s="40" t="n">
        <v>32.3</v>
      </c>
      <c r="O605" s="44" t="n">
        <v>0.75</v>
      </c>
      <c r="P605" s="43" t="n">
        <f aca="false">O605*'Price Groups'!$B$5</f>
        <v>16.875</v>
      </c>
      <c r="Q605" s="45" t="n">
        <f aca="false">IF(OR(N605="",P605=""),"",(N605-P605)/N605)</f>
        <v>0.477554179566563</v>
      </c>
      <c r="R605" s="46" t="n">
        <v>1</v>
      </c>
      <c r="S605" s="47" t="n">
        <f aca="false">IF(R605="-",0,IFERROR(VLOOKUP(R605,'Price Groups'!$A$13:$C$17,3,FALSE()),0))</f>
        <v>0.22</v>
      </c>
      <c r="T605" s="41" t="n">
        <f aca="false">IF(OR(N605="",R605="-"),"",CEILING(ROUND(N605*(1+S605),2),IF(N605*(1+S605)&lt;100,0.5,IF(N605*(1+S605)&lt;1000,1,5))))</f>
        <v>39.5</v>
      </c>
      <c r="U605" s="45" t="n">
        <f aca="false">IF(OR(T605="",P605=""),"",(T605-P605)/T605)</f>
        <v>0.572784810126582</v>
      </c>
      <c r="V605" s="45" t="n">
        <f aca="false">IF(T605="",0,T605/N605-1)</f>
        <v>0.222910216718266</v>
      </c>
      <c r="W605" s="38" t="s">
        <v>94</v>
      </c>
    </row>
    <row r="606" customFormat="false" ht="15" hidden="false" customHeight="false" outlineLevel="0" collapsed="false">
      <c r="A606" s="19" t="n">
        <v>555</v>
      </c>
      <c r="B606" s="19" t="s">
        <v>765</v>
      </c>
      <c r="C606" s="19" t="s">
        <v>57</v>
      </c>
      <c r="D606" s="19"/>
      <c r="E606" s="19" t="s">
        <v>58</v>
      </c>
      <c r="F606" s="20" t="n">
        <v>23</v>
      </c>
      <c r="G606" s="20" t="n">
        <v>21</v>
      </c>
      <c r="H606" s="21" t="n">
        <v>3394.14</v>
      </c>
      <c r="I606" s="21" t="n">
        <v>-49.22</v>
      </c>
      <c r="J606" s="21" t="n">
        <v>-227.52</v>
      </c>
      <c r="K606" s="22" t="n">
        <f aca="false">H606+I606+J606</f>
        <v>3117.4</v>
      </c>
      <c r="L606" s="23" t="n">
        <f aca="false">IF($K$1282=0,0,K606/$K$1282)</f>
        <v>0.00025824054577833</v>
      </c>
      <c r="M606" s="24" t="n">
        <f aca="false">IF(F606&lt;=0,0,K606/F606)</f>
        <v>135.539130434783</v>
      </c>
      <c r="N606" s="21" t="n">
        <v>149.99</v>
      </c>
      <c r="O606" s="49" t="n">
        <v>3.55</v>
      </c>
      <c r="P606" s="24" t="n">
        <f aca="false">O606*'Price Groups'!$B$5</f>
        <v>79.875</v>
      </c>
      <c r="Q606" s="26" t="n">
        <f aca="false">IF(OR(N606="",P606=""),"",(N606-P606)/N606)</f>
        <v>0.467464497633176</v>
      </c>
      <c r="R606" s="27" t="n">
        <v>1</v>
      </c>
      <c r="S606" s="28" t="n">
        <f aca="false">IF(R606="-",0,IFERROR(VLOOKUP(R606,'Price Groups'!$A$13:$C$17,3,FALSE()),0))</f>
        <v>0.22</v>
      </c>
      <c r="T606" s="22" t="n">
        <f aca="false">IF(OR(N606="",R606="-"),"",CEILING(ROUND(N606*(1+S606),2),IF(N606*(1+S606)&lt;100,0.5,IF(N606*(1+S606)&lt;1000,1,5))))</f>
        <v>183</v>
      </c>
      <c r="U606" s="26" t="n">
        <f aca="false">IF(OR(T606="",P606=""),"",(T606-P606)/T606)</f>
        <v>0.563524590163934</v>
      </c>
      <c r="V606" s="26" t="n">
        <f aca="false">IF(T606="",0,T606/N606-1)</f>
        <v>0.220081338755917</v>
      </c>
      <c r="W606" s="19" t="s">
        <v>94</v>
      </c>
    </row>
    <row r="607" customFormat="false" ht="15" hidden="false" customHeight="false" outlineLevel="0" collapsed="false">
      <c r="A607" s="38" t="n">
        <v>556</v>
      </c>
      <c r="B607" s="38" t="s">
        <v>766</v>
      </c>
      <c r="C607" s="38" t="s">
        <v>57</v>
      </c>
      <c r="D607" s="38"/>
      <c r="E607" s="38" t="s">
        <v>58</v>
      </c>
      <c r="F607" s="39" t="n">
        <v>23</v>
      </c>
      <c r="G607" s="39" t="n">
        <v>15</v>
      </c>
      <c r="H607" s="40" t="n">
        <v>3703</v>
      </c>
      <c r="I607" s="40" t="n">
        <v>-135.42</v>
      </c>
      <c r="J607" s="40" t="n">
        <v>0</v>
      </c>
      <c r="K607" s="41" t="n">
        <f aca="false">H607+I607+J607</f>
        <v>3567.58</v>
      </c>
      <c r="L607" s="42" t="n">
        <f aca="false">IF($K$1282=0,0,K607/$K$1282)</f>
        <v>0.000295532753675452</v>
      </c>
      <c r="M607" s="43" t="n">
        <f aca="false">IF(F607&lt;=0,0,K607/F607)</f>
        <v>155.112173913043</v>
      </c>
      <c r="N607" s="40" t="n">
        <v>161</v>
      </c>
      <c r="O607" s="44" t="n">
        <v>1.85</v>
      </c>
      <c r="P607" s="43" t="n">
        <f aca="false">O607*'Price Groups'!$B$5</f>
        <v>41.625</v>
      </c>
      <c r="Q607" s="45" t="n">
        <f aca="false">IF(OR(N607="",P607=""),"",(N607-P607)/N607)</f>
        <v>0.741459627329193</v>
      </c>
      <c r="R607" s="46" t="n">
        <v>1</v>
      </c>
      <c r="S607" s="47" t="n">
        <f aca="false">IF(R607="-",0,IFERROR(VLOOKUP(R607,'Price Groups'!$A$13:$C$17,3,FALSE()),0))</f>
        <v>0.22</v>
      </c>
      <c r="T607" s="41" t="n">
        <f aca="false">IF(OR(N607="",R607="-"),"",CEILING(ROUND(N607*(1+S607),2),IF(N607*(1+S607)&lt;100,0.5,IF(N607*(1+S607)&lt;1000,1,5))))</f>
        <v>197</v>
      </c>
      <c r="U607" s="45" t="n">
        <f aca="false">IF(OR(T607="",P607=""),"",(T607-P607)/T607)</f>
        <v>0.788705583756345</v>
      </c>
      <c r="V607" s="45" t="n">
        <f aca="false">IF(T607="",0,T607/N607-1)</f>
        <v>0.22360248447205</v>
      </c>
      <c r="W607" s="38" t="s">
        <v>94</v>
      </c>
    </row>
    <row r="608" customFormat="false" ht="15" hidden="false" customHeight="false" outlineLevel="0" collapsed="false">
      <c r="A608" s="19" t="n">
        <v>557</v>
      </c>
      <c r="B608" s="19" t="s">
        <v>767</v>
      </c>
      <c r="C608" s="19" t="s">
        <v>57</v>
      </c>
      <c r="D608" s="19"/>
      <c r="E608" s="19" t="s">
        <v>58</v>
      </c>
      <c r="F608" s="20" t="n">
        <v>23</v>
      </c>
      <c r="G608" s="20" t="n">
        <v>20</v>
      </c>
      <c r="H608" s="21" t="n">
        <v>10149.75</v>
      </c>
      <c r="I608" s="21" t="n">
        <v>-142.47</v>
      </c>
      <c r="J608" s="21" t="n">
        <v>-799.98</v>
      </c>
      <c r="K608" s="22" t="n">
        <f aca="false">H608+I608+J608</f>
        <v>9207.3</v>
      </c>
      <c r="L608" s="23" t="n">
        <f aca="false">IF($K$1282=0,0,K608/$K$1282)</f>
        <v>0.000762718347707967</v>
      </c>
      <c r="M608" s="24" t="n">
        <f aca="false">IF(F608&lt;=0,0,K608/F608)</f>
        <v>400.317391304348</v>
      </c>
      <c r="N608" s="21" t="n">
        <v>449.99</v>
      </c>
      <c r="O608" s="49" t="n">
        <v>14</v>
      </c>
      <c r="P608" s="24" t="n">
        <f aca="false">O608*'Price Groups'!$B$5</f>
        <v>315</v>
      </c>
      <c r="Q608" s="26" t="n">
        <f aca="false">IF(OR(N608="",P608=""),"",(N608-P608)/N608)</f>
        <v>0.299984444098758</v>
      </c>
      <c r="R608" s="27" t="n">
        <v>1</v>
      </c>
      <c r="S608" s="28" t="n">
        <f aca="false">IF(R608="-",0,IFERROR(VLOOKUP(R608,'Price Groups'!$A$13:$C$17,3,FALSE()),0))</f>
        <v>0.22</v>
      </c>
      <c r="T608" s="22" t="n">
        <f aca="false">IF(OR(N608="",R608="-"),"",CEILING(ROUND(N608*(1+S608),2),IF(N608*(1+S608)&lt;100,0.5,IF(N608*(1+S608)&lt;1000,1,5))))</f>
        <v>549</v>
      </c>
      <c r="U608" s="26" t="n">
        <f aca="false">IF(OR(T608="",P608=""),"",(T608-P608)/T608)</f>
        <v>0.426229508196721</v>
      </c>
      <c r="V608" s="26" t="n">
        <f aca="false">IF(T608="",0,T608/N608-1)</f>
        <v>0.220027111713594</v>
      </c>
      <c r="W608" s="19" t="s">
        <v>94</v>
      </c>
    </row>
    <row r="609" customFormat="false" ht="15" hidden="false" customHeight="false" outlineLevel="0" collapsed="false">
      <c r="A609" s="38" t="n">
        <v>558</v>
      </c>
      <c r="B609" s="38" t="s">
        <v>768</v>
      </c>
      <c r="C609" s="38" t="s">
        <v>57</v>
      </c>
      <c r="D609" s="38"/>
      <c r="E609" s="38" t="s">
        <v>58</v>
      </c>
      <c r="F609" s="39" t="n">
        <v>23</v>
      </c>
      <c r="G609" s="39" t="n">
        <v>11</v>
      </c>
      <c r="H609" s="40" t="n">
        <v>1149.77</v>
      </c>
      <c r="I609" s="40" t="n">
        <v>0</v>
      </c>
      <c r="J609" s="40" t="n">
        <v>0</v>
      </c>
      <c r="K609" s="41" t="n">
        <f aca="false">H609+I609+J609</f>
        <v>1149.77</v>
      </c>
      <c r="L609" s="42" t="n">
        <f aca="false">IF($K$1282=0,0,K609/$K$1282)</f>
        <v>9.52451505483898E-005</v>
      </c>
      <c r="M609" s="43" t="n">
        <f aca="false">IF(F609&lt;=0,0,K609/F609)</f>
        <v>49.99</v>
      </c>
      <c r="N609" s="40" t="n">
        <v>49.99</v>
      </c>
      <c r="O609" s="44" t="n">
        <v>1.33</v>
      </c>
      <c r="P609" s="43" t="n">
        <f aca="false">O609*'Price Groups'!$B$5</f>
        <v>29.925</v>
      </c>
      <c r="Q609" s="45" t="n">
        <f aca="false">IF(OR(N609="",P609=""),"",(N609-P609)/N609)</f>
        <v>0.401380276055211</v>
      </c>
      <c r="R609" s="46" t="n">
        <v>1</v>
      </c>
      <c r="S609" s="47" t="n">
        <f aca="false">IF(R609="-",0,IFERROR(VLOOKUP(R609,'Price Groups'!$A$13:$C$17,3,FALSE()),0))</f>
        <v>0.22</v>
      </c>
      <c r="T609" s="41" t="n">
        <f aca="false">IF(OR(N609="",R609="-"),"",CEILING(ROUND(N609*(1+S609),2),IF(N609*(1+S609)&lt;100,0.5,IF(N609*(1+S609)&lt;1000,1,5))))</f>
        <v>61</v>
      </c>
      <c r="U609" s="45" t="n">
        <f aca="false">IF(OR(T609="",P609=""),"",(T609-P609)/T609)</f>
        <v>0.509426229508197</v>
      </c>
      <c r="V609" s="45" t="n">
        <f aca="false">IF(T609="",0,T609/N609-1)</f>
        <v>0.220244048809762</v>
      </c>
      <c r="W609" s="38" t="s">
        <v>94</v>
      </c>
    </row>
    <row r="610" customFormat="false" ht="15" hidden="false" customHeight="false" outlineLevel="0" collapsed="false">
      <c r="A610" s="19" t="n">
        <v>559</v>
      </c>
      <c r="B610" s="19" t="s">
        <v>769</v>
      </c>
      <c r="C610" s="19" t="s">
        <v>57</v>
      </c>
      <c r="D610" s="19"/>
      <c r="E610" s="19" t="s">
        <v>58</v>
      </c>
      <c r="F610" s="20" t="n">
        <v>22</v>
      </c>
      <c r="G610" s="20" t="n">
        <v>16</v>
      </c>
      <c r="H610" s="21" t="n">
        <v>210.3</v>
      </c>
      <c r="I610" s="21" t="n">
        <v>-2.14</v>
      </c>
      <c r="J610" s="21" t="n">
        <v>0</v>
      </c>
      <c r="K610" s="22" t="n">
        <f aca="false">H610+I610+J610</f>
        <v>208.16</v>
      </c>
      <c r="L610" s="23" t="n">
        <f aca="false">IF($K$1282=0,0,K610/$K$1282)</f>
        <v>1.72436491977985E-005</v>
      </c>
      <c r="M610" s="24" t="n">
        <f aca="false">IF(F610&lt;=0,0,K610/F610)</f>
        <v>9.46181818181818</v>
      </c>
      <c r="N610" s="21" t="n">
        <v>7.94</v>
      </c>
      <c r="O610" s="49" t="n">
        <v>0.28</v>
      </c>
      <c r="P610" s="24" t="n">
        <f aca="false">O610*'Price Groups'!$B$5</f>
        <v>6.3</v>
      </c>
      <c r="Q610" s="26" t="n">
        <f aca="false">IF(OR(N610="",P610=""),"",(N610-P610)/N610)</f>
        <v>0.206549118387909</v>
      </c>
      <c r="R610" s="27" t="n">
        <v>1</v>
      </c>
      <c r="S610" s="28" t="n">
        <f aca="false">IF(R610="-",0,IFERROR(VLOOKUP(R610,'Price Groups'!$A$13:$C$17,3,FALSE()),0))</f>
        <v>0.22</v>
      </c>
      <c r="T610" s="22" t="n">
        <f aca="false">IF(OR(N610="",R610="-"),"",CEILING(ROUND(N610*(1+S610),2),IF(N610*(1+S610)&lt;100,0.5,IF(N610*(1+S610)&lt;1000,1,5))))</f>
        <v>10</v>
      </c>
      <c r="U610" s="26" t="n">
        <f aca="false">IF(OR(T610="",P610=""),"",(T610-P610)/T610)</f>
        <v>0.37</v>
      </c>
      <c r="V610" s="26" t="n">
        <f aca="false">IF(T610="",0,T610/N610-1)</f>
        <v>0.259445843828715</v>
      </c>
      <c r="W610" s="19" t="s">
        <v>333</v>
      </c>
    </row>
    <row r="611" customFormat="false" ht="15" hidden="false" customHeight="false" outlineLevel="0" collapsed="false">
      <c r="A611" s="38" t="n">
        <v>560</v>
      </c>
      <c r="B611" s="38" t="s">
        <v>770</v>
      </c>
      <c r="C611" s="38" t="s">
        <v>57</v>
      </c>
      <c r="D611" s="38"/>
      <c r="E611" s="38" t="s">
        <v>58</v>
      </c>
      <c r="F611" s="39" t="n">
        <v>22</v>
      </c>
      <c r="G611" s="39" t="n">
        <v>19</v>
      </c>
      <c r="H611" s="40" t="n">
        <v>737.93</v>
      </c>
      <c r="I611" s="40" t="n">
        <v>-6.61</v>
      </c>
      <c r="J611" s="40" t="n">
        <v>-58</v>
      </c>
      <c r="K611" s="41" t="n">
        <f aca="false">H611+I611+J611</f>
        <v>673.32</v>
      </c>
      <c r="L611" s="42" t="n">
        <f aca="false">IF($K$1282=0,0,K611/$K$1282)</f>
        <v>5.57767768921104E-005</v>
      </c>
      <c r="M611" s="43" t="n">
        <f aca="false">IF(F611&lt;=0,0,K611/F611)</f>
        <v>30.6054545454545</v>
      </c>
      <c r="N611" s="40" t="n">
        <v>34.99</v>
      </c>
      <c r="O611" s="44" t="n">
        <v>0.76</v>
      </c>
      <c r="P611" s="43" t="n">
        <f aca="false">O611*'Price Groups'!$B$5</f>
        <v>17.1</v>
      </c>
      <c r="Q611" s="45" t="n">
        <f aca="false">IF(OR(N611="",P611=""),"",(N611-P611)/N611)</f>
        <v>0.511288939697056</v>
      </c>
      <c r="R611" s="46" t="n">
        <v>1</v>
      </c>
      <c r="S611" s="47" t="n">
        <f aca="false">IF(R611="-",0,IFERROR(VLOOKUP(R611,'Price Groups'!$A$13:$C$17,3,FALSE()),0))</f>
        <v>0.22</v>
      </c>
      <c r="T611" s="41" t="n">
        <f aca="false">IF(OR(N611="",R611="-"),"",CEILING(ROUND(N611*(1+S611),2),IF(N611*(1+S611)&lt;100,0.5,IF(N611*(1+S611)&lt;1000,1,5))))</f>
        <v>43</v>
      </c>
      <c r="U611" s="45" t="n">
        <f aca="false">IF(OR(T611="",P611=""),"",(T611-P611)/T611)</f>
        <v>0.602325581395349</v>
      </c>
      <c r="V611" s="45" t="n">
        <f aca="false">IF(T611="",0,T611/N611-1)</f>
        <v>0.2289225492998</v>
      </c>
      <c r="W611" s="38" t="s">
        <v>94</v>
      </c>
    </row>
    <row r="612" customFormat="false" ht="15" hidden="false" customHeight="false" outlineLevel="0" collapsed="false">
      <c r="A612" s="19" t="n">
        <v>561</v>
      </c>
      <c r="B612" s="19" t="s">
        <v>771</v>
      </c>
      <c r="C612" s="19" t="s">
        <v>57</v>
      </c>
      <c r="D612" s="19"/>
      <c r="E612" s="19" t="s">
        <v>58</v>
      </c>
      <c r="F612" s="20" t="n">
        <v>22</v>
      </c>
      <c r="G612" s="20" t="n">
        <v>23</v>
      </c>
      <c r="H612" s="21" t="n">
        <v>7427.38</v>
      </c>
      <c r="I612" s="21" t="n">
        <v>-74.97</v>
      </c>
      <c r="J612" s="21" t="n">
        <v>-1999.92</v>
      </c>
      <c r="K612" s="22" t="n">
        <f aca="false">H612+I612+J612</f>
        <v>5352.49</v>
      </c>
      <c r="L612" s="23" t="n">
        <f aca="false">IF($K$1282=0,0,K612/$K$1282)</f>
        <v>0.000443391909563435</v>
      </c>
      <c r="M612" s="24" t="n">
        <f aca="false">IF(F612&lt;=0,0,K612/F612)</f>
        <v>243.295</v>
      </c>
      <c r="N612" s="21" t="n">
        <v>249.99</v>
      </c>
      <c r="O612" s="49" t="n">
        <v>7.3</v>
      </c>
      <c r="P612" s="24" t="n">
        <f aca="false">O612*'Price Groups'!$B$5</f>
        <v>164.25</v>
      </c>
      <c r="Q612" s="26" t="n">
        <f aca="false">IF(OR(N612="",P612=""),"",(N612-P612)/N612)</f>
        <v>0.342973718948758</v>
      </c>
      <c r="R612" s="27" t="n">
        <v>1</v>
      </c>
      <c r="S612" s="28" t="n">
        <f aca="false">IF(R612="-",0,IFERROR(VLOOKUP(R612,'Price Groups'!$A$13:$C$17,3,FALSE()),0))</f>
        <v>0.22</v>
      </c>
      <c r="T612" s="22" t="n">
        <f aca="false">IF(OR(N612="",R612="-"),"",CEILING(ROUND(N612*(1+S612),2),IF(N612*(1+S612)&lt;100,0.5,IF(N612*(1+S612)&lt;1000,1,5))))</f>
        <v>305</v>
      </c>
      <c r="U612" s="26" t="n">
        <f aca="false">IF(OR(T612="",P612=""),"",(T612-P612)/T612)</f>
        <v>0.461475409836066</v>
      </c>
      <c r="V612" s="26" t="n">
        <f aca="false">IF(T612="",0,T612/N612-1)</f>
        <v>0.220048801952078</v>
      </c>
      <c r="W612" s="19" t="s">
        <v>94</v>
      </c>
    </row>
    <row r="613" customFormat="false" ht="15" hidden="false" customHeight="false" outlineLevel="0" collapsed="false">
      <c r="A613" s="38" t="n">
        <v>562</v>
      </c>
      <c r="B613" s="38" t="s">
        <v>772</v>
      </c>
      <c r="C613" s="38" t="s">
        <v>57</v>
      </c>
      <c r="D613" s="38"/>
      <c r="E613" s="38" t="s">
        <v>58</v>
      </c>
      <c r="F613" s="39" t="n">
        <v>22</v>
      </c>
      <c r="G613" s="39" t="n">
        <v>26</v>
      </c>
      <c r="H613" s="40" t="n">
        <v>53405.85</v>
      </c>
      <c r="I613" s="40" t="n">
        <v>-42.81</v>
      </c>
      <c r="J613" s="40" t="n">
        <v>-13663.24</v>
      </c>
      <c r="K613" s="41" t="n">
        <f aca="false">H613+I613+J613</f>
        <v>39699.8</v>
      </c>
      <c r="L613" s="42" t="n">
        <f aca="false">IF($K$1282=0,0,K613/$K$1282)</f>
        <v>0.00328866941017853</v>
      </c>
      <c r="M613" s="43" t="n">
        <f aca="false">IF(F613&lt;=0,0,K613/F613)</f>
        <v>1804.53636363636</v>
      </c>
      <c r="N613" s="40" t="n">
        <v>1850</v>
      </c>
      <c r="O613" s="44" t="n">
        <v>40.7</v>
      </c>
      <c r="P613" s="43" t="n">
        <f aca="false">O613*'Price Groups'!$B$5</f>
        <v>915.75</v>
      </c>
      <c r="Q613" s="45" t="n">
        <f aca="false">IF(OR(N613="",P613=""),"",(N613-P613)/N613)</f>
        <v>0.505</v>
      </c>
      <c r="R613" s="46" t="n">
        <v>4</v>
      </c>
      <c r="S613" s="47" t="n">
        <f aca="false">IF(R613="-",0,IFERROR(VLOOKUP(R613,'Price Groups'!$A$13:$C$17,3,FALSE()),0))</f>
        <v>0.15</v>
      </c>
      <c r="T613" s="41" t="n">
        <f aca="false">IF(OR(N613="",R613="-"),"",CEILING(ROUND(N613*(1+S613),2),IF(N613*(1+S613)&lt;100,0.5,IF(N613*(1+S613)&lt;1000,1,5))))</f>
        <v>2130</v>
      </c>
      <c r="U613" s="45" t="n">
        <f aca="false">IF(OR(T613="",P613=""),"",(T613-P613)/T613)</f>
        <v>0.570070422535211</v>
      </c>
      <c r="V613" s="45" t="n">
        <f aca="false">IF(T613="",0,T613/N613-1)</f>
        <v>0.151351351351351</v>
      </c>
      <c r="W613" s="38" t="s">
        <v>101</v>
      </c>
    </row>
    <row r="614" customFormat="false" ht="15" hidden="false" customHeight="false" outlineLevel="0" collapsed="false">
      <c r="A614" s="19" t="n">
        <v>563</v>
      </c>
      <c r="B614" s="19" t="s">
        <v>773</v>
      </c>
      <c r="C614" s="19" t="s">
        <v>57</v>
      </c>
      <c r="D614" s="19"/>
      <c r="E614" s="19" t="s">
        <v>58</v>
      </c>
      <c r="F614" s="20" t="n">
        <v>22</v>
      </c>
      <c r="G614" s="20" t="n">
        <v>19</v>
      </c>
      <c r="H614" s="21" t="n">
        <v>9225</v>
      </c>
      <c r="I614" s="21" t="n">
        <v>-110.7</v>
      </c>
      <c r="J614" s="21" t="n">
        <v>-1107</v>
      </c>
      <c r="K614" s="22" t="n">
        <f aca="false">H614+I614+J614</f>
        <v>8007.3</v>
      </c>
      <c r="L614" s="23" t="n">
        <f aca="false">IF($K$1282=0,0,K614/$K$1282)</f>
        <v>0.000663312222432418</v>
      </c>
      <c r="M614" s="24" t="n">
        <f aca="false">IF(F614&lt;=0,0,K614/F614)</f>
        <v>363.968181818182</v>
      </c>
      <c r="N614" s="21" t="n">
        <v>369</v>
      </c>
      <c r="O614" s="49" t="n">
        <v>12</v>
      </c>
      <c r="P614" s="24" t="n">
        <f aca="false">O614*'Price Groups'!$B$5</f>
        <v>270</v>
      </c>
      <c r="Q614" s="26" t="n">
        <f aca="false">IF(OR(N614="",P614=""),"",(N614-P614)/N614)</f>
        <v>0.268292682926829</v>
      </c>
      <c r="R614" s="27" t="n">
        <v>1</v>
      </c>
      <c r="S614" s="28" t="n">
        <f aca="false">IF(R614="-",0,IFERROR(VLOOKUP(R614,'Price Groups'!$A$13:$C$17,3,FALSE()),0))</f>
        <v>0.22</v>
      </c>
      <c r="T614" s="22" t="n">
        <f aca="false">IF(OR(N614="",R614="-"),"",CEILING(ROUND(N614*(1+S614),2),IF(N614*(1+S614)&lt;100,0.5,IF(N614*(1+S614)&lt;1000,1,5))))</f>
        <v>451</v>
      </c>
      <c r="U614" s="26" t="n">
        <f aca="false">IF(OR(T614="",P614=""),"",(T614-P614)/T614)</f>
        <v>0.401330376940133</v>
      </c>
      <c r="V614" s="26" t="n">
        <f aca="false">IF(T614="",0,T614/N614-1)</f>
        <v>0.222222222222222</v>
      </c>
      <c r="W614" s="19" t="s">
        <v>94</v>
      </c>
    </row>
    <row r="615" customFormat="false" ht="15" hidden="false" customHeight="false" outlineLevel="0" collapsed="false">
      <c r="A615" s="38" t="n">
        <v>564</v>
      </c>
      <c r="B615" s="38" t="s">
        <v>774</v>
      </c>
      <c r="C615" s="38" t="s">
        <v>57</v>
      </c>
      <c r="D615" s="38"/>
      <c r="E615" s="38" t="s">
        <v>58</v>
      </c>
      <c r="F615" s="39" t="n">
        <v>22</v>
      </c>
      <c r="G615" s="39" t="n">
        <v>20</v>
      </c>
      <c r="H615" s="40" t="n">
        <v>9963</v>
      </c>
      <c r="I615" s="40" t="n">
        <v>0</v>
      </c>
      <c r="J615" s="40" t="n">
        <v>-1845</v>
      </c>
      <c r="K615" s="41" t="n">
        <f aca="false">H615+I615+J615</f>
        <v>8118</v>
      </c>
      <c r="L615" s="42" t="n">
        <f aca="false">IF($K$1282=0,0,K615/$K$1282)</f>
        <v>0.000672482437489088</v>
      </c>
      <c r="M615" s="43" t="n">
        <f aca="false">IF(F615&lt;=0,0,K615/F615)</f>
        <v>369</v>
      </c>
      <c r="N615" s="40" t="n">
        <v>369</v>
      </c>
      <c r="O615" s="44" t="n">
        <v>11.5</v>
      </c>
      <c r="P615" s="43" t="n">
        <f aca="false">O615*'Price Groups'!$B$5</f>
        <v>258.75</v>
      </c>
      <c r="Q615" s="45" t="n">
        <f aca="false">IF(OR(N615="",P615=""),"",(N615-P615)/N615)</f>
        <v>0.298780487804878</v>
      </c>
      <c r="R615" s="46" t="n">
        <v>1</v>
      </c>
      <c r="S615" s="47" t="n">
        <f aca="false">IF(R615="-",0,IFERROR(VLOOKUP(R615,'Price Groups'!$A$13:$C$17,3,FALSE()),0))</f>
        <v>0.22</v>
      </c>
      <c r="T615" s="41" t="n">
        <f aca="false">IF(OR(N615="",R615="-"),"",CEILING(ROUND(N615*(1+S615),2),IF(N615*(1+S615)&lt;100,0.5,IF(N615*(1+S615)&lt;1000,1,5))))</f>
        <v>451</v>
      </c>
      <c r="U615" s="45" t="n">
        <f aca="false">IF(OR(T615="",P615=""),"",(T615-P615)/T615)</f>
        <v>0.426274944567628</v>
      </c>
      <c r="V615" s="45" t="n">
        <f aca="false">IF(T615="",0,T615/N615-1)</f>
        <v>0.222222222222222</v>
      </c>
      <c r="W615" s="38" t="s">
        <v>94</v>
      </c>
    </row>
    <row r="616" customFormat="false" ht="15" hidden="false" customHeight="false" outlineLevel="0" collapsed="false">
      <c r="A616" s="19" t="n">
        <v>565</v>
      </c>
      <c r="B616" s="19" t="s">
        <v>775</v>
      </c>
      <c r="C616" s="19" t="s">
        <v>57</v>
      </c>
      <c r="D616" s="19"/>
      <c r="E616" s="19" t="s">
        <v>58</v>
      </c>
      <c r="F616" s="20" t="n">
        <v>22</v>
      </c>
      <c r="G616" s="20" t="n">
        <v>22</v>
      </c>
      <c r="H616" s="21" t="n">
        <v>9939.74</v>
      </c>
      <c r="I616" s="21" t="n">
        <v>-37.99</v>
      </c>
      <c r="J616" s="21" t="n">
        <v>-1519.96</v>
      </c>
      <c r="K616" s="22" t="n">
        <f aca="false">H616+I616+J616</f>
        <v>8381.79</v>
      </c>
      <c r="L616" s="23" t="n">
        <f aca="false">IF($K$1282=0,0,K616/$K$1282)</f>
        <v>0.000694334388977785</v>
      </c>
      <c r="M616" s="24" t="n">
        <f aca="false">IF(F616&lt;=0,0,K616/F616)</f>
        <v>380.990454545455</v>
      </c>
      <c r="N616" s="21" t="n">
        <v>399.99</v>
      </c>
      <c r="O616" s="49" t="n">
        <v>13</v>
      </c>
      <c r="P616" s="24" t="n">
        <f aca="false">O616*'Price Groups'!$B$5</f>
        <v>292.5</v>
      </c>
      <c r="Q616" s="26" t="n">
        <f aca="false">IF(OR(N616="",P616=""),"",(N616-P616)/N616)</f>
        <v>0.268731718292957</v>
      </c>
      <c r="R616" s="27" t="n">
        <v>1</v>
      </c>
      <c r="S616" s="28" t="n">
        <f aca="false">IF(R616="-",0,IFERROR(VLOOKUP(R616,'Price Groups'!$A$13:$C$17,3,FALSE()),0))</f>
        <v>0.22</v>
      </c>
      <c r="T616" s="22" t="n">
        <f aca="false">IF(OR(N616="",R616="-"),"",CEILING(ROUND(N616*(1+S616),2),IF(N616*(1+S616)&lt;100,0.5,IF(N616*(1+S616)&lt;1000,1,5))))</f>
        <v>488</v>
      </c>
      <c r="U616" s="26" t="n">
        <f aca="false">IF(OR(T616="",P616=""),"",(T616-P616)/T616)</f>
        <v>0.400614754098361</v>
      </c>
      <c r="V616" s="26" t="n">
        <f aca="false">IF(T616="",0,T616/N616-1)</f>
        <v>0.220030500762519</v>
      </c>
      <c r="W616" s="19" t="s">
        <v>94</v>
      </c>
    </row>
    <row r="617" customFormat="false" ht="15" hidden="false" customHeight="false" outlineLevel="0" collapsed="false">
      <c r="A617" s="38" t="n">
        <v>566</v>
      </c>
      <c r="B617" s="38" t="s">
        <v>776</v>
      </c>
      <c r="C617" s="38" t="s">
        <v>57</v>
      </c>
      <c r="D617" s="38"/>
      <c r="E617" s="38" t="s">
        <v>58</v>
      </c>
      <c r="F617" s="39" t="n">
        <v>22</v>
      </c>
      <c r="G617" s="39" t="n">
        <v>18</v>
      </c>
      <c r="H617" s="40" t="n">
        <v>9899.78</v>
      </c>
      <c r="I617" s="40" t="n">
        <v>-92</v>
      </c>
      <c r="J617" s="40" t="n">
        <v>0</v>
      </c>
      <c r="K617" s="41" t="n">
        <f aca="false">H617+I617+J617</f>
        <v>9807.78</v>
      </c>
      <c r="L617" s="42" t="n">
        <f aca="false">IF($K$1282=0,0,K617/$K$1282)</f>
        <v>0.000812461172795852</v>
      </c>
      <c r="M617" s="43" t="n">
        <f aca="false">IF(F617&lt;=0,0,K617/F617)</f>
        <v>445.808181818182</v>
      </c>
      <c r="N617" s="40" t="n">
        <v>449.99</v>
      </c>
      <c r="O617" s="44" t="n">
        <v>15</v>
      </c>
      <c r="P617" s="43" t="n">
        <f aca="false">O617*'Price Groups'!$B$5</f>
        <v>337.5</v>
      </c>
      <c r="Q617" s="45" t="n">
        <f aca="false">IF(OR(N617="",P617=""),"",(N617-P617)/N617)</f>
        <v>0.249983332962955</v>
      </c>
      <c r="R617" s="46" t="n">
        <v>1</v>
      </c>
      <c r="S617" s="47" t="n">
        <f aca="false">IF(R617="-",0,IFERROR(VLOOKUP(R617,'Price Groups'!$A$13:$C$17,3,FALSE()),0))</f>
        <v>0.22</v>
      </c>
      <c r="T617" s="41" t="n">
        <f aca="false">IF(OR(N617="",R617="-"),"",CEILING(ROUND(N617*(1+S617),2),IF(N617*(1+S617)&lt;100,0.5,IF(N617*(1+S617)&lt;1000,1,5))))</f>
        <v>549</v>
      </c>
      <c r="U617" s="45" t="n">
        <f aca="false">IF(OR(T617="",P617=""),"",(T617-P617)/T617)</f>
        <v>0.385245901639344</v>
      </c>
      <c r="V617" s="45" t="n">
        <f aca="false">IF(T617="",0,T617/N617-1)</f>
        <v>0.220027111713594</v>
      </c>
      <c r="W617" s="38" t="s">
        <v>267</v>
      </c>
    </row>
    <row r="618" customFormat="false" ht="15" hidden="false" customHeight="false" outlineLevel="0" collapsed="false">
      <c r="A618" s="19" t="n">
        <v>567</v>
      </c>
      <c r="B618" s="19" t="s">
        <v>777</v>
      </c>
      <c r="C618" s="19" t="s">
        <v>57</v>
      </c>
      <c r="D618" s="19"/>
      <c r="E618" s="19" t="s">
        <v>58</v>
      </c>
      <c r="F618" s="20" t="n">
        <v>22</v>
      </c>
      <c r="G618" s="20" t="n">
        <v>10</v>
      </c>
      <c r="H618" s="21" t="n">
        <v>901.88</v>
      </c>
      <c r="I618" s="21" t="n">
        <v>-0.45</v>
      </c>
      <c r="J618" s="21" t="n">
        <v>0</v>
      </c>
      <c r="K618" s="22" t="n">
        <f aca="false">H618+I618+J618</f>
        <v>901.43</v>
      </c>
      <c r="L618" s="23" t="n">
        <f aca="false">IF($K$1282=0,0,K618/$K$1282)</f>
        <v>7.4673052922615E-005</v>
      </c>
      <c r="M618" s="24" t="n">
        <f aca="false">IF(F618&lt;=0,0,K618/F618)</f>
        <v>40.9740909090909</v>
      </c>
      <c r="N618" s="21" t="n">
        <v>30.45</v>
      </c>
      <c r="O618" s="49" t="n">
        <v>0.95</v>
      </c>
      <c r="P618" s="24" t="n">
        <f aca="false">O618*'Price Groups'!$B$5</f>
        <v>21.375</v>
      </c>
      <c r="Q618" s="26" t="n">
        <f aca="false">IF(OR(N618="",P618=""),"",(N618-P618)/N618)</f>
        <v>0.298029556650246</v>
      </c>
      <c r="R618" s="27" t="n">
        <v>1</v>
      </c>
      <c r="S618" s="28" t="n">
        <f aca="false">IF(R618="-",0,IFERROR(VLOOKUP(R618,'Price Groups'!$A$13:$C$17,3,FALSE()),0))</f>
        <v>0.22</v>
      </c>
      <c r="T618" s="22" t="n">
        <f aca="false">IF(OR(N618="",R618="-"),"",CEILING(ROUND(N618*(1+S618),2),IF(N618*(1+S618)&lt;100,0.5,IF(N618*(1+S618)&lt;1000,1,5))))</f>
        <v>37.5</v>
      </c>
      <c r="U618" s="26" t="n">
        <f aca="false">IF(OR(T618="",P618=""),"",(T618-P618)/T618)</f>
        <v>0.43</v>
      </c>
      <c r="V618" s="26" t="n">
        <f aca="false">IF(T618="",0,T618/N618-1)</f>
        <v>0.231527093596059</v>
      </c>
      <c r="W618" s="19" t="s">
        <v>94</v>
      </c>
    </row>
    <row r="619" customFormat="false" ht="15" hidden="false" customHeight="false" outlineLevel="0" collapsed="false">
      <c r="A619" s="38" t="n">
        <v>568</v>
      </c>
      <c r="B619" s="38" t="s">
        <v>778</v>
      </c>
      <c r="C619" s="38" t="s">
        <v>57</v>
      </c>
      <c r="D619" s="38"/>
      <c r="E619" s="38" t="s">
        <v>58</v>
      </c>
      <c r="F619" s="39" t="n">
        <v>22</v>
      </c>
      <c r="G619" s="39" t="n">
        <v>12</v>
      </c>
      <c r="H619" s="40" t="n">
        <v>22827.99</v>
      </c>
      <c r="I619" s="40" t="n">
        <v>-199.8</v>
      </c>
      <c r="J619" s="40" t="n">
        <v>-999</v>
      </c>
      <c r="K619" s="41" t="n">
        <f aca="false">H619+I619+J619</f>
        <v>21629.19</v>
      </c>
      <c r="L619" s="42" t="n">
        <f aca="false">IF($K$1282=0,0,K619/$K$1282)</f>
        <v>0.00179172830895721</v>
      </c>
      <c r="M619" s="43" t="n">
        <f aca="false">IF(F619&lt;=0,0,K619/F619)</f>
        <v>983.145</v>
      </c>
      <c r="N619" s="40" t="n">
        <v>849.99</v>
      </c>
      <c r="O619" s="44" t="n">
        <v>28</v>
      </c>
      <c r="P619" s="43" t="n">
        <f aca="false">O619*'Price Groups'!$B$5</f>
        <v>630</v>
      </c>
      <c r="Q619" s="45" t="n">
        <f aca="false">IF(OR(N619="",P619=""),"",(N619-P619)/N619)</f>
        <v>0.258814809585995</v>
      </c>
      <c r="R619" s="46" t="n">
        <v>2</v>
      </c>
      <c r="S619" s="47" t="n">
        <f aca="false">IF(R619="-",0,IFERROR(VLOOKUP(R619,'Price Groups'!$A$13:$C$17,3,FALSE()),0))</f>
        <v>0.18</v>
      </c>
      <c r="T619" s="41" t="n">
        <f aca="false">IF(OR(N619="",R619="-"),"",CEILING(ROUND(N619*(1+S619),2),IF(N619*(1+S619)&lt;100,0.5,IF(N619*(1+S619)&lt;1000,1,5))))</f>
        <v>1005</v>
      </c>
      <c r="U619" s="45" t="n">
        <f aca="false">IF(OR(T619="",P619=""),"",(T619-P619)/T619)</f>
        <v>0.373134328358209</v>
      </c>
      <c r="V619" s="45" t="n">
        <f aca="false">IF(T619="",0,T619/N619-1)</f>
        <v>0.182366851374722</v>
      </c>
      <c r="W619" s="38" t="s">
        <v>779</v>
      </c>
    </row>
    <row r="620" customFormat="false" ht="15" hidden="false" customHeight="false" outlineLevel="0" collapsed="false">
      <c r="A620" s="19" t="n">
        <v>569</v>
      </c>
      <c r="B620" s="19" t="s">
        <v>780</v>
      </c>
      <c r="C620" s="19" t="s">
        <v>57</v>
      </c>
      <c r="D620" s="19"/>
      <c r="E620" s="19" t="s">
        <v>58</v>
      </c>
      <c r="F620" s="20" t="n">
        <v>22</v>
      </c>
      <c r="G620" s="20" t="n">
        <v>19</v>
      </c>
      <c r="H620" s="21" t="n">
        <v>3243.99</v>
      </c>
      <c r="I620" s="21" t="n">
        <v>-0.16</v>
      </c>
      <c r="J620" s="21" t="n">
        <v>-129.98</v>
      </c>
      <c r="K620" s="22" t="n">
        <f aca="false">H620+I620+J620</f>
        <v>3113.85</v>
      </c>
      <c r="L620" s="23" t="n">
        <f aca="false">IF($K$1282=0,0,K620/$K$1282)</f>
        <v>0.00025794646932439</v>
      </c>
      <c r="M620" s="24" t="n">
        <f aca="false">IF(F620&lt;=0,0,K620/F620)</f>
        <v>141.538636363636</v>
      </c>
      <c r="N620" s="21" t="n">
        <v>79.99</v>
      </c>
      <c r="O620" s="49" t="n">
        <v>3.8</v>
      </c>
      <c r="P620" s="24" t="n">
        <f aca="false">O620*'Price Groups'!$B$5</f>
        <v>85.5</v>
      </c>
      <c r="Q620" s="26" t="n">
        <f aca="false">IF(OR(N620="",P620=""),"",(N620-P620)/N620)</f>
        <v>-0.0688836104513065</v>
      </c>
      <c r="R620" s="27" t="n">
        <v>1</v>
      </c>
      <c r="S620" s="28" t="n">
        <f aca="false">IF(R620="-",0,IFERROR(VLOOKUP(R620,'Price Groups'!$A$13:$C$17,3,FALSE()),0))</f>
        <v>0.22</v>
      </c>
      <c r="T620" s="22" t="n">
        <f aca="false">IF(OR(N620="",R620="-"),"",CEILING(ROUND(N620*(1+S620),2),IF(N620*(1+S620)&lt;100,0.5,IF(N620*(1+S620)&lt;1000,1,5))))</f>
        <v>98</v>
      </c>
      <c r="U620" s="26" t="n">
        <f aca="false">IF(OR(T620="",P620=""),"",(T620-P620)/T620)</f>
        <v>0.127551020408163</v>
      </c>
      <c r="V620" s="26" t="n">
        <f aca="false">IF(T620="",0,T620/N620-1)</f>
        <v>0.225153144143018</v>
      </c>
      <c r="W620" s="19" t="s">
        <v>781</v>
      </c>
    </row>
    <row r="621" customFormat="false" ht="15" hidden="false" customHeight="false" outlineLevel="0" collapsed="false">
      <c r="A621" s="38" t="n">
        <v>570</v>
      </c>
      <c r="B621" s="38" t="s">
        <v>782</v>
      </c>
      <c r="C621" s="38" t="s">
        <v>57</v>
      </c>
      <c r="D621" s="38"/>
      <c r="E621" s="38" t="s">
        <v>58</v>
      </c>
      <c r="F621" s="39" t="n">
        <v>22</v>
      </c>
      <c r="G621" s="39" t="n">
        <v>10</v>
      </c>
      <c r="H621" s="40" t="n">
        <v>1979.78</v>
      </c>
      <c r="I621" s="40" t="n">
        <v>-71.92</v>
      </c>
      <c r="J621" s="40" t="n">
        <v>0</v>
      </c>
      <c r="K621" s="41" t="n">
        <f aca="false">H621+I621+J621</f>
        <v>1907.86</v>
      </c>
      <c r="L621" s="42" t="n">
        <f aca="false">IF($K$1282=0,0,K621/$K$1282)</f>
        <v>0.00015804414180684</v>
      </c>
      <c r="M621" s="43" t="n">
        <f aca="false">IF(F621&lt;=0,0,K621/F621)</f>
        <v>86.7209090909091</v>
      </c>
      <c r="N621" s="40" t="n">
        <v>89.99</v>
      </c>
      <c r="O621" s="44" t="n">
        <v>1.94</v>
      </c>
      <c r="P621" s="43" t="n">
        <f aca="false">O621*'Price Groups'!$B$5</f>
        <v>43.65</v>
      </c>
      <c r="Q621" s="45" t="n">
        <f aca="false">IF(OR(N621="",P621=""),"",(N621-P621)/N621)</f>
        <v>0.514946105122791</v>
      </c>
      <c r="R621" s="46" t="n">
        <v>1</v>
      </c>
      <c r="S621" s="47" t="n">
        <f aca="false">IF(R621="-",0,IFERROR(VLOOKUP(R621,'Price Groups'!$A$13:$C$17,3,FALSE()),0))</f>
        <v>0.22</v>
      </c>
      <c r="T621" s="41" t="n">
        <f aca="false">IF(OR(N621="",R621="-"),"",CEILING(ROUND(N621*(1+S621),2),IF(N621*(1+S621)&lt;100,0.5,IF(N621*(1+S621)&lt;1000,1,5))))</f>
        <v>110</v>
      </c>
      <c r="U621" s="45" t="n">
        <f aca="false">IF(OR(T621="",P621=""),"",(T621-P621)/T621)</f>
        <v>0.603181818181818</v>
      </c>
      <c r="V621" s="45" t="n">
        <f aca="false">IF(T621="",0,T621/N621-1)</f>
        <v>0.222358039782198</v>
      </c>
      <c r="W621" s="38" t="s">
        <v>94</v>
      </c>
    </row>
    <row r="622" customFormat="false" ht="15" hidden="false" customHeight="false" outlineLevel="0" collapsed="false">
      <c r="A622" s="19" t="n">
        <v>571</v>
      </c>
      <c r="B622" s="19" t="s">
        <v>783</v>
      </c>
      <c r="C622" s="19" t="s">
        <v>57</v>
      </c>
      <c r="D622" s="19"/>
      <c r="E622" s="19" t="s">
        <v>58</v>
      </c>
      <c r="F622" s="20" t="n">
        <v>22</v>
      </c>
      <c r="G622" s="20" t="n">
        <v>8</v>
      </c>
      <c r="H622" s="21" t="n">
        <v>803.51</v>
      </c>
      <c r="I622" s="21" t="n">
        <v>-13.86</v>
      </c>
      <c r="J622" s="21" t="n">
        <v>-34.99</v>
      </c>
      <c r="K622" s="22" t="n">
        <f aca="false">H622+I622+J622</f>
        <v>754.66</v>
      </c>
      <c r="L622" s="23" t="n">
        <f aca="false">IF($K$1282=0,0,K622/$K$1282)</f>
        <v>6.2514855417038E-005</v>
      </c>
      <c r="M622" s="24" t="n">
        <f aca="false">IF(F622&lt;=0,0,K622/F622)</f>
        <v>34.3027272727273</v>
      </c>
      <c r="N622" s="21" t="n">
        <v>36.56</v>
      </c>
      <c r="O622" s="49" t="n">
        <v>1</v>
      </c>
      <c r="P622" s="24" t="n">
        <f aca="false">O622*'Price Groups'!$B$5</f>
        <v>22.5</v>
      </c>
      <c r="Q622" s="26" t="n">
        <f aca="false">IF(OR(N622="",P622=""),"",(N622-P622)/N622)</f>
        <v>0.384573304157549</v>
      </c>
      <c r="R622" s="27" t="n">
        <v>1</v>
      </c>
      <c r="S622" s="28" t="n">
        <f aca="false">IF(R622="-",0,IFERROR(VLOOKUP(R622,'Price Groups'!$A$13:$C$17,3,FALSE()),0))</f>
        <v>0.22</v>
      </c>
      <c r="T622" s="22" t="n">
        <f aca="false">IF(OR(N622="",R622="-"),"",CEILING(ROUND(N622*(1+S622),2),IF(N622*(1+S622)&lt;100,0.5,IF(N622*(1+S622)&lt;1000,1,5))))</f>
        <v>45</v>
      </c>
      <c r="U622" s="26" t="n">
        <f aca="false">IF(OR(T622="",P622=""),"",(T622-P622)/T622)</f>
        <v>0.5</v>
      </c>
      <c r="V622" s="26" t="n">
        <f aca="false">IF(T622="",0,T622/N622-1)</f>
        <v>0.230853391684901</v>
      </c>
      <c r="W622" s="19" t="s">
        <v>94</v>
      </c>
    </row>
    <row r="623" customFormat="false" ht="15" hidden="false" customHeight="false" outlineLevel="0" collapsed="false">
      <c r="A623" s="38" t="n">
        <v>572</v>
      </c>
      <c r="B623" s="38" t="s">
        <v>784</v>
      </c>
      <c r="C623" s="38" t="s">
        <v>57</v>
      </c>
      <c r="D623" s="38"/>
      <c r="E623" s="38" t="s">
        <v>58</v>
      </c>
      <c r="F623" s="39" t="n">
        <v>22</v>
      </c>
      <c r="G623" s="39" t="n">
        <v>16</v>
      </c>
      <c r="H623" s="40" t="n">
        <v>459.77</v>
      </c>
      <c r="I623" s="40" t="n">
        <v>-4.98</v>
      </c>
      <c r="J623" s="40" t="n">
        <v>-19.99</v>
      </c>
      <c r="K623" s="41" t="n">
        <f aca="false">H623+I623+J623</f>
        <v>434.8</v>
      </c>
      <c r="L623" s="42" t="n">
        <f aca="false">IF($K$1282=0,0,K623/$K$1282)</f>
        <v>3.60181527248405E-005</v>
      </c>
      <c r="M623" s="43" t="n">
        <f aca="false">IF(F623&lt;=0,0,K623/F623)</f>
        <v>19.7636363636364</v>
      </c>
      <c r="N623" s="40" t="n">
        <v>19.99</v>
      </c>
      <c r="O623" s="44" t="n">
        <v>0.3</v>
      </c>
      <c r="P623" s="43" t="n">
        <f aca="false">O623*'Price Groups'!$B$5</f>
        <v>6.75</v>
      </c>
      <c r="Q623" s="45" t="n">
        <f aca="false">IF(OR(N623="",P623=""),"",(N623-P623)/N623)</f>
        <v>0.662331165582791</v>
      </c>
      <c r="R623" s="46" t="n">
        <v>1</v>
      </c>
      <c r="S623" s="47" t="n">
        <f aca="false">IF(R623="-",0,IFERROR(VLOOKUP(R623,'Price Groups'!$A$13:$C$17,3,FALSE()),0))</f>
        <v>0.22</v>
      </c>
      <c r="T623" s="41" t="n">
        <f aca="false">IF(OR(N623="",R623="-"),"",CEILING(ROUND(N623*(1+S623),2),IF(N623*(1+S623)&lt;100,0.5,IF(N623*(1+S623)&lt;1000,1,5))))</f>
        <v>24.5</v>
      </c>
      <c r="U623" s="45" t="n">
        <f aca="false">IF(OR(T623="",P623=""),"",(T623-P623)/T623)</f>
        <v>0.724489795918367</v>
      </c>
      <c r="V623" s="45" t="n">
        <f aca="false">IF(T623="",0,T623/N623-1)</f>
        <v>0.225612806403202</v>
      </c>
      <c r="W623" s="38" t="s">
        <v>94</v>
      </c>
    </row>
    <row r="624" customFormat="false" ht="15" hidden="false" customHeight="false" outlineLevel="0" collapsed="false">
      <c r="A624" s="19" t="n">
        <v>573</v>
      </c>
      <c r="B624" s="19" t="s">
        <v>158</v>
      </c>
      <c r="C624" s="19" t="s">
        <v>307</v>
      </c>
      <c r="D624" s="19" t="s">
        <v>157</v>
      </c>
      <c r="E624" s="19" t="s">
        <v>58</v>
      </c>
      <c r="F624" s="20" t="n">
        <v>22</v>
      </c>
      <c r="G624" s="20" t="n">
        <v>20</v>
      </c>
      <c r="H624" s="21" t="n">
        <v>27030</v>
      </c>
      <c r="I624" s="21" t="n">
        <v>-223</v>
      </c>
      <c r="J624" s="21" t="n">
        <v>-2260</v>
      </c>
      <c r="K624" s="22" t="n">
        <f aca="false">H624+I624+J624</f>
        <v>24547</v>
      </c>
      <c r="L624" s="23" t="n">
        <f aca="false">IF($K$1282=0,0,K624/$K$1282)</f>
        <v>0.00203343513094908</v>
      </c>
      <c r="M624" s="24" t="n">
        <f aca="false">IF(F624&lt;=0,0,K624/F624)</f>
        <v>1115.77272727273</v>
      </c>
      <c r="N624" s="21" t="n">
        <v>1105</v>
      </c>
      <c r="O624" s="49" t="n">
        <v>32.2</v>
      </c>
      <c r="P624" s="24" t="n">
        <f aca="false">O624*'Price Groups'!$B$5</f>
        <v>724.5</v>
      </c>
      <c r="Q624" s="26" t="n">
        <f aca="false">IF(OR(N624="",P624=""),"",(N624-P624)/N624)</f>
        <v>0.344343891402715</v>
      </c>
      <c r="R624" s="27" t="n">
        <v>2</v>
      </c>
      <c r="S624" s="28" t="n">
        <f aca="false">IF(R624="-",0,IFERROR(VLOOKUP(R624,'Price Groups'!$A$13:$C$17,3,FALSE()),0))</f>
        <v>0.18</v>
      </c>
      <c r="T624" s="22" t="n">
        <f aca="false">IF(OR(N624="",R624="-"),"",CEILING(ROUND(N624*(1+S624),2),IF(N624*(1+S624)&lt;100,0.5,IF(N624*(1+S624)&lt;1000,1,5))))</f>
        <v>1305</v>
      </c>
      <c r="U624" s="26" t="n">
        <f aca="false">IF(OR(T624="",P624=""),"",(T624-P624)/T624)</f>
        <v>0.444827586206896</v>
      </c>
      <c r="V624" s="26" t="n">
        <f aca="false">IF(T624="",0,T624/N624-1)</f>
        <v>0.180995475113122</v>
      </c>
      <c r="W624" s="19" t="s">
        <v>785</v>
      </c>
    </row>
    <row r="625" customFormat="false" ht="15" hidden="false" customHeight="false" outlineLevel="0" collapsed="false">
      <c r="A625" s="38" t="n">
        <v>574</v>
      </c>
      <c r="B625" s="38" t="s">
        <v>786</v>
      </c>
      <c r="C625" s="38" t="s">
        <v>57</v>
      </c>
      <c r="D625" s="38"/>
      <c r="E625" s="38" t="s">
        <v>58</v>
      </c>
      <c r="F625" s="39" t="n">
        <v>22</v>
      </c>
      <c r="G625" s="39" t="n">
        <v>18</v>
      </c>
      <c r="H625" s="40" t="n">
        <v>2144.67</v>
      </c>
      <c r="I625" s="40" t="n">
        <v>0</v>
      </c>
      <c r="J625" s="40" t="n">
        <v>-714.89</v>
      </c>
      <c r="K625" s="41" t="n">
        <f aca="false">H625+I625+J625</f>
        <v>1429.78</v>
      </c>
      <c r="L625" s="42" t="n">
        <f aca="false">IF($K$1282=0,0,K625/$K$1282)</f>
        <v>0.000118440741497062</v>
      </c>
      <c r="M625" s="43" t="n">
        <f aca="false">IF(F625&lt;=0,0,K625/F625)</f>
        <v>64.99</v>
      </c>
      <c r="N625" s="40" t="n">
        <v>64.99</v>
      </c>
      <c r="O625" s="44" t="n">
        <v>0.62</v>
      </c>
      <c r="P625" s="43" t="n">
        <f aca="false">O625*'Price Groups'!$B$5</f>
        <v>13.95</v>
      </c>
      <c r="Q625" s="45" t="n">
        <f aca="false">IF(OR(N625="",P625=""),"",(N625-P625)/N625)</f>
        <v>0.7853515925527</v>
      </c>
      <c r="R625" s="46" t="n">
        <v>1</v>
      </c>
      <c r="S625" s="47" t="n">
        <f aca="false">IF(R625="-",0,IFERROR(VLOOKUP(R625,'Price Groups'!$A$13:$C$17,3,FALSE()),0))</f>
        <v>0.22</v>
      </c>
      <c r="T625" s="41" t="n">
        <f aca="false">IF(OR(N625="",R625="-"),"",CEILING(ROUND(N625*(1+S625),2),IF(N625*(1+S625)&lt;100,0.5,IF(N625*(1+S625)&lt;1000,1,5))))</f>
        <v>79.5</v>
      </c>
      <c r="U625" s="45" t="n">
        <f aca="false">IF(OR(T625="",P625=""),"",(T625-P625)/T625)</f>
        <v>0.824528301886792</v>
      </c>
      <c r="V625" s="45" t="n">
        <f aca="false">IF(T625="",0,T625/N625-1)</f>
        <v>0.223265117710417</v>
      </c>
      <c r="W625" s="38" t="s">
        <v>94</v>
      </c>
    </row>
    <row r="626" customFormat="false" ht="15" hidden="false" customHeight="false" outlineLevel="0" collapsed="false">
      <c r="A626" s="19" t="n">
        <v>575</v>
      </c>
      <c r="B626" s="19" t="s">
        <v>787</v>
      </c>
      <c r="C626" s="19" t="s">
        <v>57</v>
      </c>
      <c r="D626" s="19"/>
      <c r="E626" s="19" t="s">
        <v>58</v>
      </c>
      <c r="F626" s="20" t="n">
        <v>21</v>
      </c>
      <c r="G626" s="20" t="n">
        <v>13</v>
      </c>
      <c r="H626" s="21" t="n">
        <v>2519.79</v>
      </c>
      <c r="I626" s="21" t="n">
        <v>-12.13</v>
      </c>
      <c r="J626" s="21" t="n">
        <v>0</v>
      </c>
      <c r="K626" s="22" t="n">
        <f aca="false">H626+I626+J626</f>
        <v>2507.66</v>
      </c>
      <c r="L626" s="23" t="n">
        <f aca="false">IF($K$1282=0,0,K626/$K$1282)</f>
        <v>0.000207730636757069</v>
      </c>
      <c r="M626" s="24" t="n">
        <f aca="false">IF(F626&lt;=0,0,K626/F626)</f>
        <v>119.412380952381</v>
      </c>
      <c r="N626" s="21" t="n">
        <v>119.99</v>
      </c>
      <c r="O626" s="49" t="n">
        <v>2.7</v>
      </c>
      <c r="P626" s="24" t="n">
        <f aca="false">O626*'Price Groups'!$B$5</f>
        <v>60.75</v>
      </c>
      <c r="Q626" s="26" t="n">
        <f aca="false">IF(OR(N626="",P626=""),"",(N626-P626)/N626)</f>
        <v>0.493707808984082</v>
      </c>
      <c r="R626" s="27" t="n">
        <v>1</v>
      </c>
      <c r="S626" s="28" t="n">
        <f aca="false">IF(R626="-",0,IFERROR(VLOOKUP(R626,'Price Groups'!$A$13:$C$17,3,FALSE()),0))</f>
        <v>0.22</v>
      </c>
      <c r="T626" s="22" t="n">
        <f aca="false">IF(OR(N626="",R626="-"),"",CEILING(ROUND(N626*(1+S626),2),IF(N626*(1+S626)&lt;100,0.5,IF(N626*(1+S626)&lt;1000,1,5))))</f>
        <v>147</v>
      </c>
      <c r="U626" s="26" t="n">
        <f aca="false">IF(OR(T626="",P626=""),"",(T626-P626)/T626)</f>
        <v>0.586734693877551</v>
      </c>
      <c r="V626" s="26" t="n">
        <f aca="false">IF(T626="",0,T626/N626-1)</f>
        <v>0.225102091840987</v>
      </c>
      <c r="W626" s="19" t="s">
        <v>94</v>
      </c>
    </row>
    <row r="627" customFormat="false" ht="15" hidden="false" customHeight="false" outlineLevel="0" collapsed="false">
      <c r="A627" s="38" t="n">
        <v>576</v>
      </c>
      <c r="B627" s="38" t="s">
        <v>788</v>
      </c>
      <c r="C627" s="38" t="s">
        <v>57</v>
      </c>
      <c r="D627" s="38"/>
      <c r="E627" s="38" t="s">
        <v>58</v>
      </c>
      <c r="F627" s="39" t="n">
        <v>21</v>
      </c>
      <c r="G627" s="39" t="n">
        <v>16</v>
      </c>
      <c r="H627" s="40" t="n">
        <v>360</v>
      </c>
      <c r="I627" s="40" t="n">
        <v>-2.25</v>
      </c>
      <c r="J627" s="40" t="n">
        <v>-45</v>
      </c>
      <c r="K627" s="41" t="n">
        <f aca="false">H627+I627+J627</f>
        <v>312.75</v>
      </c>
      <c r="L627" s="42" t="n">
        <f aca="false">IF($K$1282=0,0,K627/$K$1282)</f>
        <v>2.59077213999399E-005</v>
      </c>
      <c r="M627" s="43" t="n">
        <f aca="false">IF(F627&lt;=0,0,K627/F627)</f>
        <v>14.8928571428571</v>
      </c>
      <c r="N627" s="40" t="n">
        <v>15</v>
      </c>
      <c r="O627" s="44" t="n">
        <v>0.22</v>
      </c>
      <c r="P627" s="43" t="n">
        <f aca="false">O627*'Price Groups'!$B$5</f>
        <v>4.95</v>
      </c>
      <c r="Q627" s="45" t="n">
        <f aca="false">IF(OR(N627="",P627=""),"",(N627-P627)/N627)</f>
        <v>0.67</v>
      </c>
      <c r="R627" s="46" t="n">
        <v>1</v>
      </c>
      <c r="S627" s="47" t="n">
        <f aca="false">IF(R627="-",0,IFERROR(VLOOKUP(R627,'Price Groups'!$A$13:$C$17,3,FALSE()),0))</f>
        <v>0.22</v>
      </c>
      <c r="T627" s="41" t="n">
        <f aca="false">IF(OR(N627="",R627="-"),"",CEILING(ROUND(N627*(1+S627),2),IF(N627*(1+S627)&lt;100,0.5,IF(N627*(1+S627)&lt;1000,1,5))))</f>
        <v>18.5</v>
      </c>
      <c r="U627" s="45" t="n">
        <f aca="false">IF(OR(T627="",P627=""),"",(T627-P627)/T627)</f>
        <v>0.732432432432433</v>
      </c>
      <c r="V627" s="45" t="n">
        <f aca="false">IF(T627="",0,T627/N627-1)</f>
        <v>0.233333333333333</v>
      </c>
      <c r="W627" s="38" t="s">
        <v>94</v>
      </c>
    </row>
    <row r="628" customFormat="false" ht="15" hidden="false" customHeight="false" outlineLevel="0" collapsed="false">
      <c r="A628" s="19" t="n">
        <v>577</v>
      </c>
      <c r="B628" s="19" t="s">
        <v>789</v>
      </c>
      <c r="C628" s="19" t="s">
        <v>57</v>
      </c>
      <c r="D628" s="19"/>
      <c r="E628" s="19" t="s">
        <v>58</v>
      </c>
      <c r="F628" s="20" t="n">
        <v>21</v>
      </c>
      <c r="G628" s="20" t="n">
        <v>19</v>
      </c>
      <c r="H628" s="21" t="n">
        <v>4108.66</v>
      </c>
      <c r="I628" s="21" t="n">
        <v>-49.11</v>
      </c>
      <c r="J628" s="21" t="n">
        <v>-219.99</v>
      </c>
      <c r="K628" s="22" t="n">
        <f aca="false">H628+I628+J628</f>
        <v>3839.56</v>
      </c>
      <c r="L628" s="23" t="n">
        <f aca="false">IF($K$1282=0,0,K628/$K$1282)</f>
        <v>0.000318063151969155</v>
      </c>
      <c r="M628" s="24" t="n">
        <f aca="false">IF(F628&lt;=0,0,K628/F628)</f>
        <v>182.83619047619</v>
      </c>
      <c r="N628" s="21" t="n">
        <v>163.75</v>
      </c>
      <c r="O628" s="49" t="n">
        <v>5.11</v>
      </c>
      <c r="P628" s="24" t="n">
        <f aca="false">O628*'Price Groups'!$B$5</f>
        <v>114.975</v>
      </c>
      <c r="Q628" s="26" t="n">
        <f aca="false">IF(OR(N628="",P628=""),"",(N628-P628)/N628)</f>
        <v>0.297862595419847</v>
      </c>
      <c r="R628" s="27" t="n">
        <v>1</v>
      </c>
      <c r="S628" s="28" t="n">
        <f aca="false">IF(R628="-",0,IFERROR(VLOOKUP(R628,'Price Groups'!$A$13:$C$17,3,FALSE()),0))</f>
        <v>0.22</v>
      </c>
      <c r="T628" s="22" t="n">
        <f aca="false">IF(OR(N628="",R628="-"),"",CEILING(ROUND(N628*(1+S628),2),IF(N628*(1+S628)&lt;100,0.5,IF(N628*(1+S628)&lt;1000,1,5))))</f>
        <v>200</v>
      </c>
      <c r="U628" s="26" t="n">
        <f aca="false">IF(OR(T628="",P628=""),"",(T628-P628)/T628)</f>
        <v>0.425125</v>
      </c>
      <c r="V628" s="26" t="n">
        <f aca="false">IF(T628="",0,T628/N628-1)</f>
        <v>0.221374045801527</v>
      </c>
      <c r="W628" s="19" t="s">
        <v>94</v>
      </c>
    </row>
    <row r="629" customFormat="false" ht="15" hidden="false" customHeight="false" outlineLevel="0" collapsed="false">
      <c r="A629" s="38" t="n">
        <v>578</v>
      </c>
      <c r="B629" s="38" t="s">
        <v>790</v>
      </c>
      <c r="C629" s="38" t="s">
        <v>57</v>
      </c>
      <c r="D629" s="38"/>
      <c r="E629" s="38" t="s">
        <v>58</v>
      </c>
      <c r="F629" s="39" t="n">
        <v>21</v>
      </c>
      <c r="G629" s="39" t="n">
        <v>20</v>
      </c>
      <c r="H629" s="40" t="n">
        <v>38250</v>
      </c>
      <c r="I629" s="40" t="n">
        <v>-232.5</v>
      </c>
      <c r="J629" s="40" t="n">
        <v>-4577.5</v>
      </c>
      <c r="K629" s="41" t="n">
        <f aca="false">H629+I629+J629</f>
        <v>33440</v>
      </c>
      <c r="L629" s="42" t="n">
        <f aca="false">IF($K$1282=0,0,K629/$K$1282)</f>
        <v>0.00277011735767863</v>
      </c>
      <c r="M629" s="43" t="n">
        <f aca="false">IF(F629&lt;=0,0,K629/F629)</f>
        <v>1592.38095238095</v>
      </c>
      <c r="N629" s="40" t="n">
        <v>1450</v>
      </c>
      <c r="O629" s="44" t="n">
        <v>38.95</v>
      </c>
      <c r="P629" s="43" t="n">
        <f aca="false">O629*'Price Groups'!$B$5</f>
        <v>876.375</v>
      </c>
      <c r="Q629" s="45" t="n">
        <f aca="false">IF(OR(N629="",P629=""),"",(N629-P629)/N629)</f>
        <v>0.395603448275862</v>
      </c>
      <c r="R629" s="46" t="n">
        <v>2</v>
      </c>
      <c r="S629" s="47" t="n">
        <f aca="false">IF(R629="-",0,IFERROR(VLOOKUP(R629,'Price Groups'!$A$13:$C$17,3,FALSE()),0))</f>
        <v>0.18</v>
      </c>
      <c r="T629" s="41" t="n">
        <f aca="false">IF(OR(N629="",R629="-"),"",CEILING(ROUND(N629*(1+S629),2),IF(N629*(1+S629)&lt;100,0.5,IF(N629*(1+S629)&lt;1000,1,5))))</f>
        <v>1715</v>
      </c>
      <c r="U629" s="45" t="n">
        <f aca="false">IF(OR(T629="",P629=""),"",(T629-P629)/T629)</f>
        <v>0.48899416909621</v>
      </c>
      <c r="V629" s="45" t="n">
        <f aca="false">IF(T629="",0,T629/N629-1)</f>
        <v>0.182758620689655</v>
      </c>
      <c r="W629" s="38" t="s">
        <v>98</v>
      </c>
    </row>
    <row r="630" customFormat="false" ht="15" hidden="false" customHeight="false" outlineLevel="0" collapsed="false">
      <c r="A630" s="19" t="n">
        <v>579</v>
      </c>
      <c r="B630" s="19" t="s">
        <v>791</v>
      </c>
      <c r="C630" s="19" t="s">
        <v>57</v>
      </c>
      <c r="D630" s="19"/>
      <c r="E630" s="19" t="s">
        <v>58</v>
      </c>
      <c r="F630" s="20" t="n">
        <v>21</v>
      </c>
      <c r="G630" s="20" t="n">
        <v>25</v>
      </c>
      <c r="H630" s="21" t="n">
        <v>8695.41</v>
      </c>
      <c r="I630" s="21" t="n">
        <v>-74.97</v>
      </c>
      <c r="J630" s="21" t="n">
        <v>-3499.86</v>
      </c>
      <c r="K630" s="22" t="n">
        <f aca="false">H630+I630+J630</f>
        <v>5120.58</v>
      </c>
      <c r="L630" s="23" t="n">
        <f aca="false">IF($K$1282=0,0,K630/$K$1282)</f>
        <v>0.000424180847469558</v>
      </c>
      <c r="M630" s="24" t="n">
        <f aca="false">IF(F630&lt;=0,0,K630/F630)</f>
        <v>243.837142857143</v>
      </c>
      <c r="N630" s="21" t="n">
        <v>249.99</v>
      </c>
      <c r="O630" s="49" t="n">
        <v>7.3</v>
      </c>
      <c r="P630" s="24" t="n">
        <f aca="false">O630*'Price Groups'!$B$5</f>
        <v>164.25</v>
      </c>
      <c r="Q630" s="26" t="n">
        <f aca="false">IF(OR(N630="",P630=""),"",(N630-P630)/N630)</f>
        <v>0.342973718948758</v>
      </c>
      <c r="R630" s="27" t="n">
        <v>1</v>
      </c>
      <c r="S630" s="28" t="n">
        <f aca="false">IF(R630="-",0,IFERROR(VLOOKUP(R630,'Price Groups'!$A$13:$C$17,3,FALSE()),0))</f>
        <v>0.22</v>
      </c>
      <c r="T630" s="22" t="n">
        <f aca="false">IF(OR(N630="",R630="-"),"",CEILING(ROUND(N630*(1+S630),2),IF(N630*(1+S630)&lt;100,0.5,IF(N630*(1+S630)&lt;1000,1,5))))</f>
        <v>305</v>
      </c>
      <c r="U630" s="26" t="n">
        <f aca="false">IF(OR(T630="",P630=""),"",(T630-P630)/T630)</f>
        <v>0.461475409836066</v>
      </c>
      <c r="V630" s="26" t="n">
        <f aca="false">IF(T630="",0,T630/N630-1)</f>
        <v>0.220048801952078</v>
      </c>
      <c r="W630" s="19" t="s">
        <v>94</v>
      </c>
    </row>
    <row r="631" customFormat="false" ht="15" hidden="false" customHeight="false" outlineLevel="0" collapsed="false">
      <c r="A631" s="38" t="n">
        <v>580</v>
      </c>
      <c r="B631" s="38" t="s">
        <v>792</v>
      </c>
      <c r="C631" s="38" t="s">
        <v>57</v>
      </c>
      <c r="D631" s="38"/>
      <c r="E631" s="38" t="s">
        <v>58</v>
      </c>
      <c r="F631" s="39" t="n">
        <v>21</v>
      </c>
      <c r="G631" s="39" t="n">
        <v>16</v>
      </c>
      <c r="H631" s="40" t="n">
        <v>7229.78</v>
      </c>
      <c r="I631" s="40" t="n">
        <v>-98.97</v>
      </c>
      <c r="J631" s="40" t="n">
        <v>-329.99</v>
      </c>
      <c r="K631" s="41" t="n">
        <f aca="false">H631+I631+J631</f>
        <v>6800.82</v>
      </c>
      <c r="L631" s="42" t="n">
        <f aca="false">IF($K$1282=0,0,K631/$K$1282)</f>
        <v>0.000563369304080382</v>
      </c>
      <c r="M631" s="43" t="n">
        <f aca="false">IF(F631&lt;=0,0,K631/F631)</f>
        <v>323.848571428571</v>
      </c>
      <c r="N631" s="40" t="n">
        <v>329.99</v>
      </c>
      <c r="O631" s="44" t="n">
        <v>9.15</v>
      </c>
      <c r="P631" s="43" t="n">
        <f aca="false">O631*'Price Groups'!$B$5</f>
        <v>205.875</v>
      </c>
      <c r="Q631" s="45" t="n">
        <f aca="false">IF(OR(N631="",P631=""),"",(N631-P631)/N631)</f>
        <v>0.376117458104791</v>
      </c>
      <c r="R631" s="46" t="n">
        <v>1</v>
      </c>
      <c r="S631" s="47" t="n">
        <f aca="false">IF(R631="-",0,IFERROR(VLOOKUP(R631,'Price Groups'!$A$13:$C$17,3,FALSE()),0))</f>
        <v>0.22</v>
      </c>
      <c r="T631" s="41" t="n">
        <f aca="false">IF(OR(N631="",R631="-"),"",CEILING(ROUND(N631*(1+S631),2),IF(N631*(1+S631)&lt;100,0.5,IF(N631*(1+S631)&lt;1000,1,5))))</f>
        <v>403</v>
      </c>
      <c r="U631" s="45" t="n">
        <f aca="false">IF(OR(T631="",P631=""),"",(T631-P631)/T631)</f>
        <v>0.489143920595534</v>
      </c>
      <c r="V631" s="45" t="n">
        <f aca="false">IF(T631="",0,T631/N631-1)</f>
        <v>0.221249128761478</v>
      </c>
      <c r="W631" s="38" t="s">
        <v>94</v>
      </c>
    </row>
    <row r="632" customFormat="false" ht="15" hidden="false" customHeight="false" outlineLevel="0" collapsed="false">
      <c r="A632" s="19" t="n">
        <v>581</v>
      </c>
      <c r="B632" s="19" t="s">
        <v>793</v>
      </c>
      <c r="C632" s="19" t="s">
        <v>57</v>
      </c>
      <c r="D632" s="19"/>
      <c r="E632" s="19" t="s">
        <v>58</v>
      </c>
      <c r="F632" s="20" t="n">
        <v>21</v>
      </c>
      <c r="G632" s="20" t="n">
        <v>19</v>
      </c>
      <c r="H632" s="21" t="n">
        <v>8338</v>
      </c>
      <c r="I632" s="21" t="n">
        <v>-2.05</v>
      </c>
      <c r="J632" s="21" t="n">
        <v>-379</v>
      </c>
      <c r="K632" s="22" t="n">
        <f aca="false">H632+I632+J632</f>
        <v>7956.95</v>
      </c>
      <c r="L632" s="23" t="n">
        <f aca="false">IF($K$1282=0,0,K632/$K$1282)</f>
        <v>0.000659141307092732</v>
      </c>
      <c r="M632" s="24" t="n">
        <f aca="false">IF(F632&lt;=0,0,K632/F632)</f>
        <v>378.902380952381</v>
      </c>
      <c r="N632" s="21" t="n">
        <v>379</v>
      </c>
      <c r="O632" s="49" t="n">
        <v>13</v>
      </c>
      <c r="P632" s="24" t="n">
        <f aca="false">O632*'Price Groups'!$B$5</f>
        <v>292.5</v>
      </c>
      <c r="Q632" s="26" t="n">
        <f aca="false">IF(OR(N632="",P632=""),"",(N632-P632)/N632)</f>
        <v>0.228232189973615</v>
      </c>
      <c r="R632" s="27" t="n">
        <v>1</v>
      </c>
      <c r="S632" s="28" t="n">
        <f aca="false">IF(R632="-",0,IFERROR(VLOOKUP(R632,'Price Groups'!$A$13:$C$17,3,FALSE()),0))</f>
        <v>0.22</v>
      </c>
      <c r="T632" s="22" t="n">
        <f aca="false">IF(OR(N632="",R632="-"),"",CEILING(ROUND(N632*(1+S632),2),IF(N632*(1+S632)&lt;100,0.5,IF(N632*(1+S632)&lt;1000,1,5))))</f>
        <v>463</v>
      </c>
      <c r="U632" s="26" t="n">
        <f aca="false">IF(OR(T632="",P632=""),"",(T632-P632)/T632)</f>
        <v>0.368250539956803</v>
      </c>
      <c r="V632" s="26" t="n">
        <f aca="false">IF(T632="",0,T632/N632-1)</f>
        <v>0.221635883905013</v>
      </c>
      <c r="W632" s="19" t="s">
        <v>633</v>
      </c>
    </row>
    <row r="633" customFormat="false" ht="15" hidden="false" customHeight="false" outlineLevel="0" collapsed="false">
      <c r="A633" s="38" t="n">
        <v>582</v>
      </c>
      <c r="B633" s="38" t="s">
        <v>794</v>
      </c>
      <c r="C633" s="38" t="s">
        <v>57</v>
      </c>
      <c r="D633" s="38"/>
      <c r="E633" s="38" t="s">
        <v>58</v>
      </c>
      <c r="F633" s="39" t="n">
        <v>21</v>
      </c>
      <c r="G633" s="39" t="n">
        <v>18</v>
      </c>
      <c r="H633" s="40" t="n">
        <v>454.95</v>
      </c>
      <c r="I633" s="40" t="n">
        <v>-3.97</v>
      </c>
      <c r="J633" s="40" t="n">
        <v>-71.99</v>
      </c>
      <c r="K633" s="41" t="n">
        <f aca="false">H633+I633+J633</f>
        <v>378.99</v>
      </c>
      <c r="L633" s="42" t="n">
        <f aca="false">IF($K$1282=0,0,K633/$K$1282)</f>
        <v>3.13949395151502E-005</v>
      </c>
      <c r="M633" s="43" t="n">
        <f aca="false">IF(F633&lt;=0,0,K633/F633)</f>
        <v>18.0471428571429</v>
      </c>
      <c r="N633" s="40" t="n">
        <v>59.99</v>
      </c>
      <c r="O633" s="44" t="n">
        <v>0.39</v>
      </c>
      <c r="P633" s="43" t="n">
        <f aca="false">O633*'Price Groups'!$B$5</f>
        <v>8.775</v>
      </c>
      <c r="Q633" s="45" t="n">
        <f aca="false">IF(OR(N633="",P633=""),"",(N633-P633)/N633)</f>
        <v>0.853725620936823</v>
      </c>
      <c r="R633" s="46" t="n">
        <v>1</v>
      </c>
      <c r="S633" s="47" t="n">
        <f aca="false">IF(R633="-",0,IFERROR(VLOOKUP(R633,'Price Groups'!$A$13:$C$17,3,FALSE()),0))</f>
        <v>0.22</v>
      </c>
      <c r="T633" s="41" t="n">
        <f aca="false">IF(OR(N633="",R633="-"),"",CEILING(ROUND(N633*(1+S633),2),IF(N633*(1+S633)&lt;100,0.5,IF(N633*(1+S633)&lt;1000,1,5))))</f>
        <v>73.5</v>
      </c>
      <c r="U633" s="45" t="n">
        <f aca="false">IF(OR(T633="",P633=""),"",(T633-P633)/T633)</f>
        <v>0.880612244897959</v>
      </c>
      <c r="V633" s="45" t="n">
        <f aca="false">IF(T633="",0,T633/N633-1)</f>
        <v>0.225204200700117</v>
      </c>
      <c r="W633" s="38" t="s">
        <v>94</v>
      </c>
    </row>
    <row r="634" customFormat="false" ht="15" hidden="false" customHeight="false" outlineLevel="0" collapsed="false">
      <c r="A634" s="19" t="n">
        <v>583</v>
      </c>
      <c r="B634" s="19" t="s">
        <v>795</v>
      </c>
      <c r="C634" s="19" t="s">
        <v>57</v>
      </c>
      <c r="D634" s="19"/>
      <c r="E634" s="19" t="s">
        <v>58</v>
      </c>
      <c r="F634" s="20" t="n">
        <v>21</v>
      </c>
      <c r="G634" s="20" t="n">
        <v>16</v>
      </c>
      <c r="H634" s="21" t="n">
        <v>2159.76</v>
      </c>
      <c r="I634" s="21" t="n">
        <v>0</v>
      </c>
      <c r="J634" s="21" t="n">
        <v>-269.97</v>
      </c>
      <c r="K634" s="22" t="n">
        <f aca="false">H634+I634+J634</f>
        <v>1889.79</v>
      </c>
      <c r="L634" s="23" t="n">
        <f aca="false">IF($K$1282=0,0,K634/$K$1282)</f>
        <v>0.000156547251237066</v>
      </c>
      <c r="M634" s="24" t="n">
        <f aca="false">IF(F634&lt;=0,0,K634/F634)</f>
        <v>89.99</v>
      </c>
      <c r="N634" s="21" t="n">
        <v>89.99</v>
      </c>
      <c r="O634" s="49" t="n">
        <v>1.94</v>
      </c>
      <c r="P634" s="24" t="n">
        <f aca="false">O634*'Price Groups'!$B$5</f>
        <v>43.65</v>
      </c>
      <c r="Q634" s="26" t="n">
        <f aca="false">IF(OR(N634="",P634=""),"",(N634-P634)/N634)</f>
        <v>0.514946105122791</v>
      </c>
      <c r="R634" s="27" t="n">
        <v>1</v>
      </c>
      <c r="S634" s="28" t="n">
        <f aca="false">IF(R634="-",0,IFERROR(VLOOKUP(R634,'Price Groups'!$A$13:$C$17,3,FALSE()),0))</f>
        <v>0.22</v>
      </c>
      <c r="T634" s="22" t="n">
        <f aca="false">IF(OR(N634="",R634="-"),"",CEILING(ROUND(N634*(1+S634),2),IF(N634*(1+S634)&lt;100,0.5,IF(N634*(1+S634)&lt;1000,1,5))))</f>
        <v>110</v>
      </c>
      <c r="U634" s="26" t="n">
        <f aca="false">IF(OR(T634="",P634=""),"",(T634-P634)/T634)</f>
        <v>0.603181818181818</v>
      </c>
      <c r="V634" s="26" t="n">
        <f aca="false">IF(T634="",0,T634/N634-1)</f>
        <v>0.222358039782198</v>
      </c>
      <c r="W634" s="19" t="s">
        <v>94</v>
      </c>
    </row>
    <row r="635" customFormat="false" ht="15" hidden="false" customHeight="false" outlineLevel="0" collapsed="false">
      <c r="A635" s="38" t="n">
        <v>584</v>
      </c>
      <c r="B635" s="38" t="s">
        <v>796</v>
      </c>
      <c r="C635" s="38" t="s">
        <v>57</v>
      </c>
      <c r="D635" s="38"/>
      <c r="E635" s="38" t="s">
        <v>58</v>
      </c>
      <c r="F635" s="39" t="n">
        <v>21</v>
      </c>
      <c r="G635" s="39" t="n">
        <v>19</v>
      </c>
      <c r="H635" s="40" t="n">
        <v>2139.79</v>
      </c>
      <c r="I635" s="40" t="n">
        <v>-11.99</v>
      </c>
      <c r="J635" s="40" t="n">
        <v>0</v>
      </c>
      <c r="K635" s="41" t="n">
        <f aca="false">H635+I635+J635</f>
        <v>2127.8</v>
      </c>
      <c r="L635" s="42" t="n">
        <f aca="false">IF($K$1282=0,0,K635/$K$1282)</f>
        <v>0.000176263627801094</v>
      </c>
      <c r="M635" s="43" t="n">
        <f aca="false">IF(F635&lt;=0,0,K635/F635)</f>
        <v>101.32380952381</v>
      </c>
      <c r="N635" s="40" t="n">
        <v>119.99</v>
      </c>
      <c r="O635" s="44" t="n">
        <v>3.04</v>
      </c>
      <c r="P635" s="43" t="n">
        <f aca="false">O635*'Price Groups'!$B$5</f>
        <v>68.4</v>
      </c>
      <c r="Q635" s="45" t="n">
        <f aca="false">IF(OR(N635="",P635=""),"",(N635-P635)/N635)</f>
        <v>0.429952496041337</v>
      </c>
      <c r="R635" s="46" t="n">
        <v>1</v>
      </c>
      <c r="S635" s="47" t="n">
        <f aca="false">IF(R635="-",0,IFERROR(VLOOKUP(R635,'Price Groups'!$A$13:$C$17,3,FALSE()),0))</f>
        <v>0.22</v>
      </c>
      <c r="T635" s="41" t="n">
        <f aca="false">IF(OR(N635="",R635="-"),"",CEILING(ROUND(N635*(1+S635),2),IF(N635*(1+S635)&lt;100,0.5,IF(N635*(1+S635)&lt;1000,1,5))))</f>
        <v>147</v>
      </c>
      <c r="U635" s="45" t="n">
        <f aca="false">IF(OR(T635="",P635=""),"",(T635-P635)/T635)</f>
        <v>0.53469387755102</v>
      </c>
      <c r="V635" s="45" t="n">
        <f aca="false">IF(T635="",0,T635/N635-1)</f>
        <v>0.225102091840987</v>
      </c>
      <c r="W635" s="38" t="s">
        <v>94</v>
      </c>
    </row>
    <row r="636" customFormat="false" ht="15" hidden="false" customHeight="false" outlineLevel="0" collapsed="false">
      <c r="A636" s="19" t="n">
        <v>585</v>
      </c>
      <c r="B636" s="19" t="s">
        <v>797</v>
      </c>
      <c r="C636" s="19" t="s">
        <v>57</v>
      </c>
      <c r="D636" s="19"/>
      <c r="E636" s="19" t="s">
        <v>58</v>
      </c>
      <c r="F636" s="20" t="n">
        <v>21</v>
      </c>
      <c r="G636" s="20" t="n">
        <v>8</v>
      </c>
      <c r="H636" s="21" t="n">
        <v>1049.79</v>
      </c>
      <c r="I636" s="21" t="n">
        <v>-9.98</v>
      </c>
      <c r="J636" s="21" t="n">
        <v>0</v>
      </c>
      <c r="K636" s="22" t="n">
        <f aca="false">H636+I636+J636</f>
        <v>1039.81</v>
      </c>
      <c r="L636" s="23" t="n">
        <f aca="false">IF($K$1282=0,0,K636/$K$1282)</f>
        <v>8.61362359356403E-005</v>
      </c>
      <c r="M636" s="24" t="n">
        <f aca="false">IF(F636&lt;=0,0,K636/F636)</f>
        <v>49.5147619047619</v>
      </c>
      <c r="N636" s="21" t="n">
        <v>49.99</v>
      </c>
      <c r="O636" s="49" t="n">
        <v>1.05</v>
      </c>
      <c r="P636" s="24" t="n">
        <f aca="false">O636*'Price Groups'!$B$5</f>
        <v>23.625</v>
      </c>
      <c r="Q636" s="26" t="n">
        <f aca="false">IF(OR(N636="",P636=""),"",(N636-P636)/N636)</f>
        <v>0.527405481096219</v>
      </c>
      <c r="R636" s="27" t="n">
        <v>1</v>
      </c>
      <c r="S636" s="28" t="n">
        <f aca="false">IF(R636="-",0,IFERROR(VLOOKUP(R636,'Price Groups'!$A$13:$C$17,3,FALSE()),0))</f>
        <v>0.22</v>
      </c>
      <c r="T636" s="22" t="n">
        <f aca="false">IF(OR(N636="",R636="-"),"",CEILING(ROUND(N636*(1+S636),2),IF(N636*(1+S636)&lt;100,0.5,IF(N636*(1+S636)&lt;1000,1,5))))</f>
        <v>61</v>
      </c>
      <c r="U636" s="26" t="n">
        <f aca="false">IF(OR(T636="",P636=""),"",(T636-P636)/T636)</f>
        <v>0.612704918032787</v>
      </c>
      <c r="V636" s="26" t="n">
        <f aca="false">IF(T636="",0,T636/N636-1)</f>
        <v>0.220244048809762</v>
      </c>
      <c r="W636" s="19" t="s">
        <v>94</v>
      </c>
    </row>
    <row r="637" customFormat="false" ht="15" hidden="false" customHeight="false" outlineLevel="0" collapsed="false">
      <c r="A637" s="38" t="n">
        <v>586</v>
      </c>
      <c r="B637" s="38" t="s">
        <v>798</v>
      </c>
      <c r="C637" s="38" t="s">
        <v>57</v>
      </c>
      <c r="D637" s="38"/>
      <c r="E637" s="38" t="s">
        <v>58</v>
      </c>
      <c r="F637" s="39" t="n">
        <v>21</v>
      </c>
      <c r="G637" s="39" t="n">
        <v>18</v>
      </c>
      <c r="H637" s="40" t="n">
        <v>6159.78</v>
      </c>
      <c r="I637" s="40" t="n">
        <v>-27.99</v>
      </c>
      <c r="J637" s="40" t="n">
        <v>-279.99</v>
      </c>
      <c r="K637" s="41" t="n">
        <f aca="false">H637+I637+J637</f>
        <v>5851.8</v>
      </c>
      <c r="L637" s="42" t="n">
        <f aca="false">IF($K$1282=0,0,K637/$K$1282)</f>
        <v>0.000484753969906214</v>
      </c>
      <c r="M637" s="43" t="n">
        <f aca="false">IF(F637&lt;=0,0,K637/F637)</f>
        <v>278.657142857143</v>
      </c>
      <c r="N637" s="40" t="n">
        <v>279.99</v>
      </c>
      <c r="O637" s="44" t="n">
        <v>5.28</v>
      </c>
      <c r="P637" s="43" t="n">
        <f aca="false">O637*'Price Groups'!$B$5</f>
        <v>118.8</v>
      </c>
      <c r="Q637" s="45" t="n">
        <f aca="false">IF(OR(N637="",P637=""),"",(N637-P637)/N637)</f>
        <v>0.575699132111861</v>
      </c>
      <c r="R637" s="46" t="n">
        <v>1</v>
      </c>
      <c r="S637" s="47" t="n">
        <f aca="false">IF(R637="-",0,IFERROR(VLOOKUP(R637,'Price Groups'!$A$13:$C$17,3,FALSE()),0))</f>
        <v>0.22</v>
      </c>
      <c r="T637" s="41" t="n">
        <f aca="false">IF(OR(N637="",R637="-"),"",CEILING(ROUND(N637*(1+S637),2),IF(N637*(1+S637)&lt;100,0.5,IF(N637*(1+S637)&lt;1000,1,5))))</f>
        <v>342</v>
      </c>
      <c r="U637" s="45" t="n">
        <f aca="false">IF(OR(T637="",P637=""),"",(T637-P637)/T637)</f>
        <v>0.652631578947368</v>
      </c>
      <c r="V637" s="45" t="n">
        <f aca="false">IF(T637="",0,T637/N637-1)</f>
        <v>0.221472195435551</v>
      </c>
      <c r="W637" s="38" t="s">
        <v>94</v>
      </c>
    </row>
    <row r="638" customFormat="false" ht="15" hidden="false" customHeight="false" outlineLevel="0" collapsed="false">
      <c r="A638" s="19" t="n">
        <v>587</v>
      </c>
      <c r="B638" s="19" t="s">
        <v>799</v>
      </c>
      <c r="C638" s="19" t="s">
        <v>57</v>
      </c>
      <c r="D638" s="19"/>
      <c r="E638" s="19" t="s">
        <v>58</v>
      </c>
      <c r="F638" s="20" t="n">
        <v>21</v>
      </c>
      <c r="G638" s="20" t="n">
        <v>21</v>
      </c>
      <c r="H638" s="21" t="n">
        <v>729.73</v>
      </c>
      <c r="I638" s="21" t="n">
        <v>-4.98</v>
      </c>
      <c r="J638" s="21" t="n">
        <v>-149.94</v>
      </c>
      <c r="K638" s="22" t="n">
        <f aca="false">H638+I638+J638</f>
        <v>574.81</v>
      </c>
      <c r="L638" s="23" t="n">
        <f aca="false">IF($K$1282=0,0,K638/$K$1282)</f>
        <v>4.76163623913652E-005</v>
      </c>
      <c r="M638" s="24" t="n">
        <f aca="false">IF(F638&lt;=0,0,K638/F638)</f>
        <v>27.3719047619048</v>
      </c>
      <c r="N638" s="21" t="n">
        <v>29.99</v>
      </c>
      <c r="O638" s="49" t="n">
        <v>0.6</v>
      </c>
      <c r="P638" s="24" t="n">
        <f aca="false">O638*'Price Groups'!$B$5</f>
        <v>13.5</v>
      </c>
      <c r="Q638" s="26" t="n">
        <f aca="false">IF(OR(N638="",P638=""),"",(N638-P638)/N638)</f>
        <v>0.549849949983328</v>
      </c>
      <c r="R638" s="27" t="n">
        <v>1</v>
      </c>
      <c r="S638" s="28" t="n">
        <f aca="false">IF(R638="-",0,IFERROR(VLOOKUP(R638,'Price Groups'!$A$13:$C$17,3,FALSE()),0))</f>
        <v>0.22</v>
      </c>
      <c r="T638" s="22" t="n">
        <f aca="false">IF(OR(N638="",R638="-"),"",CEILING(ROUND(N638*(1+S638),2),IF(N638*(1+S638)&lt;100,0.5,IF(N638*(1+S638)&lt;1000,1,5))))</f>
        <v>37</v>
      </c>
      <c r="U638" s="26" t="n">
        <f aca="false">IF(OR(T638="",P638=""),"",(T638-P638)/T638)</f>
        <v>0.635135135135135</v>
      </c>
      <c r="V638" s="26" t="n">
        <f aca="false">IF(T638="",0,T638/N638-1)</f>
        <v>0.233744581527176</v>
      </c>
      <c r="W638" s="19" t="s">
        <v>94</v>
      </c>
    </row>
    <row r="639" customFormat="false" ht="15" hidden="false" customHeight="false" outlineLevel="0" collapsed="false">
      <c r="A639" s="38" t="n">
        <v>588</v>
      </c>
      <c r="B639" s="38" t="s">
        <v>800</v>
      </c>
      <c r="C639" s="38" t="s">
        <v>57</v>
      </c>
      <c r="D639" s="38"/>
      <c r="E639" s="38" t="s">
        <v>58</v>
      </c>
      <c r="F639" s="39" t="n">
        <v>21</v>
      </c>
      <c r="G639" s="39" t="n">
        <v>15</v>
      </c>
      <c r="H639" s="40" t="n">
        <v>10499.79</v>
      </c>
      <c r="I639" s="40" t="n">
        <v>0</v>
      </c>
      <c r="J639" s="40" t="n">
        <v>0</v>
      </c>
      <c r="K639" s="41" t="n">
        <f aca="false">H639+I639+J639</f>
        <v>10499.79</v>
      </c>
      <c r="L639" s="42" t="n">
        <f aca="false">IF($K$1282=0,0,K639/$K$1282)</f>
        <v>0.000869786200089129</v>
      </c>
      <c r="M639" s="43" t="n">
        <f aca="false">IF(F639&lt;=0,0,K639/F639)</f>
        <v>499.99</v>
      </c>
      <c r="N639" s="40" t="n">
        <v>499.99</v>
      </c>
      <c r="O639" s="44" t="n">
        <v>14.5</v>
      </c>
      <c r="P639" s="43" t="n">
        <f aca="false">O639*'Price Groups'!$B$5</f>
        <v>326.25</v>
      </c>
      <c r="Q639" s="45" t="n">
        <f aca="false">IF(OR(N639="",P639=""),"",(N639-P639)/N639)</f>
        <v>0.347486949738995</v>
      </c>
      <c r="R639" s="46" t="n">
        <v>1</v>
      </c>
      <c r="S639" s="47" t="n">
        <f aca="false">IF(R639="-",0,IFERROR(VLOOKUP(R639,'Price Groups'!$A$13:$C$17,3,FALSE()),0))</f>
        <v>0.22</v>
      </c>
      <c r="T639" s="41" t="n">
        <f aca="false">IF(OR(N639="",R639="-"),"",CEILING(ROUND(N639*(1+S639),2),IF(N639*(1+S639)&lt;100,0.5,IF(N639*(1+S639)&lt;1000,1,5))))</f>
        <v>610</v>
      </c>
      <c r="U639" s="45" t="n">
        <f aca="false">IF(OR(T639="",P639=""),"",(T639-P639)/T639)</f>
        <v>0.46516393442623</v>
      </c>
      <c r="V639" s="45" t="n">
        <f aca="false">IF(T639="",0,T639/N639-1)</f>
        <v>0.22002440048801</v>
      </c>
      <c r="W639" s="38" t="s">
        <v>94</v>
      </c>
    </row>
    <row r="640" customFormat="false" ht="15" hidden="false" customHeight="false" outlineLevel="0" collapsed="false">
      <c r="A640" s="19" t="n">
        <v>589</v>
      </c>
      <c r="B640" s="19" t="s">
        <v>801</v>
      </c>
      <c r="C640" s="19" t="s">
        <v>57</v>
      </c>
      <c r="D640" s="19"/>
      <c r="E640" s="19" t="s">
        <v>58</v>
      </c>
      <c r="F640" s="20" t="n">
        <v>21</v>
      </c>
      <c r="G640" s="20" t="n">
        <v>12</v>
      </c>
      <c r="H640" s="21" t="n">
        <v>1017.18</v>
      </c>
      <c r="I640" s="21" t="n">
        <v>-17.54</v>
      </c>
      <c r="J640" s="21" t="n">
        <v>-64.99</v>
      </c>
      <c r="K640" s="22" t="n">
        <f aca="false">H640+I640+J640</f>
        <v>934.65</v>
      </c>
      <c r="L640" s="23" t="n">
        <f aca="false">IF($K$1282=0,0,K640/$K$1282)</f>
        <v>7.74249458239931E-005</v>
      </c>
      <c r="M640" s="24" t="n">
        <f aca="false">IF(F640&lt;=0,0,K640/F640)</f>
        <v>44.5071428571429</v>
      </c>
      <c r="N640" s="21" t="n">
        <v>44.36</v>
      </c>
      <c r="O640" s="49" t="n">
        <v>1.5</v>
      </c>
      <c r="P640" s="24" t="n">
        <f aca="false">O640*'Price Groups'!$B$5</f>
        <v>33.75</v>
      </c>
      <c r="Q640" s="26" t="n">
        <f aca="false">IF(OR(N640="",P640=""),"",(N640-P640)/N640)</f>
        <v>0.239179440937782</v>
      </c>
      <c r="R640" s="27" t="n">
        <v>1</v>
      </c>
      <c r="S640" s="28" t="n">
        <f aca="false">IF(R640="-",0,IFERROR(VLOOKUP(R640,'Price Groups'!$A$13:$C$17,3,FALSE()),0))</f>
        <v>0.22</v>
      </c>
      <c r="T640" s="22" t="n">
        <f aca="false">IF(OR(N640="",R640="-"),"",CEILING(ROUND(N640*(1+S640),2),IF(N640*(1+S640)&lt;100,0.5,IF(N640*(1+S640)&lt;1000,1,5))))</f>
        <v>54.5</v>
      </c>
      <c r="U640" s="26" t="n">
        <f aca="false">IF(OR(T640="",P640=""),"",(T640-P640)/T640)</f>
        <v>0.380733944954128</v>
      </c>
      <c r="V640" s="26" t="n">
        <f aca="false">IF(T640="",0,T640/N640-1)</f>
        <v>0.22858431018936</v>
      </c>
      <c r="W640" s="19" t="s">
        <v>244</v>
      </c>
    </row>
    <row r="641" customFormat="false" ht="15" hidden="false" customHeight="false" outlineLevel="0" collapsed="false">
      <c r="A641" s="38" t="n">
        <v>590</v>
      </c>
      <c r="B641" s="38" t="s">
        <v>802</v>
      </c>
      <c r="C641" s="38" t="s">
        <v>57</v>
      </c>
      <c r="D641" s="38"/>
      <c r="E641" s="38" t="s">
        <v>58</v>
      </c>
      <c r="F641" s="39" t="n">
        <v>21</v>
      </c>
      <c r="G641" s="39" t="n">
        <v>16</v>
      </c>
      <c r="H641" s="40" t="n">
        <v>390.53</v>
      </c>
      <c r="I641" s="40" t="n">
        <v>-3.59</v>
      </c>
      <c r="J641" s="40" t="n">
        <v>-46</v>
      </c>
      <c r="K641" s="41" t="n">
        <f aca="false">H641+I641+J641</f>
        <v>340.94</v>
      </c>
      <c r="L641" s="42" t="n">
        <f aca="false">IF($K$1282=0,0,K641/$K$1282)</f>
        <v>2.8242936959538E-005</v>
      </c>
      <c r="M641" s="43" t="n">
        <f aca="false">IF(F641&lt;=0,0,K641/F641)</f>
        <v>16.2352380952381</v>
      </c>
      <c r="N641" s="40" t="n">
        <v>14.99</v>
      </c>
      <c r="O641" s="44" t="n">
        <v>0.87</v>
      </c>
      <c r="P641" s="43" t="n">
        <f aca="false">O641*'Price Groups'!$B$5</f>
        <v>19.575</v>
      </c>
      <c r="Q641" s="45" t="n">
        <f aca="false">IF(OR(N641="",P641=""),"",(N641-P641)/N641)</f>
        <v>-0.305870580386925</v>
      </c>
      <c r="R641" s="46" t="n">
        <v>1</v>
      </c>
      <c r="S641" s="47" t="n">
        <f aca="false">IF(R641="-",0,IFERROR(VLOOKUP(R641,'Price Groups'!$A$13:$C$17,3,FALSE()),0))</f>
        <v>0.22</v>
      </c>
      <c r="T641" s="41" t="n">
        <f aca="false">IF(OR(N641="",R641="-"),"",CEILING(ROUND(N641*(1+S641),2),IF(N641*(1+S641)&lt;100,0.5,IF(N641*(1+S641)&lt;1000,1,5))))</f>
        <v>18.5</v>
      </c>
      <c r="U641" s="45" t="n">
        <f aca="false">IF(OR(T641="",P641=""),"",(T641-P641)/T641)</f>
        <v>-0.0581081081081081</v>
      </c>
      <c r="V641" s="45" t="n">
        <f aca="false">IF(T641="",0,T641/N641-1)</f>
        <v>0.23415610406938</v>
      </c>
      <c r="W641" s="38" t="s">
        <v>803</v>
      </c>
    </row>
    <row r="642" customFormat="false" ht="15" hidden="false" customHeight="false" outlineLevel="0" collapsed="false">
      <c r="A642" s="19" t="n">
        <v>591</v>
      </c>
      <c r="B642" s="19" t="s">
        <v>804</v>
      </c>
      <c r="C642" s="19" t="s">
        <v>57</v>
      </c>
      <c r="D642" s="19"/>
      <c r="E642" s="19" t="s">
        <v>58</v>
      </c>
      <c r="F642" s="20" t="n">
        <v>20</v>
      </c>
      <c r="G642" s="20" t="n">
        <v>18</v>
      </c>
      <c r="H642" s="21" t="n">
        <v>5749.77</v>
      </c>
      <c r="I642" s="21" t="n">
        <v>-24.99</v>
      </c>
      <c r="J642" s="21" t="n">
        <v>-749.97</v>
      </c>
      <c r="K642" s="22" t="n">
        <f aca="false">H642+I642+J642</f>
        <v>4974.81</v>
      </c>
      <c r="L642" s="23" t="n">
        <f aca="false">IF($K$1282=0,0,K642/$K$1282)</f>
        <v>0.000412105488401711</v>
      </c>
      <c r="M642" s="24" t="n">
        <f aca="false">IF(F642&lt;=0,0,K642/F642)</f>
        <v>248.7405</v>
      </c>
      <c r="N642" s="21" t="n">
        <v>249.99</v>
      </c>
      <c r="O642" s="49" t="n">
        <v>6.9</v>
      </c>
      <c r="P642" s="24" t="n">
        <f aca="false">O642*'Price Groups'!$B$5</f>
        <v>155.25</v>
      </c>
      <c r="Q642" s="26" t="n">
        <f aca="false">IF(OR(N642="",P642=""),"",(N642-P642)/N642)</f>
        <v>0.37897515900636</v>
      </c>
      <c r="R642" s="27" t="n">
        <v>1</v>
      </c>
      <c r="S642" s="28" t="n">
        <f aca="false">IF(R642="-",0,IFERROR(VLOOKUP(R642,'Price Groups'!$A$13:$C$17,3,FALSE()),0))</f>
        <v>0.22</v>
      </c>
      <c r="T642" s="22" t="n">
        <f aca="false">IF(OR(N642="",R642="-"),"",CEILING(ROUND(N642*(1+S642),2),IF(N642*(1+S642)&lt;100,0.5,IF(N642*(1+S642)&lt;1000,1,5))))</f>
        <v>305</v>
      </c>
      <c r="U642" s="26" t="n">
        <f aca="false">IF(OR(T642="",P642=""),"",(T642-P642)/T642)</f>
        <v>0.490983606557377</v>
      </c>
      <c r="V642" s="26" t="n">
        <f aca="false">IF(T642="",0,T642/N642-1)</f>
        <v>0.220048801952078</v>
      </c>
      <c r="W642" s="19" t="s">
        <v>94</v>
      </c>
    </row>
    <row r="643" customFormat="false" ht="15" hidden="false" customHeight="false" outlineLevel="0" collapsed="false">
      <c r="A643" s="38" t="n">
        <v>592</v>
      </c>
      <c r="B643" s="38" t="s">
        <v>805</v>
      </c>
      <c r="C643" s="38" t="s">
        <v>57</v>
      </c>
      <c r="D643" s="38"/>
      <c r="E643" s="38" t="s">
        <v>58</v>
      </c>
      <c r="F643" s="39" t="n">
        <v>20</v>
      </c>
      <c r="G643" s="39" t="n">
        <v>17</v>
      </c>
      <c r="H643" s="40" t="n">
        <v>681.83</v>
      </c>
      <c r="I643" s="40" t="n">
        <v>-2.99</v>
      </c>
      <c r="J643" s="40" t="n">
        <v>-112.98</v>
      </c>
      <c r="K643" s="41" t="n">
        <f aca="false">H643+I643+J643</f>
        <v>565.86</v>
      </c>
      <c r="L643" s="42" t="n">
        <f aca="false">IF($K$1282=0,0,K643/$K$1282)</f>
        <v>4.6874958373685E-005</v>
      </c>
      <c r="M643" s="43" t="n">
        <f aca="false">IF(F643&lt;=0,0,K643/F643)</f>
        <v>28.293</v>
      </c>
      <c r="N643" s="40" t="n">
        <v>22</v>
      </c>
      <c r="O643" s="44" t="n">
        <v>0.44</v>
      </c>
      <c r="P643" s="43" t="n">
        <f aca="false">O643*'Price Groups'!$B$5</f>
        <v>9.9</v>
      </c>
      <c r="Q643" s="45" t="n">
        <f aca="false">IF(OR(N643="",P643=""),"",(N643-P643)/N643)</f>
        <v>0.55</v>
      </c>
      <c r="R643" s="46" t="n">
        <v>1</v>
      </c>
      <c r="S643" s="47" t="n">
        <f aca="false">IF(R643="-",0,IFERROR(VLOOKUP(R643,'Price Groups'!$A$13:$C$17,3,FALSE()),0))</f>
        <v>0.22</v>
      </c>
      <c r="T643" s="41" t="n">
        <f aca="false">IF(OR(N643="",R643="-"),"",CEILING(ROUND(N643*(1+S643),2),IF(N643*(1+S643)&lt;100,0.5,IF(N643*(1+S643)&lt;1000,1,5))))</f>
        <v>27</v>
      </c>
      <c r="U643" s="45" t="n">
        <f aca="false">IF(OR(T643="",P643=""),"",(T643-P643)/T643)</f>
        <v>0.633333333333333</v>
      </c>
      <c r="V643" s="45" t="n">
        <f aca="false">IF(T643="",0,T643/N643-1)</f>
        <v>0.227272727272727</v>
      </c>
      <c r="W643" s="38" t="s">
        <v>94</v>
      </c>
    </row>
    <row r="644" customFormat="false" ht="15" hidden="false" customHeight="false" outlineLevel="0" collapsed="false">
      <c r="A644" s="19" t="n">
        <v>593</v>
      </c>
      <c r="B644" s="19" t="s">
        <v>806</v>
      </c>
      <c r="C644" s="19" t="s">
        <v>57</v>
      </c>
      <c r="D644" s="19"/>
      <c r="E644" s="19" t="s">
        <v>58</v>
      </c>
      <c r="F644" s="20" t="n">
        <v>20</v>
      </c>
      <c r="G644" s="20" t="n">
        <v>18</v>
      </c>
      <c r="H644" s="21" t="n">
        <v>1219.77</v>
      </c>
      <c r="I644" s="21" t="n">
        <v>-18.05</v>
      </c>
      <c r="J644" s="21" t="n">
        <v>-179.97</v>
      </c>
      <c r="K644" s="22" t="n">
        <f aca="false">H644+I644+J644</f>
        <v>1021.75</v>
      </c>
      <c r="L644" s="23" t="n">
        <f aca="false">IF($K$1282=0,0,K644/$K$1282)</f>
        <v>8.46401737502433E-005</v>
      </c>
      <c r="M644" s="24" t="n">
        <f aca="false">IF(F644&lt;=0,0,K644/F644)</f>
        <v>51.0875</v>
      </c>
      <c r="N644" s="21" t="n">
        <v>39.99</v>
      </c>
      <c r="O644" s="49" t="n">
        <v>1.39</v>
      </c>
      <c r="P644" s="24" t="n">
        <f aca="false">O644*'Price Groups'!$B$5</f>
        <v>31.275</v>
      </c>
      <c r="Q644" s="26" t="n">
        <f aca="false">IF(OR(N644="",P644=""),"",(N644-P644)/N644)</f>
        <v>0.217929482370593</v>
      </c>
      <c r="R644" s="27" t="n">
        <v>1</v>
      </c>
      <c r="S644" s="28" t="n">
        <f aca="false">IF(R644="-",0,IFERROR(VLOOKUP(R644,'Price Groups'!$A$13:$C$17,3,FALSE()),0))</f>
        <v>0.22</v>
      </c>
      <c r="T644" s="22" t="n">
        <f aca="false">IF(OR(N644="",R644="-"),"",CEILING(ROUND(N644*(1+S644),2),IF(N644*(1+S644)&lt;100,0.5,IF(N644*(1+S644)&lt;1000,1,5))))</f>
        <v>49</v>
      </c>
      <c r="U644" s="26" t="n">
        <f aca="false">IF(OR(T644="",P644=""),"",(T644-P644)/T644)</f>
        <v>0.361734693877551</v>
      </c>
      <c r="V644" s="26" t="n">
        <f aca="false">IF(T644="",0,T644/N644-1)</f>
        <v>0.225306326581645</v>
      </c>
      <c r="W644" s="19" t="s">
        <v>423</v>
      </c>
    </row>
    <row r="645" customFormat="false" ht="15" hidden="false" customHeight="false" outlineLevel="0" collapsed="false">
      <c r="A645" s="38" t="n">
        <v>594</v>
      </c>
      <c r="B645" s="38" t="s">
        <v>807</v>
      </c>
      <c r="C645" s="38" t="s">
        <v>57</v>
      </c>
      <c r="D645" s="38"/>
      <c r="E645" s="38" t="s">
        <v>58</v>
      </c>
      <c r="F645" s="39" t="n">
        <v>20</v>
      </c>
      <c r="G645" s="39" t="n">
        <v>19</v>
      </c>
      <c r="H645" s="40" t="n">
        <v>2199.78</v>
      </c>
      <c r="I645" s="40" t="n">
        <v>-9.99</v>
      </c>
      <c r="J645" s="40" t="n">
        <v>-199.98</v>
      </c>
      <c r="K645" s="41" t="n">
        <f aca="false">H645+I645+J645</f>
        <v>1989.81</v>
      </c>
      <c r="L645" s="42" t="n">
        <f aca="false">IF($K$1282=0,0,K645/$K$1282)</f>
        <v>0.000164832751778783</v>
      </c>
      <c r="M645" s="43" t="n">
        <f aca="false">IF(F645&lt;=0,0,K645/F645)</f>
        <v>99.4905</v>
      </c>
      <c r="N645" s="40" t="n">
        <v>99.99</v>
      </c>
      <c r="O645" s="44" t="n">
        <v>2.16</v>
      </c>
      <c r="P645" s="43" t="n">
        <f aca="false">O645*'Price Groups'!$B$5</f>
        <v>48.6</v>
      </c>
      <c r="Q645" s="45" t="n">
        <f aca="false">IF(OR(N645="",P645=""),"",(N645-P645)/N645)</f>
        <v>0.513951395139514</v>
      </c>
      <c r="R645" s="46" t="n">
        <v>1</v>
      </c>
      <c r="S645" s="47" t="n">
        <f aca="false">IF(R645="-",0,IFERROR(VLOOKUP(R645,'Price Groups'!$A$13:$C$17,3,FALSE()),0))</f>
        <v>0.22</v>
      </c>
      <c r="T645" s="41" t="n">
        <f aca="false">IF(OR(N645="",R645="-"),"",CEILING(ROUND(N645*(1+S645),2),IF(N645*(1+S645)&lt;100,0.5,IF(N645*(1+S645)&lt;1000,1,5))))</f>
        <v>122</v>
      </c>
      <c r="U645" s="45" t="n">
        <f aca="false">IF(OR(T645="",P645=""),"",(T645-P645)/T645)</f>
        <v>0.601639344262295</v>
      </c>
      <c r="V645" s="45" t="n">
        <f aca="false">IF(T645="",0,T645/N645-1)</f>
        <v>0.22012201220122</v>
      </c>
      <c r="W645" s="38" t="s">
        <v>94</v>
      </c>
    </row>
    <row r="646" customFormat="false" ht="15" hidden="false" customHeight="false" outlineLevel="0" collapsed="false">
      <c r="A646" s="19" t="n">
        <v>595</v>
      </c>
      <c r="B646" s="19" t="s">
        <v>808</v>
      </c>
      <c r="C646" s="19" t="s">
        <v>57</v>
      </c>
      <c r="D646" s="19"/>
      <c r="E646" s="19" t="s">
        <v>58</v>
      </c>
      <c r="F646" s="20" t="n">
        <v>20</v>
      </c>
      <c r="G646" s="20" t="n">
        <v>15</v>
      </c>
      <c r="H646" s="21" t="n">
        <v>689.77</v>
      </c>
      <c r="I646" s="21" t="n">
        <v>0</v>
      </c>
      <c r="J646" s="21" t="n">
        <v>-89.97</v>
      </c>
      <c r="K646" s="22" t="n">
        <f aca="false">H646+I646+J646</f>
        <v>599.8</v>
      </c>
      <c r="L646" s="23" t="n">
        <f aca="false">IF($K$1282=0,0,K646/$K$1282)</f>
        <v>4.96864949502285E-005</v>
      </c>
      <c r="M646" s="24" t="n">
        <f aca="false">IF(F646&lt;=0,0,K646/F646)</f>
        <v>29.99</v>
      </c>
      <c r="N646" s="21" t="n">
        <v>29.99</v>
      </c>
      <c r="O646" s="49" t="n">
        <v>1</v>
      </c>
      <c r="P646" s="24" t="n">
        <f aca="false">O646*'Price Groups'!$B$5</f>
        <v>22.5</v>
      </c>
      <c r="Q646" s="26" t="n">
        <f aca="false">IF(OR(N646="",P646=""),"",(N646-P646)/N646)</f>
        <v>0.24974991663888</v>
      </c>
      <c r="R646" s="27" t="n">
        <v>1</v>
      </c>
      <c r="S646" s="28" t="n">
        <f aca="false">IF(R646="-",0,IFERROR(VLOOKUP(R646,'Price Groups'!$A$13:$C$17,3,FALSE()),0))</f>
        <v>0.22</v>
      </c>
      <c r="T646" s="22" t="n">
        <f aca="false">IF(OR(N646="",R646="-"),"",CEILING(ROUND(N646*(1+S646),2),IF(N646*(1+S646)&lt;100,0.5,IF(N646*(1+S646)&lt;1000,1,5))))</f>
        <v>37</v>
      </c>
      <c r="U646" s="26" t="n">
        <f aca="false">IF(OR(T646="",P646=""),"",(T646-P646)/T646)</f>
        <v>0.391891891891892</v>
      </c>
      <c r="V646" s="26" t="n">
        <f aca="false">IF(T646="",0,T646/N646-1)</f>
        <v>0.233744581527176</v>
      </c>
      <c r="W646" s="19" t="s">
        <v>267</v>
      </c>
    </row>
    <row r="647" customFormat="false" ht="15" hidden="false" customHeight="false" outlineLevel="0" collapsed="false">
      <c r="A647" s="38" t="n">
        <v>596</v>
      </c>
      <c r="B647" s="38" t="s">
        <v>809</v>
      </c>
      <c r="C647" s="38" t="s">
        <v>57</v>
      </c>
      <c r="D647" s="38"/>
      <c r="E647" s="38" t="s">
        <v>58</v>
      </c>
      <c r="F647" s="39" t="n">
        <v>20</v>
      </c>
      <c r="G647" s="39" t="n">
        <v>17</v>
      </c>
      <c r="H647" s="40" t="n">
        <v>6568.93</v>
      </c>
      <c r="I647" s="40" t="n">
        <v>-49.98</v>
      </c>
      <c r="J647" s="40" t="n">
        <v>-1749.93</v>
      </c>
      <c r="K647" s="41" t="n">
        <f aca="false">H647+I647+J647</f>
        <v>4769.02</v>
      </c>
      <c r="L647" s="42" t="n">
        <f aca="false">IF($K$1282=0,0,K647/$K$1282)</f>
        <v>0.000395058166301332</v>
      </c>
      <c r="M647" s="43" t="n">
        <f aca="false">IF(F647&lt;=0,0,K647/F647)</f>
        <v>238.451</v>
      </c>
      <c r="N647" s="40" t="n">
        <v>249.99</v>
      </c>
      <c r="O647" s="44" t="n">
        <v>7.3</v>
      </c>
      <c r="P647" s="43" t="n">
        <f aca="false">O647*'Price Groups'!$B$5</f>
        <v>164.25</v>
      </c>
      <c r="Q647" s="45" t="n">
        <f aca="false">IF(OR(N647="",P647=""),"",(N647-P647)/N647)</f>
        <v>0.342973718948758</v>
      </c>
      <c r="R647" s="46" t="n">
        <v>1</v>
      </c>
      <c r="S647" s="47" t="n">
        <f aca="false">IF(R647="-",0,IFERROR(VLOOKUP(R647,'Price Groups'!$A$13:$C$17,3,FALSE()),0))</f>
        <v>0.22</v>
      </c>
      <c r="T647" s="41" t="n">
        <f aca="false">IF(OR(N647="",R647="-"),"",CEILING(ROUND(N647*(1+S647),2),IF(N647*(1+S647)&lt;100,0.5,IF(N647*(1+S647)&lt;1000,1,5))))</f>
        <v>305</v>
      </c>
      <c r="U647" s="45" t="n">
        <f aca="false">IF(OR(T647="",P647=""),"",(T647-P647)/T647)</f>
        <v>0.461475409836066</v>
      </c>
      <c r="V647" s="45" t="n">
        <f aca="false">IF(T647="",0,T647/N647-1)</f>
        <v>0.220048801952078</v>
      </c>
      <c r="W647" s="38" t="s">
        <v>94</v>
      </c>
    </row>
    <row r="648" customFormat="false" ht="15" hidden="false" customHeight="false" outlineLevel="0" collapsed="false">
      <c r="A648" s="19" t="n">
        <v>597</v>
      </c>
      <c r="B648" s="19" t="s">
        <v>810</v>
      </c>
      <c r="C648" s="19" t="s">
        <v>57</v>
      </c>
      <c r="D648" s="19"/>
      <c r="E648" s="19" t="s">
        <v>58</v>
      </c>
      <c r="F648" s="20" t="n">
        <v>20</v>
      </c>
      <c r="G648" s="20" t="n">
        <v>14</v>
      </c>
      <c r="H648" s="21" t="n">
        <v>1532.32</v>
      </c>
      <c r="I648" s="21" t="n">
        <v>-7.9</v>
      </c>
      <c r="J648" s="21" t="n">
        <v>-150.1</v>
      </c>
      <c r="K648" s="22" t="n">
        <f aca="false">H648+I648+J648</f>
        <v>1374.32</v>
      </c>
      <c r="L648" s="23" t="n">
        <f aca="false">IF($K$1282=0,0,K648/$K$1282)</f>
        <v>0.000113846521740577</v>
      </c>
      <c r="M648" s="24" t="n">
        <f aca="false">IF(F648&lt;=0,0,K648/F648)</f>
        <v>68.716</v>
      </c>
      <c r="N648" s="21" t="n">
        <v>79.99</v>
      </c>
      <c r="O648" s="49" t="n">
        <v>1.76</v>
      </c>
      <c r="P648" s="24" t="n">
        <f aca="false">O648*'Price Groups'!$B$5</f>
        <v>39.6</v>
      </c>
      <c r="Q648" s="26" t="n">
        <f aca="false">IF(OR(N648="",P648=""),"",(N648-P648)/N648)</f>
        <v>0.504938117264658</v>
      </c>
      <c r="R648" s="27" t="n">
        <v>1</v>
      </c>
      <c r="S648" s="28" t="n">
        <f aca="false">IF(R648="-",0,IFERROR(VLOOKUP(R648,'Price Groups'!$A$13:$C$17,3,FALSE()),0))</f>
        <v>0.22</v>
      </c>
      <c r="T648" s="22" t="n">
        <f aca="false">IF(OR(N648="",R648="-"),"",CEILING(ROUND(N648*(1+S648),2),IF(N648*(1+S648)&lt;100,0.5,IF(N648*(1+S648)&lt;1000,1,5))))</f>
        <v>98</v>
      </c>
      <c r="U648" s="26" t="n">
        <f aca="false">IF(OR(T648="",P648=""),"",(T648-P648)/T648)</f>
        <v>0.595918367346939</v>
      </c>
      <c r="V648" s="26" t="n">
        <f aca="false">IF(T648="",0,T648/N648-1)</f>
        <v>0.225153144143018</v>
      </c>
      <c r="W648" s="19" t="s">
        <v>94</v>
      </c>
    </row>
    <row r="649" customFormat="false" ht="15" hidden="false" customHeight="false" outlineLevel="0" collapsed="false">
      <c r="A649" s="38" t="n">
        <v>598</v>
      </c>
      <c r="B649" s="38" t="s">
        <v>811</v>
      </c>
      <c r="C649" s="38" t="s">
        <v>57</v>
      </c>
      <c r="D649" s="38"/>
      <c r="E649" s="38" t="s">
        <v>58</v>
      </c>
      <c r="F649" s="39" t="n">
        <v>20</v>
      </c>
      <c r="G649" s="39" t="n">
        <v>21</v>
      </c>
      <c r="H649" s="40" t="n">
        <v>426.75</v>
      </c>
      <c r="I649" s="40" t="n">
        <v>-3.69</v>
      </c>
      <c r="J649" s="40" t="n">
        <v>-97.9</v>
      </c>
      <c r="K649" s="41" t="n">
        <f aca="false">H649+I649+J649</f>
        <v>325.16</v>
      </c>
      <c r="L649" s="42" t="n">
        <f aca="false">IF($K$1282=0,0,K649/$K$1282)</f>
        <v>2.69357464121645E-005</v>
      </c>
      <c r="M649" s="43" t="n">
        <f aca="false">IF(F649&lt;=0,0,K649/F649)</f>
        <v>16.258</v>
      </c>
      <c r="N649" s="40" t="n">
        <v>12</v>
      </c>
      <c r="O649" s="44" t="n">
        <v>0.47</v>
      </c>
      <c r="P649" s="43" t="n">
        <f aca="false">O649*'Price Groups'!$B$5</f>
        <v>10.575</v>
      </c>
      <c r="Q649" s="45" t="n">
        <f aca="false">IF(OR(N649="",P649=""),"",(N649-P649)/N649)</f>
        <v>0.11875</v>
      </c>
      <c r="R649" s="46" t="n">
        <v>1</v>
      </c>
      <c r="S649" s="47" t="n">
        <f aca="false">IF(R649="-",0,IFERROR(VLOOKUP(R649,'Price Groups'!$A$13:$C$17,3,FALSE()),0))</f>
        <v>0.22</v>
      </c>
      <c r="T649" s="41" t="n">
        <f aca="false">IF(OR(N649="",R649="-"),"",CEILING(ROUND(N649*(1+S649),2),IF(N649*(1+S649)&lt;100,0.5,IF(N649*(1+S649)&lt;1000,1,5))))</f>
        <v>15</v>
      </c>
      <c r="U649" s="45" t="n">
        <f aca="false">IF(OR(T649="",P649=""),"",(T649-P649)/T649)</f>
        <v>0.295</v>
      </c>
      <c r="V649" s="45" t="n">
        <f aca="false">IF(T649="",0,T649/N649-1)</f>
        <v>0.25</v>
      </c>
      <c r="W649" s="38" t="s">
        <v>473</v>
      </c>
    </row>
    <row r="650" customFormat="false" ht="15" hidden="false" customHeight="false" outlineLevel="0" collapsed="false">
      <c r="A650" s="19" t="n">
        <v>599</v>
      </c>
      <c r="B650" s="19" t="s">
        <v>812</v>
      </c>
      <c r="C650" s="19" t="s">
        <v>57</v>
      </c>
      <c r="D650" s="19"/>
      <c r="E650" s="19" t="s">
        <v>58</v>
      </c>
      <c r="F650" s="20" t="n">
        <v>20</v>
      </c>
      <c r="G650" s="20" t="n">
        <v>18</v>
      </c>
      <c r="H650" s="21" t="n">
        <v>5399.76</v>
      </c>
      <c r="I650" s="21" t="n">
        <v>-0.42</v>
      </c>
      <c r="J650" s="21" t="n">
        <v>-899.96</v>
      </c>
      <c r="K650" s="22" t="n">
        <f aca="false">H650+I650+J650</f>
        <v>4499.38</v>
      </c>
      <c r="L650" s="23" t="n">
        <f aca="false">IF($K$1282=0,0,K650/$K$1282)</f>
        <v>0.000372721609951916</v>
      </c>
      <c r="M650" s="24" t="n">
        <f aca="false">IF(F650&lt;=0,0,K650/F650)</f>
        <v>224.969</v>
      </c>
      <c r="N650" s="21" t="n">
        <v>199.99</v>
      </c>
      <c r="O650" s="49" t="n">
        <v>6.31</v>
      </c>
      <c r="P650" s="24" t="n">
        <f aca="false">O650*'Price Groups'!$B$5</f>
        <v>141.975</v>
      </c>
      <c r="Q650" s="26" t="n">
        <f aca="false">IF(OR(N650="",P650=""),"",(N650-P650)/N650)</f>
        <v>0.290089504475224</v>
      </c>
      <c r="R650" s="27" t="n">
        <v>1</v>
      </c>
      <c r="S650" s="28" t="n">
        <f aca="false">IF(R650="-",0,IFERROR(VLOOKUP(R650,'Price Groups'!$A$13:$C$17,3,FALSE()),0))</f>
        <v>0.22</v>
      </c>
      <c r="T650" s="22" t="n">
        <f aca="false">IF(OR(N650="",R650="-"),"",CEILING(ROUND(N650*(1+S650),2),IF(N650*(1+S650)&lt;100,0.5,IF(N650*(1+S650)&lt;1000,1,5))))</f>
        <v>244</v>
      </c>
      <c r="U650" s="26" t="n">
        <f aca="false">IF(OR(T650="",P650=""),"",(T650-P650)/T650)</f>
        <v>0.418135245901639</v>
      </c>
      <c r="V650" s="26" t="n">
        <f aca="false">IF(T650="",0,T650/N650-1)</f>
        <v>0.220061003050152</v>
      </c>
      <c r="W650" s="19" t="s">
        <v>94</v>
      </c>
    </row>
    <row r="651" customFormat="false" ht="15" hidden="false" customHeight="false" outlineLevel="0" collapsed="false">
      <c r="A651" s="38" t="n">
        <v>600</v>
      </c>
      <c r="B651" s="38" t="s">
        <v>813</v>
      </c>
      <c r="C651" s="38" t="s">
        <v>57</v>
      </c>
      <c r="D651" s="38"/>
      <c r="E651" s="38" t="s">
        <v>58</v>
      </c>
      <c r="F651" s="39" t="n">
        <v>20</v>
      </c>
      <c r="G651" s="39" t="n">
        <v>22</v>
      </c>
      <c r="H651" s="40" t="n">
        <v>6075</v>
      </c>
      <c r="I651" s="40" t="n">
        <v>-27.9</v>
      </c>
      <c r="J651" s="40" t="n">
        <v>-1215</v>
      </c>
      <c r="K651" s="41" t="n">
        <f aca="false">H651+I651+J651</f>
        <v>4832.1</v>
      </c>
      <c r="L651" s="42" t="n">
        <f aca="false">IF($K$1282=0,0,K651/$K$1282)</f>
        <v>0.000400283614953316</v>
      </c>
      <c r="M651" s="43" t="n">
        <f aca="false">IF(F651&lt;=0,0,K651/F651)</f>
        <v>241.605</v>
      </c>
      <c r="N651" s="40" t="n">
        <v>279</v>
      </c>
      <c r="O651" s="44" t="n">
        <v>7.54</v>
      </c>
      <c r="P651" s="43" t="n">
        <f aca="false">O651*'Price Groups'!$B$5</f>
        <v>169.65</v>
      </c>
      <c r="Q651" s="45" t="n">
        <f aca="false">IF(OR(N651="",P651=""),"",(N651-P651)/N651)</f>
        <v>0.391935483870968</v>
      </c>
      <c r="R651" s="46" t="n">
        <v>1</v>
      </c>
      <c r="S651" s="47" t="n">
        <f aca="false">IF(R651="-",0,IFERROR(VLOOKUP(R651,'Price Groups'!$A$13:$C$17,3,FALSE()),0))</f>
        <v>0.22</v>
      </c>
      <c r="T651" s="41" t="n">
        <f aca="false">IF(OR(N651="",R651="-"),"",CEILING(ROUND(N651*(1+S651),2),IF(N651*(1+S651)&lt;100,0.5,IF(N651*(1+S651)&lt;1000,1,5))))</f>
        <v>341</v>
      </c>
      <c r="U651" s="45" t="n">
        <f aca="false">IF(OR(T651="",P651=""),"",(T651-P651)/T651)</f>
        <v>0.502492668621701</v>
      </c>
      <c r="V651" s="45" t="n">
        <f aca="false">IF(T651="",0,T651/N651-1)</f>
        <v>0.222222222222222</v>
      </c>
      <c r="W651" s="38" t="s">
        <v>94</v>
      </c>
    </row>
    <row r="652" customFormat="false" ht="15" hidden="false" customHeight="false" outlineLevel="0" collapsed="false">
      <c r="A652" s="19" t="n">
        <v>601</v>
      </c>
      <c r="B652" s="19" t="s">
        <v>814</v>
      </c>
      <c r="C652" s="19" t="s">
        <v>57</v>
      </c>
      <c r="D652" s="19"/>
      <c r="E652" s="19" t="s">
        <v>58</v>
      </c>
      <c r="F652" s="20" t="n">
        <v>20</v>
      </c>
      <c r="G652" s="20" t="n">
        <v>19</v>
      </c>
      <c r="H652" s="21" t="n">
        <v>2711.4</v>
      </c>
      <c r="I652" s="21" t="n">
        <v>0</v>
      </c>
      <c r="J652" s="21" t="n">
        <v>-358.66</v>
      </c>
      <c r="K652" s="22" t="n">
        <f aca="false">H652+I652+J652</f>
        <v>2352.74</v>
      </c>
      <c r="L652" s="23" t="n">
        <f aca="false">IF($K$1282=0,0,K652/$K$1282)</f>
        <v>0.000194897305983996</v>
      </c>
      <c r="M652" s="24" t="n">
        <f aca="false">IF(F652&lt;=0,0,K652/F652)</f>
        <v>117.637</v>
      </c>
      <c r="N652" s="21" t="n">
        <v>119.83</v>
      </c>
      <c r="O652" s="49" t="n">
        <v>3.05</v>
      </c>
      <c r="P652" s="24" t="n">
        <f aca="false">O652*'Price Groups'!$B$5</f>
        <v>68.625</v>
      </c>
      <c r="Q652" s="26" t="n">
        <f aca="false">IF(OR(N652="",P652=""),"",(N652-P652)/N652)</f>
        <v>0.427313694400401</v>
      </c>
      <c r="R652" s="27" t="n">
        <v>1</v>
      </c>
      <c r="S652" s="28" t="n">
        <f aca="false">IF(R652="-",0,IFERROR(VLOOKUP(R652,'Price Groups'!$A$13:$C$17,3,FALSE()),0))</f>
        <v>0.22</v>
      </c>
      <c r="T652" s="22" t="n">
        <f aca="false">IF(OR(N652="",R652="-"),"",CEILING(ROUND(N652*(1+S652),2),IF(N652*(1+S652)&lt;100,0.5,IF(N652*(1+S652)&lt;1000,1,5))))</f>
        <v>147</v>
      </c>
      <c r="U652" s="26" t="n">
        <f aca="false">IF(OR(T652="",P652=""),"",(T652-P652)/T652)</f>
        <v>0.533163265306123</v>
      </c>
      <c r="V652" s="26" t="n">
        <f aca="false">IF(T652="",0,T652/N652-1)</f>
        <v>0.226737878661437</v>
      </c>
      <c r="W652" s="19" t="s">
        <v>94</v>
      </c>
    </row>
    <row r="653" customFormat="false" ht="15" hidden="false" customHeight="false" outlineLevel="0" collapsed="false">
      <c r="A653" s="38" t="n">
        <v>602</v>
      </c>
      <c r="B653" s="38" t="s">
        <v>815</v>
      </c>
      <c r="C653" s="38" t="s">
        <v>57</v>
      </c>
      <c r="D653" s="38"/>
      <c r="E653" s="38" t="s">
        <v>58</v>
      </c>
      <c r="F653" s="39" t="n">
        <v>20</v>
      </c>
      <c r="G653" s="39" t="n">
        <v>6</v>
      </c>
      <c r="H653" s="40" t="n">
        <v>599.8</v>
      </c>
      <c r="I653" s="40" t="n">
        <v>0</v>
      </c>
      <c r="J653" s="40" t="n">
        <v>0</v>
      </c>
      <c r="K653" s="41" t="n">
        <f aca="false">H653+I653+J653</f>
        <v>599.8</v>
      </c>
      <c r="L653" s="42" t="n">
        <f aca="false">IF($K$1282=0,0,K653/$K$1282)</f>
        <v>4.96864949502285E-005</v>
      </c>
      <c r="M653" s="43" t="n">
        <f aca="false">IF(F653&lt;=0,0,K653/F653)</f>
        <v>29.99</v>
      </c>
      <c r="N653" s="40" t="n">
        <v>29.99</v>
      </c>
      <c r="O653" s="44" t="n">
        <v>0.49</v>
      </c>
      <c r="P653" s="43" t="n">
        <f aca="false">O653*'Price Groups'!$B$5</f>
        <v>11.025</v>
      </c>
      <c r="Q653" s="45" t="n">
        <f aca="false">IF(OR(N653="",P653=""),"",(N653-P653)/N653)</f>
        <v>0.632377459153051</v>
      </c>
      <c r="R653" s="46" t="n">
        <v>1</v>
      </c>
      <c r="S653" s="47" t="n">
        <f aca="false">IF(R653="-",0,IFERROR(VLOOKUP(R653,'Price Groups'!$A$13:$C$17,3,FALSE()),0))</f>
        <v>0.22</v>
      </c>
      <c r="T653" s="41" t="n">
        <f aca="false">IF(OR(N653="",R653="-"),"",CEILING(ROUND(N653*(1+S653),2),IF(N653*(1+S653)&lt;100,0.5,IF(N653*(1+S653)&lt;1000,1,5))))</f>
        <v>37</v>
      </c>
      <c r="U653" s="45" t="n">
        <f aca="false">IF(OR(T653="",P653=""),"",(T653-P653)/T653)</f>
        <v>0.702027027027027</v>
      </c>
      <c r="V653" s="45" t="n">
        <f aca="false">IF(T653="",0,T653/N653-1)</f>
        <v>0.233744581527176</v>
      </c>
      <c r="W653" s="38" t="s">
        <v>94</v>
      </c>
    </row>
    <row r="654" customFormat="false" ht="15" hidden="false" customHeight="false" outlineLevel="0" collapsed="false">
      <c r="A654" s="19" t="n">
        <v>603</v>
      </c>
      <c r="B654" s="19" t="s">
        <v>816</v>
      </c>
      <c r="C654" s="19" t="s">
        <v>57</v>
      </c>
      <c r="D654" s="19"/>
      <c r="E654" s="19" t="s">
        <v>58</v>
      </c>
      <c r="F654" s="20" t="n">
        <v>20</v>
      </c>
      <c r="G654" s="20" t="n">
        <v>17</v>
      </c>
      <c r="H654" s="21" t="n">
        <v>21727</v>
      </c>
      <c r="I654" s="21" t="n">
        <v>-16.53</v>
      </c>
      <c r="J654" s="21" t="n">
        <v>0</v>
      </c>
      <c r="K654" s="22" t="n">
        <f aca="false">H654+I654+J654</f>
        <v>21710.47</v>
      </c>
      <c r="L654" s="23" t="n">
        <f aca="false">IF($K$1282=0,0,K654/$K$1282)</f>
        <v>0.00179846141717587</v>
      </c>
      <c r="M654" s="24" t="n">
        <f aca="false">IF(F654&lt;=0,0,K654/F654)</f>
        <v>1085.5235</v>
      </c>
      <c r="N654" s="21" t="n">
        <v>2100</v>
      </c>
      <c r="O654" s="49" t="n">
        <v>52.9</v>
      </c>
      <c r="P654" s="24" t="n">
        <f aca="false">O654*'Price Groups'!$B$5</f>
        <v>1190.25</v>
      </c>
      <c r="Q654" s="26" t="n">
        <f aca="false">IF(OR(N654="",P654=""),"",(N654-P654)/N654)</f>
        <v>0.433214285714286</v>
      </c>
      <c r="R654" s="27" t="n">
        <v>3</v>
      </c>
      <c r="S654" s="28" t="n">
        <f aca="false">IF(R654="-",0,IFERROR(VLOOKUP(R654,'Price Groups'!$A$13:$C$17,3,FALSE()),0))</f>
        <v>0.16</v>
      </c>
      <c r="T654" s="22" t="n">
        <f aca="false">IF(OR(N654="",R654="-"),"",CEILING(ROUND(N654*(1+S654),2),IF(N654*(1+S654)&lt;100,0.5,IF(N654*(1+S654)&lt;1000,1,5))))</f>
        <v>2440</v>
      </c>
      <c r="U654" s="26" t="n">
        <f aca="false">IF(OR(T654="",P654=""),"",(T654-P654)/T654)</f>
        <v>0.51219262295082</v>
      </c>
      <c r="V654" s="26" t="n">
        <f aca="false">IF(T654="",0,T654/N654-1)</f>
        <v>0.161904761904762</v>
      </c>
      <c r="W654" s="19" t="s">
        <v>107</v>
      </c>
    </row>
    <row r="655" customFormat="false" ht="15" hidden="false" customHeight="false" outlineLevel="0" collapsed="false">
      <c r="A655" s="38" t="n">
        <v>604</v>
      </c>
      <c r="B655" s="38" t="s">
        <v>817</v>
      </c>
      <c r="C655" s="38" t="s">
        <v>57</v>
      </c>
      <c r="D655" s="38"/>
      <c r="E655" s="38" t="s">
        <v>58</v>
      </c>
      <c r="F655" s="39" t="n">
        <v>20</v>
      </c>
      <c r="G655" s="39" t="n">
        <v>20</v>
      </c>
      <c r="H655" s="40" t="n">
        <v>1238.63</v>
      </c>
      <c r="I655" s="40" t="n">
        <v>-46.48</v>
      </c>
      <c r="J655" s="40" t="n">
        <v>-109.35</v>
      </c>
      <c r="K655" s="41" t="n">
        <f aca="false">H655+I655+J655</f>
        <v>1082.8</v>
      </c>
      <c r="L655" s="42" t="n">
        <f aca="false">IF($K$1282=0,0,K655/$K$1282)</f>
        <v>8.96974603736369E-005</v>
      </c>
      <c r="M655" s="43" t="n">
        <f aca="false">IF(F655&lt;=0,0,K655/F655)</f>
        <v>54.14</v>
      </c>
      <c r="N655" s="40" t="n">
        <v>39.99</v>
      </c>
      <c r="O655" s="44" t="n">
        <v>1.5</v>
      </c>
      <c r="P655" s="43" t="n">
        <f aca="false">O655*'Price Groups'!$B$5</f>
        <v>33.75</v>
      </c>
      <c r="Q655" s="45" t="n">
        <f aca="false">IF(OR(N655="",P655=""),"",(N655-P655)/N655)</f>
        <v>0.156039009752438</v>
      </c>
      <c r="R655" s="46" t="n">
        <v>1</v>
      </c>
      <c r="S655" s="47" t="n">
        <f aca="false">IF(R655="-",0,IFERROR(VLOOKUP(R655,'Price Groups'!$A$13:$C$17,3,FALSE()),0))</f>
        <v>0.22</v>
      </c>
      <c r="T655" s="41" t="n">
        <f aca="false">IF(OR(N655="",R655="-"),"",CEILING(ROUND(N655*(1+S655),2),IF(N655*(1+S655)&lt;100,0.5,IF(N655*(1+S655)&lt;1000,1,5))))</f>
        <v>49</v>
      </c>
      <c r="U655" s="45" t="n">
        <f aca="false">IF(OR(T655="",P655=""),"",(T655-P655)/T655)</f>
        <v>0.311224489795918</v>
      </c>
      <c r="V655" s="45" t="n">
        <f aca="false">IF(T655="",0,T655/N655-1)</f>
        <v>0.225306326581645</v>
      </c>
      <c r="W655" s="38" t="s">
        <v>690</v>
      </c>
    </row>
    <row r="656" customFormat="false" ht="15" hidden="false" customHeight="false" outlineLevel="0" collapsed="false">
      <c r="A656" s="19" t="n">
        <v>605</v>
      </c>
      <c r="B656" s="19" t="s">
        <v>818</v>
      </c>
      <c r="C656" s="19" t="s">
        <v>57</v>
      </c>
      <c r="D656" s="19"/>
      <c r="E656" s="19" t="s">
        <v>58</v>
      </c>
      <c r="F656" s="20" t="n">
        <v>20</v>
      </c>
      <c r="G656" s="20" t="n">
        <v>17</v>
      </c>
      <c r="H656" s="21" t="n">
        <v>1348.51</v>
      </c>
      <c r="I656" s="21" t="n">
        <v>-6.49</v>
      </c>
      <c r="J656" s="21" t="n">
        <v>-124.97</v>
      </c>
      <c r="K656" s="22" t="n">
        <f aca="false">H656+I656+J656</f>
        <v>1217.05</v>
      </c>
      <c r="L656" s="23" t="n">
        <f aca="false">IF($K$1282=0,0,K656/$K$1282)</f>
        <v>0.000100818520638839</v>
      </c>
      <c r="M656" s="24" t="n">
        <f aca="false">IF(F656&lt;=0,0,K656/F656)</f>
        <v>60.8525</v>
      </c>
      <c r="N656" s="21" t="n">
        <v>29.99</v>
      </c>
      <c r="O656" s="49" t="n">
        <v>1.5</v>
      </c>
      <c r="P656" s="24" t="n">
        <f aca="false">O656*'Price Groups'!$B$5</f>
        <v>33.75</v>
      </c>
      <c r="Q656" s="26" t="n">
        <f aca="false">IF(OR(N656="",P656=""),"",(N656-P656)/N656)</f>
        <v>-0.125375125041681</v>
      </c>
      <c r="R656" s="27" t="n">
        <v>1</v>
      </c>
      <c r="S656" s="28" t="n">
        <f aca="false">IF(R656="-",0,IFERROR(VLOOKUP(R656,'Price Groups'!$A$13:$C$17,3,FALSE()),0))</f>
        <v>0.22</v>
      </c>
      <c r="T656" s="22" t="n">
        <f aca="false">IF(OR(N656="",R656="-"),"",CEILING(ROUND(N656*(1+S656),2),IF(N656*(1+S656)&lt;100,0.5,IF(N656*(1+S656)&lt;1000,1,5))))</f>
        <v>37</v>
      </c>
      <c r="U656" s="26" t="n">
        <f aca="false">IF(OR(T656="",P656=""),"",(T656-P656)/T656)</f>
        <v>0.0878378378378378</v>
      </c>
      <c r="V656" s="26" t="n">
        <f aca="false">IF(T656="",0,T656/N656-1)</f>
        <v>0.233744581527176</v>
      </c>
      <c r="W656" s="19" t="s">
        <v>819</v>
      </c>
    </row>
    <row r="657" customFormat="false" ht="15" hidden="false" customHeight="false" outlineLevel="0" collapsed="false">
      <c r="A657" s="38" t="n">
        <v>606</v>
      </c>
      <c r="B657" s="38" t="s">
        <v>820</v>
      </c>
      <c r="C657" s="38" t="s">
        <v>57</v>
      </c>
      <c r="D657" s="38"/>
      <c r="E657" s="38" t="s">
        <v>58</v>
      </c>
      <c r="F657" s="39" t="n">
        <v>19</v>
      </c>
      <c r="G657" s="39" t="n">
        <v>15</v>
      </c>
      <c r="H657" s="40" t="n">
        <v>7011</v>
      </c>
      <c r="I657" s="40" t="n">
        <v>-0.4</v>
      </c>
      <c r="J657" s="40" t="n">
        <v>-349</v>
      </c>
      <c r="K657" s="41" t="n">
        <f aca="false">H657+I657+J657</f>
        <v>6661.6</v>
      </c>
      <c r="L657" s="42" t="n">
        <f aca="false">IF($K$1282=0,0,K657/$K$1282)</f>
        <v>0.000551836536779663</v>
      </c>
      <c r="M657" s="43" t="n">
        <f aca="false">IF(F657&lt;=0,0,K657/F657)</f>
        <v>350.61052631579</v>
      </c>
      <c r="N657" s="40" t="n">
        <v>380</v>
      </c>
      <c r="O657" s="44" t="n">
        <v>10.5</v>
      </c>
      <c r="P657" s="43" t="n">
        <f aca="false">O657*'Price Groups'!$B$5</f>
        <v>236.25</v>
      </c>
      <c r="Q657" s="45" t="n">
        <f aca="false">IF(OR(N657="",P657=""),"",(N657-P657)/N657)</f>
        <v>0.378289473684211</v>
      </c>
      <c r="R657" s="46" t="n">
        <v>1</v>
      </c>
      <c r="S657" s="47" t="n">
        <f aca="false">IF(R657="-",0,IFERROR(VLOOKUP(R657,'Price Groups'!$A$13:$C$17,3,FALSE()),0))</f>
        <v>0.22</v>
      </c>
      <c r="T657" s="41" t="n">
        <f aca="false">IF(OR(N657="",R657="-"),"",CEILING(ROUND(N657*(1+S657),2),IF(N657*(1+S657)&lt;100,0.5,IF(N657*(1+S657)&lt;1000,1,5))))</f>
        <v>464</v>
      </c>
      <c r="U657" s="45" t="n">
        <f aca="false">IF(OR(T657="",P657=""),"",(T657-P657)/T657)</f>
        <v>0.490840517241379</v>
      </c>
      <c r="V657" s="45" t="n">
        <f aca="false">IF(T657="",0,T657/N657-1)</f>
        <v>0.221052631578947</v>
      </c>
      <c r="W657" s="38" t="s">
        <v>94</v>
      </c>
    </row>
    <row r="658" customFormat="false" ht="15" hidden="false" customHeight="false" outlineLevel="0" collapsed="false">
      <c r="A658" s="19" t="n">
        <v>607</v>
      </c>
      <c r="B658" s="19" t="s">
        <v>821</v>
      </c>
      <c r="C658" s="19" t="s">
        <v>57</v>
      </c>
      <c r="D658" s="19"/>
      <c r="E658" s="19" t="s">
        <v>58</v>
      </c>
      <c r="F658" s="20" t="n">
        <v>19</v>
      </c>
      <c r="G658" s="20" t="n">
        <v>20</v>
      </c>
      <c r="H658" s="21" t="n">
        <v>1954.8</v>
      </c>
      <c r="I658" s="21" t="n">
        <v>-28.97</v>
      </c>
      <c r="J658" s="21" t="n">
        <v>-94.99</v>
      </c>
      <c r="K658" s="22" t="n">
        <f aca="false">H658+I658+J658</f>
        <v>1830.84</v>
      </c>
      <c r="L658" s="23" t="n">
        <f aca="false">IF($K$1282=0,0,K658/$K$1282)</f>
        <v>0.000151663925332905</v>
      </c>
      <c r="M658" s="24" t="n">
        <f aca="false">IF(F658&lt;=0,0,K658/F658)</f>
        <v>96.36</v>
      </c>
      <c r="N658" s="21" t="n">
        <v>94.99</v>
      </c>
      <c r="O658" s="49" t="n">
        <v>2.77</v>
      </c>
      <c r="P658" s="24" t="n">
        <f aca="false">O658*'Price Groups'!$B$5</f>
        <v>62.325</v>
      </c>
      <c r="Q658" s="26" t="n">
        <f aca="false">IF(OR(N658="",P658=""),"",(N658-P658)/N658)</f>
        <v>0.343878302979261</v>
      </c>
      <c r="R658" s="27" t="n">
        <v>1</v>
      </c>
      <c r="S658" s="28" t="n">
        <f aca="false">IF(R658="-",0,IFERROR(VLOOKUP(R658,'Price Groups'!$A$13:$C$17,3,FALSE()),0))</f>
        <v>0.22</v>
      </c>
      <c r="T658" s="22" t="n">
        <f aca="false">IF(OR(N658="",R658="-"),"",CEILING(ROUND(N658*(1+S658),2),IF(N658*(1+S658)&lt;100,0.5,IF(N658*(1+S658)&lt;1000,1,5))))</f>
        <v>116</v>
      </c>
      <c r="U658" s="26" t="n">
        <f aca="false">IF(OR(T658="",P658=""),"",(T658-P658)/T658)</f>
        <v>0.462715517241379</v>
      </c>
      <c r="V658" s="26" t="n">
        <f aca="false">IF(T658="",0,T658/N658-1)</f>
        <v>0.221181176965997</v>
      </c>
      <c r="W658" s="19" t="s">
        <v>94</v>
      </c>
    </row>
    <row r="659" customFormat="false" ht="15" hidden="false" customHeight="false" outlineLevel="0" collapsed="false">
      <c r="A659" s="38" t="n">
        <v>608</v>
      </c>
      <c r="B659" s="38" t="s">
        <v>822</v>
      </c>
      <c r="C659" s="38" t="s">
        <v>57</v>
      </c>
      <c r="D659" s="38"/>
      <c r="E659" s="38" t="s">
        <v>58</v>
      </c>
      <c r="F659" s="39" t="n">
        <v>19</v>
      </c>
      <c r="G659" s="39" t="n">
        <v>9</v>
      </c>
      <c r="H659" s="40" t="n">
        <v>5532.81</v>
      </c>
      <c r="I659" s="40" t="n">
        <v>0</v>
      </c>
      <c r="J659" s="40" t="n">
        <v>-999.96</v>
      </c>
      <c r="K659" s="41" t="n">
        <f aca="false">H659+I659+J659</f>
        <v>4532.85</v>
      </c>
      <c r="L659" s="42" t="n">
        <f aca="false">IF($K$1282=0,0,K659/$K$1282)</f>
        <v>0.000375494212462726</v>
      </c>
      <c r="M659" s="43" t="n">
        <f aca="false">IF(F659&lt;=0,0,K659/F659)</f>
        <v>238.571052631579</v>
      </c>
      <c r="N659" s="40" t="n">
        <v>249.99</v>
      </c>
      <c r="O659" s="44" t="n">
        <v>7.3</v>
      </c>
      <c r="P659" s="43" t="n">
        <f aca="false">O659*'Price Groups'!$B$5</f>
        <v>164.25</v>
      </c>
      <c r="Q659" s="45" t="n">
        <f aca="false">IF(OR(N659="",P659=""),"",(N659-P659)/N659)</f>
        <v>0.342973718948758</v>
      </c>
      <c r="R659" s="46" t="n">
        <v>1</v>
      </c>
      <c r="S659" s="47" t="n">
        <f aca="false">IF(R659="-",0,IFERROR(VLOOKUP(R659,'Price Groups'!$A$13:$C$17,3,FALSE()),0))</f>
        <v>0.22</v>
      </c>
      <c r="T659" s="41" t="n">
        <f aca="false">IF(OR(N659="",R659="-"),"",CEILING(ROUND(N659*(1+S659),2),IF(N659*(1+S659)&lt;100,0.5,IF(N659*(1+S659)&lt;1000,1,5))))</f>
        <v>305</v>
      </c>
      <c r="U659" s="45" t="n">
        <f aca="false">IF(OR(T659="",P659=""),"",(T659-P659)/T659)</f>
        <v>0.461475409836066</v>
      </c>
      <c r="V659" s="45" t="n">
        <f aca="false">IF(T659="",0,T659/N659-1)</f>
        <v>0.220048801952078</v>
      </c>
      <c r="W659" s="38" t="s">
        <v>94</v>
      </c>
    </row>
    <row r="660" customFormat="false" ht="15" hidden="false" customHeight="false" outlineLevel="0" collapsed="false">
      <c r="A660" s="19" t="n">
        <v>609</v>
      </c>
      <c r="B660" s="19" t="s">
        <v>823</v>
      </c>
      <c r="C660" s="19" t="s">
        <v>57</v>
      </c>
      <c r="D660" s="19"/>
      <c r="E660" s="19" t="s">
        <v>58</v>
      </c>
      <c r="F660" s="20" t="n">
        <v>19</v>
      </c>
      <c r="G660" s="20" t="n">
        <v>16</v>
      </c>
      <c r="H660" s="21" t="n">
        <v>10499.79</v>
      </c>
      <c r="I660" s="21" t="n">
        <v>-155.29</v>
      </c>
      <c r="J660" s="21" t="n">
        <v>-999.98</v>
      </c>
      <c r="K660" s="22" t="n">
        <f aca="false">H660+I660+J660</f>
        <v>9344.52</v>
      </c>
      <c r="L660" s="23" t="n">
        <f aca="false">IF($K$1282=0,0,K660/$K$1282)</f>
        <v>0.000774085438133226</v>
      </c>
      <c r="M660" s="24" t="n">
        <f aca="false">IF(F660&lt;=0,0,K660/F660)</f>
        <v>491.816842105263</v>
      </c>
      <c r="N660" s="21" t="n">
        <v>499.99</v>
      </c>
      <c r="O660" s="49" t="n">
        <v>11.56</v>
      </c>
      <c r="P660" s="24" t="n">
        <f aca="false">O660*'Price Groups'!$B$5</f>
        <v>260.1</v>
      </c>
      <c r="Q660" s="26" t="n">
        <f aca="false">IF(OR(N660="",P660=""),"",(N660-P660)/N660)</f>
        <v>0.479789595791916</v>
      </c>
      <c r="R660" s="27" t="n">
        <v>1</v>
      </c>
      <c r="S660" s="28" t="n">
        <f aca="false">IF(R660="-",0,IFERROR(VLOOKUP(R660,'Price Groups'!$A$13:$C$17,3,FALSE()),0))</f>
        <v>0.22</v>
      </c>
      <c r="T660" s="22" t="n">
        <f aca="false">IF(OR(N660="",R660="-"),"",CEILING(ROUND(N660*(1+S660),2),IF(N660*(1+S660)&lt;100,0.5,IF(N660*(1+S660)&lt;1000,1,5))))</f>
        <v>610</v>
      </c>
      <c r="U660" s="26" t="n">
        <f aca="false">IF(OR(T660="",P660=""),"",(T660-P660)/T660)</f>
        <v>0.573606557377049</v>
      </c>
      <c r="V660" s="26" t="n">
        <f aca="false">IF(T660="",0,T660/N660-1)</f>
        <v>0.22002440048801</v>
      </c>
      <c r="W660" s="19" t="s">
        <v>94</v>
      </c>
    </row>
    <row r="661" customFormat="false" ht="15" hidden="false" customHeight="false" outlineLevel="0" collapsed="false">
      <c r="A661" s="38" t="n">
        <v>610</v>
      </c>
      <c r="B661" s="38" t="s">
        <v>824</v>
      </c>
      <c r="C661" s="38" t="s">
        <v>57</v>
      </c>
      <c r="D661" s="38"/>
      <c r="E661" s="38" t="s">
        <v>58</v>
      </c>
      <c r="F661" s="39" t="n">
        <v>19</v>
      </c>
      <c r="G661" s="39" t="n">
        <v>16</v>
      </c>
      <c r="H661" s="40" t="n">
        <v>1009.77</v>
      </c>
      <c r="I661" s="40" t="n">
        <v>-13.58</v>
      </c>
      <c r="J661" s="40" t="n">
        <v>-179.96</v>
      </c>
      <c r="K661" s="41" t="n">
        <f aca="false">H661+I661+J661</f>
        <v>816.23</v>
      </c>
      <c r="L661" s="42" t="n">
        <f aca="false">IF($K$1282=0,0,K661/$K$1282)</f>
        <v>6.7615218028051E-005</v>
      </c>
      <c r="M661" s="43" t="n">
        <f aca="false">IF(F661&lt;=0,0,K661/F661)</f>
        <v>42.9594736842105</v>
      </c>
      <c r="N661" s="40" t="n">
        <v>39.99</v>
      </c>
      <c r="O661" s="44" t="n">
        <v>0.84</v>
      </c>
      <c r="P661" s="43" t="n">
        <f aca="false">O661*'Price Groups'!$B$5</f>
        <v>18.9</v>
      </c>
      <c r="Q661" s="45" t="n">
        <f aca="false">IF(OR(N661="",P661=""),"",(N661-P661)/N661)</f>
        <v>0.527381845461365</v>
      </c>
      <c r="R661" s="46" t="n">
        <v>1</v>
      </c>
      <c r="S661" s="47" t="n">
        <f aca="false">IF(R661="-",0,IFERROR(VLOOKUP(R661,'Price Groups'!$A$13:$C$17,3,FALSE()),0))</f>
        <v>0.22</v>
      </c>
      <c r="T661" s="41" t="n">
        <f aca="false">IF(OR(N661="",R661="-"),"",CEILING(ROUND(N661*(1+S661),2),IF(N661*(1+S661)&lt;100,0.5,IF(N661*(1+S661)&lt;1000,1,5))))</f>
        <v>49</v>
      </c>
      <c r="U661" s="45" t="n">
        <f aca="false">IF(OR(T661="",P661=""),"",(T661-P661)/T661)</f>
        <v>0.614285714285714</v>
      </c>
      <c r="V661" s="45" t="n">
        <f aca="false">IF(T661="",0,T661/N661-1)</f>
        <v>0.225306326581645</v>
      </c>
      <c r="W661" s="38" t="s">
        <v>94</v>
      </c>
    </row>
    <row r="662" customFormat="false" ht="15" hidden="false" customHeight="false" outlineLevel="0" collapsed="false">
      <c r="A662" s="19" t="n">
        <v>611</v>
      </c>
      <c r="B662" s="19" t="s">
        <v>825</v>
      </c>
      <c r="C662" s="19" t="s">
        <v>57</v>
      </c>
      <c r="D662" s="19"/>
      <c r="E662" s="19" t="s">
        <v>58</v>
      </c>
      <c r="F662" s="20" t="n">
        <v>19</v>
      </c>
      <c r="G662" s="20" t="n">
        <v>7</v>
      </c>
      <c r="H662" s="21" t="n">
        <v>3389.81</v>
      </c>
      <c r="I662" s="21" t="n">
        <v>0</v>
      </c>
      <c r="J662" s="21" t="n">
        <v>0</v>
      </c>
      <c r="K662" s="22" t="n">
        <f aca="false">H662+I662+J662</f>
        <v>3389.81</v>
      </c>
      <c r="L662" s="23" t="n">
        <f aca="false">IF($K$1282=0,0,K662/$K$1282)</f>
        <v>0.000280806564600257</v>
      </c>
      <c r="M662" s="24" t="n">
        <f aca="false">IF(F662&lt;=0,0,K662/F662)</f>
        <v>178.411052631579</v>
      </c>
      <c r="N662" s="21" t="n">
        <v>149.99</v>
      </c>
      <c r="O662" s="49" t="n">
        <v>6</v>
      </c>
      <c r="P662" s="24" t="n">
        <f aca="false">O662*'Price Groups'!$B$5</f>
        <v>135</v>
      </c>
      <c r="Q662" s="26" t="n">
        <f aca="false">IF(OR(N662="",P662=""),"",(N662-P662)/N662)</f>
        <v>0.0999399959997334</v>
      </c>
      <c r="R662" s="27" t="n">
        <v>1</v>
      </c>
      <c r="S662" s="28" t="n">
        <f aca="false">IF(R662="-",0,IFERROR(VLOOKUP(R662,'Price Groups'!$A$13:$C$17,3,FALSE()),0))</f>
        <v>0.22</v>
      </c>
      <c r="T662" s="22" t="n">
        <f aca="false">IF(OR(N662="",R662="-"),"",CEILING(ROUND(N662*(1+S662),2),IF(N662*(1+S662)&lt;100,0.5,IF(N662*(1+S662)&lt;1000,1,5))))</f>
        <v>183</v>
      </c>
      <c r="U662" s="26" t="n">
        <f aca="false">IF(OR(T662="",P662=""),"",(T662-P662)/T662)</f>
        <v>0.262295081967213</v>
      </c>
      <c r="V662" s="26" t="n">
        <f aca="false">IF(T662="",0,T662/N662-1)</f>
        <v>0.220081338755917</v>
      </c>
      <c r="W662" s="19" t="s">
        <v>826</v>
      </c>
    </row>
    <row r="663" customFormat="false" ht="15" hidden="false" customHeight="false" outlineLevel="0" collapsed="false">
      <c r="A663" s="38" t="n">
        <v>612</v>
      </c>
      <c r="B663" s="38" t="s">
        <v>827</v>
      </c>
      <c r="C663" s="38" t="s">
        <v>57</v>
      </c>
      <c r="D663" s="38"/>
      <c r="E663" s="38" t="s">
        <v>58</v>
      </c>
      <c r="F663" s="39" t="n">
        <v>19</v>
      </c>
      <c r="G663" s="39" t="n">
        <v>12</v>
      </c>
      <c r="H663" s="40" t="n">
        <v>13034</v>
      </c>
      <c r="I663" s="40" t="n">
        <v>0</v>
      </c>
      <c r="J663" s="40" t="n">
        <v>0</v>
      </c>
      <c r="K663" s="41" t="n">
        <f aca="false">H663+I663+J663</f>
        <v>13034</v>
      </c>
      <c r="L663" s="42" t="n">
        <f aca="false">IF($K$1282=0,0,K663/$K$1282)</f>
        <v>0.00107971619736792</v>
      </c>
      <c r="M663" s="43" t="n">
        <f aca="false">IF(F663&lt;=0,0,K663/F663)</f>
        <v>686</v>
      </c>
      <c r="N663" s="40" t="n">
        <v>686</v>
      </c>
      <c r="O663" s="44" t="n">
        <v>9.58</v>
      </c>
      <c r="P663" s="43" t="n">
        <f aca="false">O663*'Price Groups'!$B$5</f>
        <v>215.55</v>
      </c>
      <c r="Q663" s="45" t="n">
        <f aca="false">IF(OR(N663="",P663=""),"",(N663-P663)/N663)</f>
        <v>0.685787172011662</v>
      </c>
      <c r="R663" s="46" t="n">
        <v>3</v>
      </c>
      <c r="S663" s="47" t="n">
        <f aca="false">IF(R663="-",0,IFERROR(VLOOKUP(R663,'Price Groups'!$A$13:$C$17,3,FALSE()),0))</f>
        <v>0.16</v>
      </c>
      <c r="T663" s="41" t="n">
        <f aca="false">IF(OR(N663="",R663="-"),"",CEILING(ROUND(N663*(1+S663),2),IF(N663*(1+S663)&lt;100,0.5,IF(N663*(1+S663)&lt;1000,1,5))))</f>
        <v>796</v>
      </c>
      <c r="U663" s="45" t="n">
        <f aca="false">IF(OR(T663="",P663=""),"",(T663-P663)/T663)</f>
        <v>0.729208542713568</v>
      </c>
      <c r="V663" s="45" t="n">
        <f aca="false">IF(T663="",0,T663/N663-1)</f>
        <v>0.160349854227405</v>
      </c>
      <c r="W663" s="38" t="s">
        <v>107</v>
      </c>
    </row>
    <row r="664" customFormat="false" ht="15" hidden="false" customHeight="false" outlineLevel="0" collapsed="false">
      <c r="A664" s="19" t="n">
        <v>613</v>
      </c>
      <c r="B664" s="19" t="s">
        <v>828</v>
      </c>
      <c r="C664" s="19" t="s">
        <v>57</v>
      </c>
      <c r="D664" s="19"/>
      <c r="E664" s="19" t="s">
        <v>58</v>
      </c>
      <c r="F664" s="20" t="n">
        <v>19</v>
      </c>
      <c r="G664" s="20" t="n">
        <v>17</v>
      </c>
      <c r="H664" s="21" t="n">
        <v>549.78</v>
      </c>
      <c r="I664" s="21" t="n">
        <v>-9.96</v>
      </c>
      <c r="J664" s="21" t="n">
        <v>-74.97</v>
      </c>
      <c r="K664" s="22" t="n">
        <f aca="false">H664+I664+J664</f>
        <v>464.85</v>
      </c>
      <c r="L664" s="23" t="n">
        <f aca="false">IF($K$1282=0,0,K664/$K$1282)</f>
        <v>3.85074477786157E-005</v>
      </c>
      <c r="M664" s="24" t="n">
        <f aca="false">IF(F664&lt;=0,0,K664/F664)</f>
        <v>24.4657894736842</v>
      </c>
      <c r="N664" s="21" t="n">
        <v>24.99</v>
      </c>
      <c r="O664" s="49" t="n">
        <v>0.52</v>
      </c>
      <c r="P664" s="24" t="n">
        <f aca="false">O664*'Price Groups'!$B$5</f>
        <v>11.7</v>
      </c>
      <c r="Q664" s="26" t="n">
        <f aca="false">IF(OR(N664="",P664=""),"",(N664-P664)/N664)</f>
        <v>0.531812725090036</v>
      </c>
      <c r="R664" s="27" t="n">
        <v>1</v>
      </c>
      <c r="S664" s="28" t="n">
        <f aca="false">IF(R664="-",0,IFERROR(VLOOKUP(R664,'Price Groups'!$A$13:$C$17,3,FALSE()),0))</f>
        <v>0.22</v>
      </c>
      <c r="T664" s="22" t="n">
        <f aca="false">IF(OR(N664="",R664="-"),"",CEILING(ROUND(N664*(1+S664),2),IF(N664*(1+S664)&lt;100,0.5,IF(N664*(1+S664)&lt;1000,1,5))))</f>
        <v>30.5</v>
      </c>
      <c r="U664" s="26" t="n">
        <f aca="false">IF(OR(T664="",P664=""),"",(T664-P664)/T664)</f>
        <v>0.616393442622951</v>
      </c>
      <c r="V664" s="26" t="n">
        <f aca="false">IF(T664="",0,T664/N664-1)</f>
        <v>0.220488195278111</v>
      </c>
      <c r="W664" s="19" t="s">
        <v>94</v>
      </c>
    </row>
    <row r="665" customFormat="false" ht="15" hidden="false" customHeight="false" outlineLevel="0" collapsed="false">
      <c r="A665" s="38" t="n">
        <v>614</v>
      </c>
      <c r="B665" s="38" t="s">
        <v>829</v>
      </c>
      <c r="C665" s="38" t="s">
        <v>57</v>
      </c>
      <c r="D665" s="38"/>
      <c r="E665" s="38" t="s">
        <v>58</v>
      </c>
      <c r="F665" s="39" t="n">
        <v>19</v>
      </c>
      <c r="G665" s="39" t="n">
        <v>12</v>
      </c>
      <c r="H665" s="40" t="n">
        <v>6289.81</v>
      </c>
      <c r="I665" s="40" t="n">
        <v>-281.23</v>
      </c>
      <c r="J665" s="40" t="n">
        <v>0</v>
      </c>
      <c r="K665" s="41" t="n">
        <f aca="false">H665+I665+J665</f>
        <v>6008.58</v>
      </c>
      <c r="L665" s="42" t="n">
        <f aca="false">IF($K$1282=0,0,K665/$K$1282)</f>
        <v>0.000497741380173464</v>
      </c>
      <c r="M665" s="43" t="n">
        <f aca="false">IF(F665&lt;=0,0,K665/F665)</f>
        <v>316.241052631579</v>
      </c>
      <c r="N665" s="40" t="n">
        <v>339.99</v>
      </c>
      <c r="O665" s="44" t="n">
        <v>8</v>
      </c>
      <c r="P665" s="43" t="n">
        <f aca="false">O665*'Price Groups'!$B$5</f>
        <v>180</v>
      </c>
      <c r="Q665" s="45" t="n">
        <f aca="false">IF(OR(N665="",P665=""),"",(N665-P665)/N665)</f>
        <v>0.470572663901879</v>
      </c>
      <c r="R665" s="46" t="n">
        <v>1</v>
      </c>
      <c r="S665" s="47" t="n">
        <f aca="false">IF(R665="-",0,IFERROR(VLOOKUP(R665,'Price Groups'!$A$13:$C$17,3,FALSE()),0))</f>
        <v>0.22</v>
      </c>
      <c r="T665" s="41" t="n">
        <f aca="false">IF(OR(N665="",R665="-"),"",CEILING(ROUND(N665*(1+S665),2),IF(N665*(1+S665)&lt;100,0.5,IF(N665*(1+S665)&lt;1000,1,5))))</f>
        <v>415</v>
      </c>
      <c r="U665" s="45" t="n">
        <f aca="false">IF(OR(T665="",P665=""),"",(T665-P665)/T665)</f>
        <v>0.566265060240964</v>
      </c>
      <c r="V665" s="45" t="n">
        <f aca="false">IF(T665="",0,T665/N665-1)</f>
        <v>0.220624136004</v>
      </c>
      <c r="W665" s="38" t="s">
        <v>94</v>
      </c>
    </row>
    <row r="666" customFormat="false" ht="15" hidden="false" customHeight="false" outlineLevel="0" collapsed="false">
      <c r="A666" s="19" t="n">
        <v>615</v>
      </c>
      <c r="B666" s="19" t="s">
        <v>830</v>
      </c>
      <c r="C666" s="19" t="s">
        <v>57</v>
      </c>
      <c r="D666" s="19"/>
      <c r="E666" s="19" t="s">
        <v>58</v>
      </c>
      <c r="F666" s="20" t="n">
        <v>19</v>
      </c>
      <c r="G666" s="20" t="n">
        <v>18</v>
      </c>
      <c r="H666" s="21" t="n">
        <v>3020.56</v>
      </c>
      <c r="I666" s="21" t="n">
        <v>-29.37</v>
      </c>
      <c r="J666" s="21" t="n">
        <v>-149.99</v>
      </c>
      <c r="K666" s="22" t="n">
        <f aca="false">H666+I666+J666</f>
        <v>2841.2</v>
      </c>
      <c r="L666" s="23" t="n">
        <f aca="false">IF($K$1282=0,0,K666/$K$1282)</f>
        <v>0.000235360569277408</v>
      </c>
      <c r="M666" s="24" t="n">
        <f aca="false">IF(F666&lt;=0,0,K666/F666)</f>
        <v>149.536842105263</v>
      </c>
      <c r="N666" s="21" t="n">
        <v>179</v>
      </c>
      <c r="O666" s="49" t="n">
        <v>3.88</v>
      </c>
      <c r="P666" s="24" t="n">
        <f aca="false">O666*'Price Groups'!$B$5</f>
        <v>87.3</v>
      </c>
      <c r="Q666" s="26" t="n">
        <f aca="false">IF(OR(N666="",P666=""),"",(N666-P666)/N666)</f>
        <v>0.512290502793296</v>
      </c>
      <c r="R666" s="27" t="n">
        <v>1</v>
      </c>
      <c r="S666" s="28" t="n">
        <f aca="false">IF(R666="-",0,IFERROR(VLOOKUP(R666,'Price Groups'!$A$13:$C$17,3,FALSE()),0))</f>
        <v>0.22</v>
      </c>
      <c r="T666" s="22" t="n">
        <f aca="false">IF(OR(N666="",R666="-"),"",CEILING(ROUND(N666*(1+S666),2),IF(N666*(1+S666)&lt;100,0.5,IF(N666*(1+S666)&lt;1000,1,5))))</f>
        <v>219</v>
      </c>
      <c r="U666" s="26" t="n">
        <f aca="false">IF(OR(T666="",P666=""),"",(T666-P666)/T666)</f>
        <v>0.601369863013699</v>
      </c>
      <c r="V666" s="26" t="n">
        <f aca="false">IF(T666="",0,T666/N666-1)</f>
        <v>0.223463687150838</v>
      </c>
      <c r="W666" s="19" t="s">
        <v>94</v>
      </c>
    </row>
    <row r="667" customFormat="false" ht="15" hidden="false" customHeight="false" outlineLevel="0" collapsed="false">
      <c r="A667" s="38" t="n">
        <v>616</v>
      </c>
      <c r="B667" s="38" t="s">
        <v>140</v>
      </c>
      <c r="C667" s="38" t="s">
        <v>307</v>
      </c>
      <c r="D667" s="38" t="s">
        <v>139</v>
      </c>
      <c r="E667" s="38" t="s">
        <v>58</v>
      </c>
      <c r="F667" s="39" t="n">
        <v>19</v>
      </c>
      <c r="G667" s="39" t="n">
        <v>15</v>
      </c>
      <c r="H667" s="40" t="n">
        <v>8911</v>
      </c>
      <c r="I667" s="40" t="n">
        <v>-281.4</v>
      </c>
      <c r="J667" s="40" t="n">
        <v>0</v>
      </c>
      <c r="K667" s="41" t="n">
        <f aca="false">H667+I667+J667</f>
        <v>8629.6</v>
      </c>
      <c r="L667" s="42" t="n">
        <f aca="false">IF($K$1282=0,0,K667/$K$1282)</f>
        <v>0.000714862582231563</v>
      </c>
      <c r="M667" s="43" t="n">
        <f aca="false">IF(F667&lt;=0,0,K667/F667)</f>
        <v>454.189473684211</v>
      </c>
      <c r="N667" s="40" t="n">
        <v>469</v>
      </c>
      <c r="O667" s="44" t="n">
        <v>8.83</v>
      </c>
      <c r="P667" s="43" t="n">
        <f aca="false">O667*'Price Groups'!$B$5</f>
        <v>198.675</v>
      </c>
      <c r="Q667" s="45" t="n">
        <f aca="false">IF(OR(N667="",P667=""),"",(N667-P667)/N667)</f>
        <v>0.576385927505331</v>
      </c>
      <c r="R667" s="46" t="n">
        <v>5</v>
      </c>
      <c r="S667" s="47" t="n">
        <f aca="false">IF(R667="-",0,IFERROR(VLOOKUP(R667,'Price Groups'!$A$13:$C$17,3,FALSE()),0))</f>
        <v>0.02</v>
      </c>
      <c r="T667" s="41" t="n">
        <f aca="false">IF(OR(N667="",R667="-"),"",CEILING(ROUND(N667*(1+S667),2),IF(N667*(1+S667)&lt;100,0.5,IF(N667*(1+S667)&lt;1000,1,5))))</f>
        <v>479</v>
      </c>
      <c r="U667" s="45" t="n">
        <f aca="false">IF(OR(T667="",P667=""),"",(T667-P667)/T667)</f>
        <v>0.585229645093946</v>
      </c>
      <c r="V667" s="45" t="n">
        <f aca="false">IF(T667="",0,T667/N667-1)</f>
        <v>0.0213219616204692</v>
      </c>
      <c r="W667" s="38" t="s">
        <v>831</v>
      </c>
    </row>
    <row r="668" customFormat="false" ht="15" hidden="false" customHeight="false" outlineLevel="0" collapsed="false">
      <c r="A668" s="19" t="n">
        <v>617</v>
      </c>
      <c r="B668" s="19" t="s">
        <v>297</v>
      </c>
      <c r="C668" s="19" t="s">
        <v>307</v>
      </c>
      <c r="D668" s="19" t="s">
        <v>296</v>
      </c>
      <c r="E668" s="19" t="s">
        <v>58</v>
      </c>
      <c r="F668" s="20" t="n">
        <v>18</v>
      </c>
      <c r="G668" s="20" t="n">
        <v>17</v>
      </c>
      <c r="H668" s="21" t="n">
        <v>26820</v>
      </c>
      <c r="I668" s="21" t="n">
        <v>-149</v>
      </c>
      <c r="J668" s="21" t="n">
        <v>0</v>
      </c>
      <c r="K668" s="22" t="n">
        <f aca="false">H668+I668+J668</f>
        <v>26671</v>
      </c>
      <c r="L668" s="23" t="n">
        <f aca="false">IF($K$1282=0,0,K668/$K$1282)</f>
        <v>0.0022093839726868</v>
      </c>
      <c r="M668" s="24" t="n">
        <f aca="false">IF(F668&lt;=0,0,K668/F668)</f>
        <v>1481.72222222222</v>
      </c>
      <c r="N668" s="21" t="n">
        <v>1490</v>
      </c>
      <c r="O668" s="49" t="n">
        <v>45</v>
      </c>
      <c r="P668" s="24" t="n">
        <f aca="false">O668*'Price Groups'!$B$5</f>
        <v>1012.5</v>
      </c>
      <c r="Q668" s="26" t="n">
        <f aca="false">IF(OR(N668="",P668=""),"",(N668-P668)/N668)</f>
        <v>0.320469798657718</v>
      </c>
      <c r="R668" s="27" t="n">
        <v>2</v>
      </c>
      <c r="S668" s="28" t="n">
        <f aca="false">IF(R668="-",0,IFERROR(VLOOKUP(R668,'Price Groups'!$A$13:$C$17,3,FALSE()),0))</f>
        <v>0.18</v>
      </c>
      <c r="T668" s="22" t="n">
        <f aca="false">IF(OR(N668="",R668="-"),"",CEILING(ROUND(N668*(1+S668),2),IF(N668*(1+S668)&lt;100,0.5,IF(N668*(1+S668)&lt;1000,1,5))))</f>
        <v>1760</v>
      </c>
      <c r="U668" s="26" t="n">
        <f aca="false">IF(OR(T668="",P668=""),"",(T668-P668)/T668)</f>
        <v>0.424715909090909</v>
      </c>
      <c r="V668" s="26" t="n">
        <f aca="false">IF(T668="",0,T668/N668-1)</f>
        <v>0.181208053691275</v>
      </c>
      <c r="W668" s="19" t="s">
        <v>832</v>
      </c>
    </row>
    <row r="669" customFormat="false" ht="15" hidden="false" customHeight="false" outlineLevel="0" collapsed="false">
      <c r="A669" s="38" t="n">
        <v>618</v>
      </c>
      <c r="B669" s="38" t="s">
        <v>833</v>
      </c>
      <c r="C669" s="38" t="s">
        <v>57</v>
      </c>
      <c r="D669" s="38"/>
      <c r="E669" s="38" t="s">
        <v>58</v>
      </c>
      <c r="F669" s="39" t="n">
        <v>18</v>
      </c>
      <c r="G669" s="39" t="n">
        <v>19</v>
      </c>
      <c r="H669" s="40" t="n">
        <v>6239.85</v>
      </c>
      <c r="I669" s="40" t="n">
        <v>-31.99</v>
      </c>
      <c r="J669" s="40" t="n">
        <v>-319.99</v>
      </c>
      <c r="K669" s="41" t="n">
        <f aca="false">H669+I669+J669</f>
        <v>5887.87</v>
      </c>
      <c r="L669" s="42" t="n">
        <f aca="false">IF($K$1282=0,0,K669/$K$1282)</f>
        <v>0.000487741952355121</v>
      </c>
      <c r="M669" s="43" t="n">
        <f aca="false">IF(F669&lt;=0,0,K669/F669)</f>
        <v>327.103888888889</v>
      </c>
      <c r="N669" s="40" t="n">
        <v>360</v>
      </c>
      <c r="O669" s="44" t="n">
        <v>5.06</v>
      </c>
      <c r="P669" s="43" t="n">
        <f aca="false">O669*'Price Groups'!$B$5</f>
        <v>113.85</v>
      </c>
      <c r="Q669" s="45" t="n">
        <f aca="false">IF(OR(N669="",P669=""),"",(N669-P669)/N669)</f>
        <v>0.68375</v>
      </c>
      <c r="R669" s="46" t="n">
        <v>1</v>
      </c>
      <c r="S669" s="47" t="n">
        <f aca="false">IF(R669="-",0,IFERROR(VLOOKUP(R669,'Price Groups'!$A$13:$C$17,3,FALSE()),0))</f>
        <v>0.22</v>
      </c>
      <c r="T669" s="41" t="n">
        <f aca="false">IF(OR(N669="",R669="-"),"",CEILING(ROUND(N669*(1+S669),2),IF(N669*(1+S669)&lt;100,0.5,IF(N669*(1+S669)&lt;1000,1,5))))</f>
        <v>440</v>
      </c>
      <c r="U669" s="45" t="n">
        <f aca="false">IF(OR(T669="",P669=""),"",(T669-P669)/T669)</f>
        <v>0.74125</v>
      </c>
      <c r="V669" s="45" t="n">
        <f aca="false">IF(T669="",0,T669/N669-1)</f>
        <v>0.222222222222222</v>
      </c>
      <c r="W669" s="38" t="s">
        <v>94</v>
      </c>
    </row>
    <row r="670" customFormat="false" ht="15" hidden="false" customHeight="false" outlineLevel="0" collapsed="false">
      <c r="A670" s="19" t="n">
        <v>619</v>
      </c>
      <c r="B670" s="19" t="s">
        <v>834</v>
      </c>
      <c r="C670" s="19" t="s">
        <v>57</v>
      </c>
      <c r="D670" s="19"/>
      <c r="E670" s="19" t="s">
        <v>58</v>
      </c>
      <c r="F670" s="20" t="n">
        <v>18</v>
      </c>
      <c r="G670" s="20" t="n">
        <v>15</v>
      </c>
      <c r="H670" s="21" t="n">
        <v>1029.79</v>
      </c>
      <c r="I670" s="21" t="n">
        <v>0</v>
      </c>
      <c r="J670" s="21" t="n">
        <v>-119.97</v>
      </c>
      <c r="K670" s="22" t="n">
        <f aca="false">H670+I670+J670</f>
        <v>909.82</v>
      </c>
      <c r="L670" s="23" t="n">
        <f aca="false">IF($K$1282=0,0,K670/$K$1282)</f>
        <v>7.53680674151665E-005</v>
      </c>
      <c r="M670" s="24" t="n">
        <f aca="false">IF(F670&lt;=0,0,K670/F670)</f>
        <v>50.5455555555556</v>
      </c>
      <c r="N670" s="21" t="n">
        <v>69.99</v>
      </c>
      <c r="O670" s="49" t="n">
        <v>1.6</v>
      </c>
      <c r="P670" s="24" t="n">
        <f aca="false">O670*'Price Groups'!$B$5</f>
        <v>36</v>
      </c>
      <c r="Q670" s="26" t="n">
        <f aca="false">IF(OR(N670="",P670=""),"",(N670-P670)/N670)</f>
        <v>0.485640805829404</v>
      </c>
      <c r="R670" s="27" t="n">
        <v>1</v>
      </c>
      <c r="S670" s="28" t="n">
        <f aca="false">IF(R670="-",0,IFERROR(VLOOKUP(R670,'Price Groups'!$A$13:$C$17,3,FALSE()),0))</f>
        <v>0.22</v>
      </c>
      <c r="T670" s="22" t="n">
        <f aca="false">IF(OR(N670="",R670="-"),"",CEILING(ROUND(N670*(1+S670),2),IF(N670*(1+S670)&lt;100,0.5,IF(N670*(1+S670)&lt;1000,1,5))))</f>
        <v>85.5</v>
      </c>
      <c r="U670" s="26" t="n">
        <f aca="false">IF(OR(T670="",P670=""),"",(T670-P670)/T670)</f>
        <v>0.578947368421053</v>
      </c>
      <c r="V670" s="26" t="n">
        <f aca="false">IF(T670="",0,T670/N670-1)</f>
        <v>0.221603086155165</v>
      </c>
      <c r="W670" s="19" t="s">
        <v>94</v>
      </c>
    </row>
    <row r="671" customFormat="false" ht="15" hidden="false" customHeight="false" outlineLevel="0" collapsed="false">
      <c r="A671" s="38" t="n">
        <v>620</v>
      </c>
      <c r="B671" s="38" t="s">
        <v>835</v>
      </c>
      <c r="C671" s="38" t="s">
        <v>57</v>
      </c>
      <c r="D671" s="38"/>
      <c r="E671" s="38" t="s">
        <v>58</v>
      </c>
      <c r="F671" s="39" t="n">
        <v>18</v>
      </c>
      <c r="G671" s="39" t="n">
        <v>12</v>
      </c>
      <c r="H671" s="40" t="n">
        <v>459.76</v>
      </c>
      <c r="I671" s="40" t="n">
        <v>-1.71</v>
      </c>
      <c r="J671" s="40" t="n">
        <v>-32.26</v>
      </c>
      <c r="K671" s="41" t="n">
        <f aca="false">H671+I671+J671</f>
        <v>425.79</v>
      </c>
      <c r="L671" s="42" t="n">
        <f aca="false">IF($K$1282=0,0,K671/$K$1282)</f>
        <v>3.52717784008966E-005</v>
      </c>
      <c r="M671" s="43" t="n">
        <f aca="false">IF(F671&lt;=0,0,K671/F671)</f>
        <v>23.655</v>
      </c>
      <c r="N671" s="40" t="n">
        <v>19.99</v>
      </c>
      <c r="O671" s="44" t="n">
        <v>0.53</v>
      </c>
      <c r="P671" s="43" t="n">
        <f aca="false">O671*'Price Groups'!$B$5</f>
        <v>11.925</v>
      </c>
      <c r="Q671" s="45" t="n">
        <f aca="false">IF(OR(N671="",P671=""),"",(N671-P671)/N671)</f>
        <v>0.403451725862931</v>
      </c>
      <c r="R671" s="46" t="n">
        <v>1</v>
      </c>
      <c r="S671" s="47" t="n">
        <f aca="false">IF(R671="-",0,IFERROR(VLOOKUP(R671,'Price Groups'!$A$13:$C$17,3,FALSE()),0))</f>
        <v>0.22</v>
      </c>
      <c r="T671" s="41" t="n">
        <f aca="false">IF(OR(N671="",R671="-"),"",CEILING(ROUND(N671*(1+S671),2),IF(N671*(1+S671)&lt;100,0.5,IF(N671*(1+S671)&lt;1000,1,5))))</f>
        <v>24.5</v>
      </c>
      <c r="U671" s="45" t="n">
        <f aca="false">IF(OR(T671="",P671=""),"",(T671-P671)/T671)</f>
        <v>0.513265306122449</v>
      </c>
      <c r="V671" s="45" t="n">
        <f aca="false">IF(T671="",0,T671/N671-1)</f>
        <v>0.225612806403202</v>
      </c>
      <c r="W671" s="38" t="s">
        <v>94</v>
      </c>
    </row>
    <row r="672" customFormat="false" ht="15" hidden="false" customHeight="false" outlineLevel="0" collapsed="false">
      <c r="A672" s="19" t="n">
        <v>621</v>
      </c>
      <c r="B672" s="19" t="s">
        <v>836</v>
      </c>
      <c r="C672" s="19" t="s">
        <v>57</v>
      </c>
      <c r="D672" s="19"/>
      <c r="E672" s="19" t="s">
        <v>58</v>
      </c>
      <c r="F672" s="20" t="n">
        <v>18</v>
      </c>
      <c r="G672" s="20" t="n">
        <v>15</v>
      </c>
      <c r="H672" s="21" t="n">
        <v>788.19</v>
      </c>
      <c r="I672" s="21" t="n">
        <v>-0.65</v>
      </c>
      <c r="J672" s="21" t="n">
        <v>-77.35</v>
      </c>
      <c r="K672" s="22" t="n">
        <f aca="false">H672+I672+J672</f>
        <v>710.19</v>
      </c>
      <c r="L672" s="23" t="n">
        <f aca="false">IF($K$1282=0,0,K672/$K$1282)</f>
        <v>5.88310300912017E-005</v>
      </c>
      <c r="M672" s="24" t="n">
        <f aca="false">IF(F672&lt;=0,0,K672/F672)</f>
        <v>39.455</v>
      </c>
      <c r="N672" s="21" t="n">
        <v>40.17</v>
      </c>
      <c r="O672" s="49" t="n">
        <v>0.54</v>
      </c>
      <c r="P672" s="24" t="n">
        <f aca="false">O672*'Price Groups'!$B$5</f>
        <v>12.15</v>
      </c>
      <c r="Q672" s="26" t="n">
        <f aca="false">IF(OR(N672="",P672=""),"",(N672-P672)/N672)</f>
        <v>0.697535474234504</v>
      </c>
      <c r="R672" s="27" t="n">
        <v>1</v>
      </c>
      <c r="S672" s="28" t="n">
        <f aca="false">IF(R672="-",0,IFERROR(VLOOKUP(R672,'Price Groups'!$A$13:$C$17,3,FALSE()),0))</f>
        <v>0.22</v>
      </c>
      <c r="T672" s="22" t="n">
        <f aca="false">IF(OR(N672="",R672="-"),"",CEILING(ROUND(N672*(1+S672),2),IF(N672*(1+S672)&lt;100,0.5,IF(N672*(1+S672)&lt;1000,1,5))))</f>
        <v>49.5</v>
      </c>
      <c r="U672" s="26" t="n">
        <f aca="false">IF(OR(T672="",P672=""),"",(T672-P672)/T672)</f>
        <v>0.754545454545455</v>
      </c>
      <c r="V672" s="26" t="n">
        <f aca="false">IF(T672="",0,T672/N672-1)</f>
        <v>0.23226288274832</v>
      </c>
      <c r="W672" s="19" t="s">
        <v>94</v>
      </c>
    </row>
    <row r="673" customFormat="false" ht="15" hidden="false" customHeight="false" outlineLevel="0" collapsed="false">
      <c r="A673" s="38" t="n">
        <v>622</v>
      </c>
      <c r="B673" s="38" t="s">
        <v>837</v>
      </c>
      <c r="C673" s="38" t="s">
        <v>57</v>
      </c>
      <c r="D673" s="38"/>
      <c r="E673" s="38" t="s">
        <v>58</v>
      </c>
      <c r="F673" s="39" t="n">
        <v>18</v>
      </c>
      <c r="G673" s="39" t="n">
        <v>16</v>
      </c>
      <c r="H673" s="40" t="n">
        <v>5291</v>
      </c>
      <c r="I673" s="40" t="n">
        <v>-45.68</v>
      </c>
      <c r="J673" s="40" t="n">
        <v>-260</v>
      </c>
      <c r="K673" s="41" t="n">
        <f aca="false">H673+I673+J673</f>
        <v>4985.32</v>
      </c>
      <c r="L673" s="42" t="n">
        <f aca="false">IF($K$1282=0,0,K673/$K$1282)</f>
        <v>0.000412976120382249</v>
      </c>
      <c r="M673" s="43" t="n">
        <f aca="false">IF(F673&lt;=0,0,K673/F673)</f>
        <v>276.962222222222</v>
      </c>
      <c r="N673" s="40" t="n">
        <v>299</v>
      </c>
      <c r="O673" s="44" t="n">
        <v>18.3</v>
      </c>
      <c r="P673" s="43" t="n">
        <f aca="false">O673*'Price Groups'!$B$5</f>
        <v>411.75</v>
      </c>
      <c r="Q673" s="45" t="n">
        <f aca="false">IF(OR(N673="",P673=""),"",(N673-P673)/N673)</f>
        <v>-0.377090301003345</v>
      </c>
      <c r="R673" s="46" t="n">
        <v>1</v>
      </c>
      <c r="S673" s="47" t="n">
        <f aca="false">IF(R673="-",0,IFERROR(VLOOKUP(R673,'Price Groups'!$A$13:$C$17,3,FALSE()),0))</f>
        <v>0.22</v>
      </c>
      <c r="T673" s="41" t="n">
        <f aca="false">IF(OR(N673="",R673="-"),"",CEILING(ROUND(N673*(1+S673),2),IF(N673*(1+S673)&lt;100,0.5,IF(N673*(1+S673)&lt;1000,1,5))))</f>
        <v>365</v>
      </c>
      <c r="U673" s="45" t="n">
        <f aca="false">IF(OR(T673="",P673=""),"",(T673-P673)/T673)</f>
        <v>-0.128082191780822</v>
      </c>
      <c r="V673" s="45" t="n">
        <f aca="false">IF(T673="",0,T673/N673-1)</f>
        <v>0.220735785953177</v>
      </c>
      <c r="W673" s="38" t="s">
        <v>838</v>
      </c>
    </row>
    <row r="674" customFormat="false" ht="15" hidden="false" customHeight="false" outlineLevel="0" collapsed="false">
      <c r="A674" s="19" t="n">
        <v>623</v>
      </c>
      <c r="B674" s="19" t="s">
        <v>223</v>
      </c>
      <c r="C674" s="19" t="s">
        <v>307</v>
      </c>
      <c r="D674" s="19" t="s">
        <v>222</v>
      </c>
      <c r="E674" s="19" t="s">
        <v>58</v>
      </c>
      <c r="F674" s="20" t="n">
        <v>18</v>
      </c>
      <c r="G674" s="20" t="n">
        <v>20</v>
      </c>
      <c r="H674" s="21" t="n">
        <v>11358</v>
      </c>
      <c r="I674" s="21" t="n">
        <v>-44.4</v>
      </c>
      <c r="J674" s="21" t="n">
        <v>-1826</v>
      </c>
      <c r="K674" s="22" t="n">
        <f aca="false">H674+I674+J674</f>
        <v>9487.6</v>
      </c>
      <c r="L674" s="23" t="n">
        <f aca="false">IF($K$1282=0,0,K674/$K$1282)</f>
        <v>0.000785937961803581</v>
      </c>
      <c r="M674" s="24" t="n">
        <f aca="false">IF(F674&lt;=0,0,K674/F674)</f>
        <v>527.088888888889</v>
      </c>
      <c r="N674" s="21" t="n">
        <v>650</v>
      </c>
      <c r="O674" s="49" t="n">
        <v>12.65</v>
      </c>
      <c r="P674" s="24" t="n">
        <f aca="false">O674*'Price Groups'!$B$5</f>
        <v>284.625</v>
      </c>
      <c r="Q674" s="26" t="n">
        <f aca="false">IF(OR(N674="",P674=""),"",(N674-P674)/N674)</f>
        <v>0.562115384615385</v>
      </c>
      <c r="R674" s="27" t="n">
        <v>3</v>
      </c>
      <c r="S674" s="28" t="n">
        <f aca="false">IF(R674="-",0,IFERROR(VLOOKUP(R674,'Price Groups'!$A$13:$C$17,3,FALSE()),0))</f>
        <v>0.16</v>
      </c>
      <c r="T674" s="22" t="n">
        <f aca="false">IF(OR(N674="",R674="-"),"",CEILING(ROUND(N674*(1+S674),2),IF(N674*(1+S674)&lt;100,0.5,IF(N674*(1+S674)&lt;1000,1,5))))</f>
        <v>754</v>
      </c>
      <c r="U674" s="26" t="n">
        <f aca="false">IF(OR(T674="",P674=""),"",(T674-P674)/T674)</f>
        <v>0.62251326259947</v>
      </c>
      <c r="V674" s="26" t="n">
        <f aca="false">IF(T674="",0,T674/N674-1)</f>
        <v>0.16</v>
      </c>
      <c r="W674" s="19" t="s">
        <v>839</v>
      </c>
    </row>
    <row r="675" customFormat="false" ht="15" hidden="false" customHeight="false" outlineLevel="0" collapsed="false">
      <c r="A675" s="38" t="n">
        <v>624</v>
      </c>
      <c r="B675" s="38" t="s">
        <v>840</v>
      </c>
      <c r="C675" s="38" t="s">
        <v>57</v>
      </c>
      <c r="D675" s="38"/>
      <c r="E675" s="38" t="s">
        <v>58</v>
      </c>
      <c r="F675" s="39" t="n">
        <v>18</v>
      </c>
      <c r="G675" s="39" t="n">
        <v>14</v>
      </c>
      <c r="H675" s="40" t="n">
        <v>6665.5</v>
      </c>
      <c r="I675" s="40" t="n">
        <v>-68.9</v>
      </c>
      <c r="J675" s="40" t="n">
        <v>-370</v>
      </c>
      <c r="K675" s="41" t="n">
        <f aca="false">H675+I675+J675</f>
        <v>6226.6</v>
      </c>
      <c r="L675" s="42" t="n">
        <f aca="false">IF($K$1282=0,0,K675/$K$1282)</f>
        <v>0.000515801816367277</v>
      </c>
      <c r="M675" s="43" t="n">
        <f aca="false">IF(F675&lt;=0,0,K675/F675)</f>
        <v>345.922222222222</v>
      </c>
      <c r="N675" s="40" t="n">
        <v>344.5</v>
      </c>
      <c r="O675" s="44" t="n">
        <v>5</v>
      </c>
      <c r="P675" s="43" t="n">
        <f aca="false">O675*'Price Groups'!$B$5</f>
        <v>112.5</v>
      </c>
      <c r="Q675" s="45" t="n">
        <f aca="false">IF(OR(N675="",P675=""),"",(N675-P675)/N675)</f>
        <v>0.67343976777939</v>
      </c>
      <c r="R675" s="46" t="n">
        <v>1</v>
      </c>
      <c r="S675" s="47" t="n">
        <f aca="false">IF(R675="-",0,IFERROR(VLOOKUP(R675,'Price Groups'!$A$13:$C$17,3,FALSE()),0))</f>
        <v>0.22</v>
      </c>
      <c r="T675" s="41" t="n">
        <f aca="false">IF(OR(N675="",R675="-"),"",CEILING(ROUND(N675*(1+S675),2),IF(N675*(1+S675)&lt;100,0.5,IF(N675*(1+S675)&lt;1000,1,5))))</f>
        <v>421</v>
      </c>
      <c r="U675" s="45" t="n">
        <f aca="false">IF(OR(T675="",P675=""),"",(T675-P675)/T675)</f>
        <v>0.732779097387173</v>
      </c>
      <c r="V675" s="45" t="n">
        <f aca="false">IF(T675="",0,T675/N675-1)</f>
        <v>0.222060957910015</v>
      </c>
      <c r="W675" s="38" t="s">
        <v>94</v>
      </c>
    </row>
    <row r="676" customFormat="false" ht="15" hidden="false" customHeight="false" outlineLevel="0" collapsed="false">
      <c r="A676" s="19" t="n">
        <v>625</v>
      </c>
      <c r="B676" s="19" t="s">
        <v>841</v>
      </c>
      <c r="C676" s="19" t="s">
        <v>57</v>
      </c>
      <c r="D676" s="19"/>
      <c r="E676" s="19" t="s">
        <v>58</v>
      </c>
      <c r="F676" s="20" t="n">
        <v>18</v>
      </c>
      <c r="G676" s="20" t="n">
        <v>8</v>
      </c>
      <c r="H676" s="21" t="n">
        <v>2071</v>
      </c>
      <c r="I676" s="21" t="n">
        <v>-87.2</v>
      </c>
      <c r="J676" s="21" t="n">
        <v>-109</v>
      </c>
      <c r="K676" s="22" t="n">
        <f aca="false">H676+I676+J676</f>
        <v>1874.8</v>
      </c>
      <c r="L676" s="23" t="n">
        <f aca="false">IF($K$1282=0,0,K676/$K$1282)</f>
        <v>0.000155305503055499</v>
      </c>
      <c r="M676" s="24" t="n">
        <f aca="false">IF(F676&lt;=0,0,K676/F676)</f>
        <v>104.155555555556</v>
      </c>
      <c r="N676" s="21" t="n">
        <v>109</v>
      </c>
      <c r="O676" s="49" t="n">
        <v>4.16</v>
      </c>
      <c r="P676" s="24" t="n">
        <f aca="false">O676*'Price Groups'!$B$5</f>
        <v>93.6</v>
      </c>
      <c r="Q676" s="26" t="n">
        <f aca="false">IF(OR(N676="",P676=""),"",(N676-P676)/N676)</f>
        <v>0.141284403669725</v>
      </c>
      <c r="R676" s="27" t="n">
        <v>1</v>
      </c>
      <c r="S676" s="28" t="n">
        <f aca="false">IF(R676="-",0,IFERROR(VLOOKUP(R676,'Price Groups'!$A$13:$C$17,3,FALSE()),0))</f>
        <v>0.22</v>
      </c>
      <c r="T676" s="22" t="n">
        <f aca="false">IF(OR(N676="",R676="-"),"",CEILING(ROUND(N676*(1+S676),2),IF(N676*(1+S676)&lt;100,0.5,IF(N676*(1+S676)&lt;1000,1,5))))</f>
        <v>133</v>
      </c>
      <c r="U676" s="26" t="n">
        <f aca="false">IF(OR(T676="",P676=""),"",(T676-P676)/T676)</f>
        <v>0.296240601503759</v>
      </c>
      <c r="V676" s="26" t="n">
        <f aca="false">IF(T676="",0,T676/N676-1)</f>
        <v>0.220183486238532</v>
      </c>
      <c r="W676" s="19" t="s">
        <v>842</v>
      </c>
    </row>
    <row r="677" customFormat="false" ht="15" hidden="false" customHeight="false" outlineLevel="0" collapsed="false">
      <c r="A677" s="38" t="n">
        <v>626</v>
      </c>
      <c r="B677" s="38" t="s">
        <v>843</v>
      </c>
      <c r="C677" s="38" t="s">
        <v>57</v>
      </c>
      <c r="D677" s="38"/>
      <c r="E677" s="38" t="s">
        <v>58</v>
      </c>
      <c r="F677" s="39" t="n">
        <v>18</v>
      </c>
      <c r="G677" s="39" t="n">
        <v>17</v>
      </c>
      <c r="H677" s="40" t="n">
        <v>12009.79</v>
      </c>
      <c r="I677" s="40" t="n">
        <v>-115.48</v>
      </c>
      <c r="J677" s="40" t="n">
        <v>-1714.97</v>
      </c>
      <c r="K677" s="41" t="n">
        <f aca="false">H677+I677+J677</f>
        <v>10179.34</v>
      </c>
      <c r="L677" s="42" t="n">
        <f aca="false">IF($K$1282=0,0,K677/$K$1282)</f>
        <v>0.000843240622718671</v>
      </c>
      <c r="M677" s="43" t="n">
        <f aca="false">IF(F677&lt;=0,0,K677/F677)</f>
        <v>565.518888888889</v>
      </c>
      <c r="N677" s="40" t="n">
        <v>529.99</v>
      </c>
      <c r="O677" s="44" t="n">
        <v>8</v>
      </c>
      <c r="P677" s="43" t="n">
        <f aca="false">O677*'Price Groups'!$B$5</f>
        <v>180</v>
      </c>
      <c r="Q677" s="45" t="n">
        <f aca="false">IF(OR(N677="",P677=""),"",(N677-P677)/N677)</f>
        <v>0.660370950395291</v>
      </c>
      <c r="R677" s="46" t="n">
        <v>1</v>
      </c>
      <c r="S677" s="47" t="n">
        <f aca="false">IF(R677="-",0,IFERROR(VLOOKUP(R677,'Price Groups'!$A$13:$C$17,3,FALSE()),0))</f>
        <v>0.22</v>
      </c>
      <c r="T677" s="41" t="n">
        <f aca="false">IF(OR(N677="",R677="-"),"",CEILING(ROUND(N677*(1+S677),2),IF(N677*(1+S677)&lt;100,0.5,IF(N677*(1+S677)&lt;1000,1,5))))</f>
        <v>647</v>
      </c>
      <c r="U677" s="45" t="n">
        <f aca="false">IF(OR(T677="",P677=""),"",(T677-P677)/T677)</f>
        <v>0.721792890262751</v>
      </c>
      <c r="V677" s="45" t="n">
        <f aca="false">IF(T677="",0,T677/N677-1)</f>
        <v>0.220777750523595</v>
      </c>
      <c r="W677" s="38" t="s">
        <v>94</v>
      </c>
    </row>
    <row r="678" customFormat="false" ht="15" hidden="false" customHeight="false" outlineLevel="0" collapsed="false">
      <c r="A678" s="19" t="n">
        <v>627</v>
      </c>
      <c r="B678" s="19" t="s">
        <v>844</v>
      </c>
      <c r="C678" s="19" t="s">
        <v>57</v>
      </c>
      <c r="D678" s="19"/>
      <c r="E678" s="19" t="s">
        <v>58</v>
      </c>
      <c r="F678" s="20" t="n">
        <v>18</v>
      </c>
      <c r="G678" s="20" t="n">
        <v>12</v>
      </c>
      <c r="H678" s="21" t="n">
        <v>1890</v>
      </c>
      <c r="I678" s="21" t="n">
        <v>-21</v>
      </c>
      <c r="J678" s="21" t="n">
        <v>0</v>
      </c>
      <c r="K678" s="22" t="n">
        <f aca="false">H678+I678+J678</f>
        <v>1869</v>
      </c>
      <c r="L678" s="23" t="n">
        <f aca="false">IF($K$1282=0,0,K678/$K$1282)</f>
        <v>0.000154825040116667</v>
      </c>
      <c r="M678" s="24" t="n">
        <f aca="false">IF(F678&lt;=0,0,K678/F678)</f>
        <v>103.833333333333</v>
      </c>
      <c r="N678" s="21" t="n">
        <v>105</v>
      </c>
      <c r="O678" s="49" t="n">
        <v>2.11</v>
      </c>
      <c r="P678" s="24" t="n">
        <f aca="false">O678*'Price Groups'!$B$5</f>
        <v>47.475</v>
      </c>
      <c r="Q678" s="26" t="n">
        <f aca="false">IF(OR(N678="",P678=""),"",(N678-P678)/N678)</f>
        <v>0.547857142857143</v>
      </c>
      <c r="R678" s="27" t="n">
        <v>1</v>
      </c>
      <c r="S678" s="28" t="n">
        <f aca="false">IF(R678="-",0,IFERROR(VLOOKUP(R678,'Price Groups'!$A$13:$C$17,3,FALSE()),0))</f>
        <v>0.22</v>
      </c>
      <c r="T678" s="22" t="n">
        <f aca="false">IF(OR(N678="",R678="-"),"",CEILING(ROUND(N678*(1+S678),2),IF(N678*(1+S678)&lt;100,0.5,IF(N678*(1+S678)&lt;1000,1,5))))</f>
        <v>129</v>
      </c>
      <c r="U678" s="26" t="n">
        <f aca="false">IF(OR(T678="",P678=""),"",(T678-P678)/T678)</f>
        <v>0.631976744186047</v>
      </c>
      <c r="V678" s="26" t="n">
        <f aca="false">IF(T678="",0,T678/N678-1)</f>
        <v>0.228571428571429</v>
      </c>
      <c r="W678" s="19" t="s">
        <v>94</v>
      </c>
    </row>
    <row r="679" customFormat="false" ht="15" hidden="false" customHeight="false" outlineLevel="0" collapsed="false">
      <c r="A679" s="38" t="n">
        <v>628</v>
      </c>
      <c r="B679" s="38" t="s">
        <v>239</v>
      </c>
      <c r="C679" s="38" t="s">
        <v>307</v>
      </c>
      <c r="D679" s="38" t="s">
        <v>238</v>
      </c>
      <c r="E679" s="38" t="s">
        <v>58</v>
      </c>
      <c r="F679" s="39" t="n">
        <v>18</v>
      </c>
      <c r="G679" s="39" t="n">
        <v>18</v>
      </c>
      <c r="H679" s="40" t="n">
        <v>6493.29</v>
      </c>
      <c r="I679" s="40" t="n">
        <v>-39.9</v>
      </c>
      <c r="J679" s="40" t="n">
        <v>-399</v>
      </c>
      <c r="K679" s="41" t="n">
        <f aca="false">H679+I679+J679</f>
        <v>6054.39</v>
      </c>
      <c r="L679" s="42" t="n">
        <f aca="false">IF($K$1282=0,0,K679/$K$1282)</f>
        <v>0.000501536209005858</v>
      </c>
      <c r="M679" s="43" t="n">
        <f aca="false">IF(F679&lt;=0,0,K679/F679)</f>
        <v>336.355</v>
      </c>
      <c r="N679" s="40" t="n">
        <v>400</v>
      </c>
      <c r="O679" s="44" t="n">
        <v>9.84</v>
      </c>
      <c r="P679" s="43" t="n">
        <f aca="false">O679*'Price Groups'!$B$5</f>
        <v>221.4</v>
      </c>
      <c r="Q679" s="45" t="n">
        <f aca="false">IF(OR(N679="",P679=""),"",(N679-P679)/N679)</f>
        <v>0.4465</v>
      </c>
      <c r="R679" s="46" t="n">
        <v>3</v>
      </c>
      <c r="S679" s="47" t="n">
        <f aca="false">IF(R679="-",0,IFERROR(VLOOKUP(R679,'Price Groups'!$A$13:$C$17,3,FALSE()),0))</f>
        <v>0.16</v>
      </c>
      <c r="T679" s="41" t="n">
        <f aca="false">IF(OR(N679="",R679="-"),"",CEILING(ROUND(N679*(1+S679),2),IF(N679*(1+S679)&lt;100,0.5,IF(N679*(1+S679)&lt;1000,1,5))))</f>
        <v>464</v>
      </c>
      <c r="U679" s="45" t="n">
        <f aca="false">IF(OR(T679="",P679=""),"",(T679-P679)/T679)</f>
        <v>0.522844827586207</v>
      </c>
      <c r="V679" s="45" t="n">
        <f aca="false">IF(T679="",0,T679/N679-1)</f>
        <v>0.16</v>
      </c>
      <c r="W679" s="38" t="s">
        <v>845</v>
      </c>
    </row>
    <row r="680" customFormat="false" ht="15" hidden="false" customHeight="false" outlineLevel="0" collapsed="false">
      <c r="A680" s="19" t="n">
        <v>629</v>
      </c>
      <c r="B680" s="19" t="s">
        <v>846</v>
      </c>
      <c r="C680" s="19" t="s">
        <v>57</v>
      </c>
      <c r="D680" s="19"/>
      <c r="E680" s="19" t="s">
        <v>58</v>
      </c>
      <c r="F680" s="20" t="n">
        <v>17</v>
      </c>
      <c r="G680" s="20" t="n">
        <v>16</v>
      </c>
      <c r="H680" s="21" t="n">
        <v>6790</v>
      </c>
      <c r="I680" s="21" t="n">
        <v>-197.96</v>
      </c>
      <c r="J680" s="21" t="n">
        <v>0</v>
      </c>
      <c r="K680" s="22" t="n">
        <f aca="false">H680+I680+J680</f>
        <v>6592.04</v>
      </c>
      <c r="L680" s="23" t="n">
        <f aca="false">IF($K$1282=0,0,K680/$K$1282)</f>
        <v>0.000546074295051191</v>
      </c>
      <c r="M680" s="24" t="n">
        <f aca="false">IF(F680&lt;=0,0,K680/F680)</f>
        <v>387.767058823529</v>
      </c>
      <c r="N680" s="21" t="n">
        <v>410</v>
      </c>
      <c r="O680" s="49" t="n">
        <v>18.32</v>
      </c>
      <c r="P680" s="24" t="n">
        <f aca="false">O680*'Price Groups'!$B$5</f>
        <v>412.2</v>
      </c>
      <c r="Q680" s="26" t="n">
        <f aca="false">IF(OR(N680="",P680=""),"",(N680-P680)/N680)</f>
        <v>-0.00536585365853656</v>
      </c>
      <c r="R680" s="27" t="n">
        <v>1</v>
      </c>
      <c r="S680" s="28" t="n">
        <f aca="false">IF(R680="-",0,IFERROR(VLOOKUP(R680,'Price Groups'!$A$13:$C$17,3,FALSE()),0))</f>
        <v>0.22</v>
      </c>
      <c r="T680" s="22" t="n">
        <f aca="false">IF(OR(N680="",R680="-"),"",CEILING(ROUND(N680*(1+S680),2),IF(N680*(1+S680)&lt;100,0.5,IF(N680*(1+S680)&lt;1000,1,5))))</f>
        <v>501</v>
      </c>
      <c r="U680" s="26" t="n">
        <f aca="false">IF(OR(T680="",P680=""),"",(T680-P680)/T680)</f>
        <v>0.177245508982036</v>
      </c>
      <c r="V680" s="26" t="n">
        <f aca="false">IF(T680="",0,T680/N680-1)</f>
        <v>0.221951219512195</v>
      </c>
      <c r="W680" s="19" t="s">
        <v>365</v>
      </c>
    </row>
    <row r="681" customFormat="false" ht="15" hidden="false" customHeight="false" outlineLevel="0" collapsed="false">
      <c r="A681" s="38" t="n">
        <v>630</v>
      </c>
      <c r="B681" s="38" t="s">
        <v>847</v>
      </c>
      <c r="C681" s="38" t="s">
        <v>57</v>
      </c>
      <c r="D681" s="38"/>
      <c r="E681" s="38" t="s">
        <v>58</v>
      </c>
      <c r="F681" s="39" t="n">
        <v>17</v>
      </c>
      <c r="G681" s="39" t="n">
        <v>18</v>
      </c>
      <c r="H681" s="40" t="n">
        <v>9997.68</v>
      </c>
      <c r="I681" s="40" t="n">
        <v>0</v>
      </c>
      <c r="J681" s="40" t="n">
        <v>-541</v>
      </c>
      <c r="K681" s="41" t="n">
        <f aca="false">H681+I681+J681</f>
        <v>9456.68</v>
      </c>
      <c r="L681" s="42" t="n">
        <f aca="false">IF($K$1282=0,0,K681/$K$1282)</f>
        <v>0.000783376597308981</v>
      </c>
      <c r="M681" s="43" t="n">
        <f aca="false">IF(F681&lt;=0,0,K681/F681)</f>
        <v>556.275294117647</v>
      </c>
      <c r="N681" s="40" t="n">
        <v>573.46</v>
      </c>
      <c r="O681" s="44" t="n">
        <v>12</v>
      </c>
      <c r="P681" s="43" t="n">
        <f aca="false">O681*'Price Groups'!$B$5</f>
        <v>270</v>
      </c>
      <c r="Q681" s="45" t="n">
        <f aca="false">IF(OR(N681="",P681=""),"",(N681-P681)/N681)</f>
        <v>0.529173787186552</v>
      </c>
      <c r="R681" s="46" t="n">
        <v>1</v>
      </c>
      <c r="S681" s="47" t="n">
        <f aca="false">IF(R681="-",0,IFERROR(VLOOKUP(R681,'Price Groups'!$A$13:$C$17,3,FALSE()),0))</f>
        <v>0.22</v>
      </c>
      <c r="T681" s="41" t="n">
        <f aca="false">IF(OR(N681="",R681="-"),"",CEILING(ROUND(N681*(1+S681),2),IF(N681*(1+S681)&lt;100,0.5,IF(N681*(1+S681)&lt;1000,1,5))))</f>
        <v>700</v>
      </c>
      <c r="U681" s="45" t="n">
        <f aca="false">IF(OR(T681="",P681=""),"",(T681-P681)/T681)</f>
        <v>0.614285714285714</v>
      </c>
      <c r="V681" s="45" t="n">
        <f aca="false">IF(T681="",0,T681/N681-1)</f>
        <v>0.220660551738569</v>
      </c>
      <c r="W681" s="38" t="s">
        <v>94</v>
      </c>
    </row>
    <row r="682" customFormat="false" ht="15" hidden="false" customHeight="false" outlineLevel="0" collapsed="false">
      <c r="A682" s="19" t="n">
        <v>631</v>
      </c>
      <c r="B682" s="19" t="s">
        <v>348</v>
      </c>
      <c r="C682" s="19" t="s">
        <v>307</v>
      </c>
      <c r="D682" s="19" t="s">
        <v>347</v>
      </c>
      <c r="E682" s="19" t="s">
        <v>58</v>
      </c>
      <c r="F682" s="20" t="n">
        <v>17</v>
      </c>
      <c r="G682" s="20" t="n">
        <v>19</v>
      </c>
      <c r="H682" s="21" t="n">
        <v>3727</v>
      </c>
      <c r="I682" s="21" t="n">
        <v>-14.9</v>
      </c>
      <c r="J682" s="21" t="n">
        <v>-739</v>
      </c>
      <c r="K682" s="22" t="n">
        <f aca="false">H682+I682+J682</f>
        <v>2973.1</v>
      </c>
      <c r="L682" s="23" t="n">
        <f aca="false">IF($K$1282=0,0,K682/$K$1282)</f>
        <v>0.000246286959213945</v>
      </c>
      <c r="M682" s="24" t="n">
        <f aca="false">IF(F682&lt;=0,0,K682/F682)</f>
        <v>174.888235294118</v>
      </c>
      <c r="N682" s="21" t="n">
        <v>255</v>
      </c>
      <c r="O682" s="49" t="n">
        <v>3.36</v>
      </c>
      <c r="P682" s="24" t="n">
        <f aca="false">O682*'Price Groups'!$B$5</f>
        <v>75.6</v>
      </c>
      <c r="Q682" s="26" t="n">
        <f aca="false">IF(OR(N682="",P682=""),"",(N682-P682)/N682)</f>
        <v>0.703529411764706</v>
      </c>
      <c r="R682" s="27" t="n">
        <v>1</v>
      </c>
      <c r="S682" s="28" t="n">
        <f aca="false">IF(R682="-",0,IFERROR(VLOOKUP(R682,'Price Groups'!$A$13:$C$17,3,FALSE()),0))</f>
        <v>0.22</v>
      </c>
      <c r="T682" s="22" t="n">
        <f aca="false">IF(OR(N682="",R682="-"),"",CEILING(ROUND(N682*(1+S682),2),IF(N682*(1+S682)&lt;100,0.5,IF(N682*(1+S682)&lt;1000,1,5))))</f>
        <v>312</v>
      </c>
      <c r="U682" s="26" t="n">
        <f aca="false">IF(OR(T682="",P682=""),"",(T682-P682)/T682)</f>
        <v>0.757692307692308</v>
      </c>
      <c r="V682" s="26" t="n">
        <f aca="false">IF(T682="",0,T682/N682-1)</f>
        <v>0.223529411764706</v>
      </c>
      <c r="W682" s="19" t="s">
        <v>848</v>
      </c>
    </row>
    <row r="683" customFormat="false" ht="15" hidden="false" customHeight="false" outlineLevel="0" collapsed="false">
      <c r="A683" s="38" t="n">
        <v>632</v>
      </c>
      <c r="B683" s="38" t="s">
        <v>849</v>
      </c>
      <c r="C683" s="38" t="s">
        <v>57</v>
      </c>
      <c r="D683" s="38"/>
      <c r="E683" s="38" t="s">
        <v>58</v>
      </c>
      <c r="F683" s="39" t="n">
        <v>17</v>
      </c>
      <c r="G683" s="39" t="n">
        <v>15</v>
      </c>
      <c r="H683" s="40" t="n">
        <v>1221.3</v>
      </c>
      <c r="I683" s="40" t="n">
        <v>-6.55</v>
      </c>
      <c r="J683" s="40" t="n">
        <v>-65.55</v>
      </c>
      <c r="K683" s="41" t="n">
        <f aca="false">H683+I683+J683</f>
        <v>1149.2</v>
      </c>
      <c r="L683" s="42" t="n">
        <f aca="false">IF($K$1282=0,0,K683/$K$1282)</f>
        <v>9.51979326388839E-005</v>
      </c>
      <c r="M683" s="43" t="n">
        <f aca="false">IF(F683&lt;=0,0,K683/F683)</f>
        <v>67.6</v>
      </c>
      <c r="N683" s="40" t="n">
        <v>65.55</v>
      </c>
      <c r="O683" s="44" t="n">
        <v>1.42</v>
      </c>
      <c r="P683" s="43" t="n">
        <f aca="false">O683*'Price Groups'!$B$5</f>
        <v>31.95</v>
      </c>
      <c r="Q683" s="45" t="n">
        <f aca="false">IF(OR(N683="",P683=""),"",(N683-P683)/N683)</f>
        <v>0.512585812356979</v>
      </c>
      <c r="R683" s="46" t="n">
        <v>1</v>
      </c>
      <c r="S683" s="47" t="n">
        <f aca="false">IF(R683="-",0,IFERROR(VLOOKUP(R683,'Price Groups'!$A$13:$C$17,3,FALSE()),0))</f>
        <v>0.22</v>
      </c>
      <c r="T683" s="41" t="n">
        <f aca="false">IF(OR(N683="",R683="-"),"",CEILING(ROUND(N683*(1+S683),2),IF(N683*(1+S683)&lt;100,0.5,IF(N683*(1+S683)&lt;1000,1,5))))</f>
        <v>80</v>
      </c>
      <c r="U683" s="45" t="n">
        <f aca="false">IF(OR(T683="",P683=""),"",(T683-P683)/T683)</f>
        <v>0.600625</v>
      </c>
      <c r="V683" s="45" t="n">
        <f aca="false">IF(T683="",0,T683/N683-1)</f>
        <v>0.220442410373761</v>
      </c>
      <c r="W683" s="38" t="s">
        <v>94</v>
      </c>
    </row>
    <row r="684" customFormat="false" ht="15" hidden="false" customHeight="false" outlineLevel="0" collapsed="false">
      <c r="A684" s="19" t="n">
        <v>633</v>
      </c>
      <c r="B684" s="19" t="s">
        <v>850</v>
      </c>
      <c r="C684" s="19" t="s">
        <v>57</v>
      </c>
      <c r="D684" s="19"/>
      <c r="E684" s="19" t="s">
        <v>58</v>
      </c>
      <c r="F684" s="20" t="n">
        <v>17</v>
      </c>
      <c r="G684" s="20" t="n">
        <v>5</v>
      </c>
      <c r="H684" s="21" t="n">
        <v>255</v>
      </c>
      <c r="I684" s="21" t="n">
        <v>0</v>
      </c>
      <c r="J684" s="21" t="n">
        <v>0</v>
      </c>
      <c r="K684" s="22" t="n">
        <f aca="false">H684+I684+J684</f>
        <v>255</v>
      </c>
      <c r="L684" s="23" t="n">
        <f aca="false">IF($K$1282=0,0,K684/$K$1282)</f>
        <v>2.11238016210541E-005</v>
      </c>
      <c r="M684" s="24" t="n">
        <f aca="false">IF(F684&lt;=0,0,K684/F684)</f>
        <v>15</v>
      </c>
      <c r="N684" s="21" t="n">
        <v>15</v>
      </c>
      <c r="O684" s="49" t="n">
        <v>0.38</v>
      </c>
      <c r="P684" s="24" t="n">
        <f aca="false">O684*'Price Groups'!$B$5</f>
        <v>8.55</v>
      </c>
      <c r="Q684" s="26" t="n">
        <f aca="false">IF(OR(N684="",P684=""),"",(N684-P684)/N684)</f>
        <v>0.43</v>
      </c>
      <c r="R684" s="27" t="n">
        <v>1</v>
      </c>
      <c r="S684" s="28" t="n">
        <f aca="false">IF(R684="-",0,IFERROR(VLOOKUP(R684,'Price Groups'!$A$13:$C$17,3,FALSE()),0))</f>
        <v>0.22</v>
      </c>
      <c r="T684" s="22" t="n">
        <f aca="false">IF(OR(N684="",R684="-"),"",CEILING(ROUND(N684*(1+S684),2),IF(N684*(1+S684)&lt;100,0.5,IF(N684*(1+S684)&lt;1000,1,5))))</f>
        <v>18.5</v>
      </c>
      <c r="U684" s="26" t="n">
        <f aca="false">IF(OR(T684="",P684=""),"",(T684-P684)/T684)</f>
        <v>0.537837837837838</v>
      </c>
      <c r="V684" s="26" t="n">
        <f aca="false">IF(T684="",0,T684/N684-1)</f>
        <v>0.233333333333333</v>
      </c>
      <c r="W684" s="19" t="s">
        <v>94</v>
      </c>
    </row>
    <row r="685" customFormat="false" ht="15" hidden="false" customHeight="false" outlineLevel="0" collapsed="false">
      <c r="A685" s="38" t="n">
        <v>634</v>
      </c>
      <c r="B685" s="38" t="s">
        <v>851</v>
      </c>
      <c r="C685" s="38" t="s">
        <v>57</v>
      </c>
      <c r="D685" s="38"/>
      <c r="E685" s="38" t="s">
        <v>58</v>
      </c>
      <c r="F685" s="39" t="n">
        <v>17</v>
      </c>
      <c r="G685" s="39" t="n">
        <v>17</v>
      </c>
      <c r="H685" s="40" t="n">
        <v>12328.96</v>
      </c>
      <c r="I685" s="40" t="n">
        <v>0</v>
      </c>
      <c r="J685" s="40" t="n">
        <v>-1580.74</v>
      </c>
      <c r="K685" s="41" t="n">
        <f aca="false">H685+I685+J685</f>
        <v>10748.22</v>
      </c>
      <c r="L685" s="42" t="n">
        <f aca="false">IF($K$1282=0,0,K685/$K$1282)</f>
        <v>0.000890365753174299</v>
      </c>
      <c r="M685" s="43" t="n">
        <f aca="false">IF(F685&lt;=0,0,K685/F685)</f>
        <v>632.248235294118</v>
      </c>
      <c r="N685" s="40" t="n">
        <v>700</v>
      </c>
      <c r="O685" s="44" t="n">
        <v>12.65</v>
      </c>
      <c r="P685" s="43" t="n">
        <f aca="false">O685*'Price Groups'!$B$5</f>
        <v>284.625</v>
      </c>
      <c r="Q685" s="45" t="n">
        <f aca="false">IF(OR(N685="",P685=""),"",(N685-P685)/N685)</f>
        <v>0.593392857142857</v>
      </c>
      <c r="R685" s="46" t="n">
        <v>3</v>
      </c>
      <c r="S685" s="47" t="n">
        <f aca="false">IF(R685="-",0,IFERROR(VLOOKUP(R685,'Price Groups'!$A$13:$C$17,3,FALSE()),0))</f>
        <v>0.16</v>
      </c>
      <c r="T685" s="41" t="n">
        <f aca="false">IF(OR(N685="",R685="-"),"",CEILING(ROUND(N685*(1+S685),2),IF(N685*(1+S685)&lt;100,0.5,IF(N685*(1+S685)&lt;1000,1,5))))</f>
        <v>812</v>
      </c>
      <c r="U685" s="45" t="n">
        <f aca="false">IF(OR(T685="",P685=""),"",(T685-P685)/T685)</f>
        <v>0.649476600985222</v>
      </c>
      <c r="V685" s="45" t="n">
        <f aca="false">IF(T685="",0,T685/N685-1)</f>
        <v>0.16</v>
      </c>
      <c r="W685" s="38" t="s">
        <v>107</v>
      </c>
    </row>
    <row r="686" customFormat="false" ht="15" hidden="false" customHeight="false" outlineLevel="0" collapsed="false">
      <c r="A686" s="19" t="n">
        <v>635</v>
      </c>
      <c r="B686" s="19" t="s">
        <v>852</v>
      </c>
      <c r="C686" s="19" t="s">
        <v>57</v>
      </c>
      <c r="D686" s="19"/>
      <c r="E686" s="19" t="s">
        <v>58</v>
      </c>
      <c r="F686" s="20" t="n">
        <v>17</v>
      </c>
      <c r="G686" s="20" t="n">
        <v>8</v>
      </c>
      <c r="H686" s="21" t="n">
        <v>1699.83</v>
      </c>
      <c r="I686" s="21" t="n">
        <v>-0.09</v>
      </c>
      <c r="J686" s="21" t="n">
        <v>0</v>
      </c>
      <c r="K686" s="22" t="n">
        <f aca="false">H686+I686+J686</f>
        <v>1699.74</v>
      </c>
      <c r="L686" s="23" t="n">
        <f aca="false">IF($K$1282=0,0,K686/$K$1282)</f>
        <v>0.000140803806146551</v>
      </c>
      <c r="M686" s="24" t="n">
        <f aca="false">IF(F686&lt;=0,0,K686/F686)</f>
        <v>99.9847058823529</v>
      </c>
      <c r="N686" s="21" t="n">
        <v>99.99</v>
      </c>
      <c r="O686" s="49" t="n">
        <v>2.1</v>
      </c>
      <c r="P686" s="24" t="n">
        <f aca="false">O686*'Price Groups'!$B$5</f>
        <v>47.25</v>
      </c>
      <c r="Q686" s="26" t="n">
        <f aca="false">IF(OR(N686="",P686=""),"",(N686-P686)/N686)</f>
        <v>0.527452745274528</v>
      </c>
      <c r="R686" s="27" t="n">
        <v>1</v>
      </c>
      <c r="S686" s="28" t="n">
        <f aca="false">IF(R686="-",0,IFERROR(VLOOKUP(R686,'Price Groups'!$A$13:$C$17,3,FALSE()),0))</f>
        <v>0.22</v>
      </c>
      <c r="T686" s="22" t="n">
        <f aca="false">IF(OR(N686="",R686="-"),"",CEILING(ROUND(N686*(1+S686),2),IF(N686*(1+S686)&lt;100,0.5,IF(N686*(1+S686)&lt;1000,1,5))))</f>
        <v>122</v>
      </c>
      <c r="U686" s="26" t="n">
        <f aca="false">IF(OR(T686="",P686=""),"",(T686-P686)/T686)</f>
        <v>0.612704918032787</v>
      </c>
      <c r="V686" s="26" t="n">
        <f aca="false">IF(T686="",0,T686/N686-1)</f>
        <v>0.22012201220122</v>
      </c>
      <c r="W686" s="19" t="s">
        <v>94</v>
      </c>
    </row>
    <row r="687" customFormat="false" ht="15" hidden="false" customHeight="false" outlineLevel="0" collapsed="false">
      <c r="A687" s="38" t="n">
        <v>636</v>
      </c>
      <c r="B687" s="38" t="s">
        <v>97</v>
      </c>
      <c r="C687" s="38" t="s">
        <v>307</v>
      </c>
      <c r="D687" s="38" t="s">
        <v>96</v>
      </c>
      <c r="E687" s="38" t="s">
        <v>58</v>
      </c>
      <c r="F687" s="39" t="n">
        <v>17</v>
      </c>
      <c r="G687" s="39" t="n">
        <v>20</v>
      </c>
      <c r="H687" s="40" t="n">
        <v>37000</v>
      </c>
      <c r="I687" s="40" t="n">
        <v>-370</v>
      </c>
      <c r="J687" s="40" t="n">
        <v>-5550</v>
      </c>
      <c r="K687" s="41" t="n">
        <f aca="false">H687+I687+J687</f>
        <v>31080</v>
      </c>
      <c r="L687" s="42" t="n">
        <f aca="false">IF($K$1282=0,0,K687/$K$1282)</f>
        <v>0.00257461864463671</v>
      </c>
      <c r="M687" s="43" t="n">
        <f aca="false">IF(F687&lt;=0,0,K687/F687)</f>
        <v>1828.23529411765</v>
      </c>
      <c r="N687" s="40" t="n">
        <v>1940</v>
      </c>
      <c r="O687" s="44" t="n">
        <v>51.75</v>
      </c>
      <c r="P687" s="43" t="n">
        <f aca="false">O687*'Price Groups'!$B$5</f>
        <v>1164.375</v>
      </c>
      <c r="Q687" s="45" t="n">
        <f aca="false">IF(OR(N687="",P687=""),"",(N687-P687)/N687)</f>
        <v>0.399806701030928</v>
      </c>
      <c r="R687" s="46" t="n">
        <v>2</v>
      </c>
      <c r="S687" s="47" t="n">
        <f aca="false">IF(R687="-",0,IFERROR(VLOOKUP(R687,'Price Groups'!$A$13:$C$17,3,FALSE()),0))</f>
        <v>0.18</v>
      </c>
      <c r="T687" s="41" t="n">
        <f aca="false">IF(OR(N687="",R687="-"),"",CEILING(ROUND(N687*(1+S687),2),IF(N687*(1+S687)&lt;100,0.5,IF(N687*(1+S687)&lt;1000,1,5))))</f>
        <v>2290</v>
      </c>
      <c r="U687" s="45" t="n">
        <f aca="false">IF(OR(T687="",P687=""),"",(T687-P687)/T687)</f>
        <v>0.491539301310044</v>
      </c>
      <c r="V687" s="45" t="n">
        <f aca="false">IF(T687="",0,T687/N687-1)</f>
        <v>0.180412371134021</v>
      </c>
      <c r="W687" s="38" t="s">
        <v>853</v>
      </c>
    </row>
    <row r="688" customFormat="false" ht="15" hidden="false" customHeight="false" outlineLevel="0" collapsed="false">
      <c r="A688" s="19" t="n">
        <v>637</v>
      </c>
      <c r="B688" s="19" t="s">
        <v>854</v>
      </c>
      <c r="C688" s="19" t="s">
        <v>57</v>
      </c>
      <c r="D688" s="19"/>
      <c r="E688" s="19" t="s">
        <v>58</v>
      </c>
      <c r="F688" s="20" t="n">
        <v>17</v>
      </c>
      <c r="G688" s="20" t="n">
        <v>18</v>
      </c>
      <c r="H688" s="21" t="n">
        <v>3109.18</v>
      </c>
      <c r="I688" s="21" t="n">
        <v>-18.72</v>
      </c>
      <c r="J688" s="21" t="n">
        <v>-769.95</v>
      </c>
      <c r="K688" s="22" t="n">
        <f aca="false">H688+I688+J688</f>
        <v>2320.51</v>
      </c>
      <c r="L688" s="23" t="n">
        <f aca="false">IF($K$1282=0,0,K688/$K$1282)</f>
        <v>0.00019222742313597</v>
      </c>
      <c r="M688" s="24" t="n">
        <f aca="false">IF(F688&lt;=0,0,K688/F688)</f>
        <v>136.500588235294</v>
      </c>
      <c r="N688" s="21" t="n">
        <v>169.99</v>
      </c>
      <c r="O688" s="49" t="n">
        <v>3.65</v>
      </c>
      <c r="P688" s="24" t="n">
        <f aca="false">O688*'Price Groups'!$B$5</f>
        <v>82.125</v>
      </c>
      <c r="Q688" s="26" t="n">
        <f aca="false">IF(OR(N688="",P688=""),"",(N688-P688)/N688)</f>
        <v>0.516883346079181</v>
      </c>
      <c r="R688" s="27" t="n">
        <v>1</v>
      </c>
      <c r="S688" s="28" t="n">
        <f aca="false">IF(R688="-",0,IFERROR(VLOOKUP(R688,'Price Groups'!$A$13:$C$17,3,FALSE()),0))</f>
        <v>0.22</v>
      </c>
      <c r="T688" s="22" t="n">
        <f aca="false">IF(OR(N688="",R688="-"),"",CEILING(ROUND(N688*(1+S688),2),IF(N688*(1+S688)&lt;100,0.5,IF(N688*(1+S688)&lt;1000,1,5))))</f>
        <v>208</v>
      </c>
      <c r="U688" s="26" t="n">
        <f aca="false">IF(OR(T688="",P688=""),"",(T688-P688)/T688)</f>
        <v>0.605168269230769</v>
      </c>
      <c r="V688" s="26" t="n">
        <f aca="false">IF(T688="",0,T688/N688-1)</f>
        <v>0.22360138831696</v>
      </c>
      <c r="W688" s="19" t="s">
        <v>94</v>
      </c>
    </row>
    <row r="689" customFormat="false" ht="15" hidden="false" customHeight="false" outlineLevel="0" collapsed="false">
      <c r="A689" s="38" t="n">
        <v>638</v>
      </c>
      <c r="B689" s="38" t="s">
        <v>855</v>
      </c>
      <c r="C689" s="38" t="s">
        <v>57</v>
      </c>
      <c r="D689" s="38"/>
      <c r="E689" s="38" t="s">
        <v>58</v>
      </c>
      <c r="F689" s="39" t="n">
        <v>17</v>
      </c>
      <c r="G689" s="39" t="n">
        <v>14</v>
      </c>
      <c r="H689" s="40" t="n">
        <v>6642</v>
      </c>
      <c r="I689" s="40" t="n">
        <v>-36.89</v>
      </c>
      <c r="J689" s="40" t="n">
        <v>-369</v>
      </c>
      <c r="K689" s="41" t="n">
        <f aca="false">H689+I689+J689</f>
        <v>6236.11</v>
      </c>
      <c r="L689" s="42" t="n">
        <f aca="false">IF($K$1282=0,0,K689/$K$1282)</f>
        <v>0.000516589609910086</v>
      </c>
      <c r="M689" s="43" t="n">
        <f aca="false">IF(F689&lt;=0,0,K689/F689)</f>
        <v>366.83</v>
      </c>
      <c r="N689" s="40" t="n">
        <v>369</v>
      </c>
      <c r="O689" s="44" t="n">
        <v>11.5</v>
      </c>
      <c r="P689" s="43" t="n">
        <f aca="false">O689*'Price Groups'!$B$5</f>
        <v>258.75</v>
      </c>
      <c r="Q689" s="45" t="n">
        <f aca="false">IF(OR(N689="",P689=""),"",(N689-P689)/N689)</f>
        <v>0.298780487804878</v>
      </c>
      <c r="R689" s="46" t="n">
        <v>1</v>
      </c>
      <c r="S689" s="47" t="n">
        <f aca="false">IF(R689="-",0,IFERROR(VLOOKUP(R689,'Price Groups'!$A$13:$C$17,3,FALSE()),0))</f>
        <v>0.22</v>
      </c>
      <c r="T689" s="41" t="n">
        <f aca="false">IF(OR(N689="",R689="-"),"",CEILING(ROUND(N689*(1+S689),2),IF(N689*(1+S689)&lt;100,0.5,IF(N689*(1+S689)&lt;1000,1,5))))</f>
        <v>451</v>
      </c>
      <c r="U689" s="45" t="n">
        <f aca="false">IF(OR(T689="",P689=""),"",(T689-P689)/T689)</f>
        <v>0.426274944567628</v>
      </c>
      <c r="V689" s="45" t="n">
        <f aca="false">IF(T689="",0,T689/N689-1)</f>
        <v>0.222222222222222</v>
      </c>
      <c r="W689" s="38" t="s">
        <v>94</v>
      </c>
    </row>
    <row r="690" customFormat="false" ht="15" hidden="false" customHeight="false" outlineLevel="0" collapsed="false">
      <c r="A690" s="19" t="n">
        <v>639</v>
      </c>
      <c r="B690" s="19" t="s">
        <v>856</v>
      </c>
      <c r="C690" s="19" t="s">
        <v>57</v>
      </c>
      <c r="D690" s="19"/>
      <c r="E690" s="19" t="s">
        <v>58</v>
      </c>
      <c r="F690" s="20" t="n">
        <v>17</v>
      </c>
      <c r="G690" s="20" t="n">
        <v>10</v>
      </c>
      <c r="H690" s="21" t="n">
        <v>5665.64</v>
      </c>
      <c r="I690" s="21" t="n">
        <v>-85.02</v>
      </c>
      <c r="J690" s="21" t="n">
        <v>-283.47</v>
      </c>
      <c r="K690" s="22" t="n">
        <f aca="false">H690+I690+J690</f>
        <v>5297.15</v>
      </c>
      <c r="L690" s="23" t="n">
        <f aca="false">IF($K$1282=0,0,K690/$K$1282)</f>
        <v>0.000438807630419478</v>
      </c>
      <c r="M690" s="24" t="n">
        <f aca="false">IF(F690&lt;=0,0,K690/F690)</f>
        <v>311.597058823529</v>
      </c>
      <c r="N690" s="21" t="n">
        <v>283.47</v>
      </c>
      <c r="O690" s="49" t="n">
        <v>11.5</v>
      </c>
      <c r="P690" s="24" t="n">
        <f aca="false">O690*'Price Groups'!$B$5</f>
        <v>258.75</v>
      </c>
      <c r="Q690" s="26" t="n">
        <f aca="false">IF(OR(N690="",P690=""),"",(N690-P690)/N690)</f>
        <v>0.0872049952375914</v>
      </c>
      <c r="R690" s="27" t="n">
        <v>1</v>
      </c>
      <c r="S690" s="28" t="n">
        <f aca="false">IF(R690="-",0,IFERROR(VLOOKUP(R690,'Price Groups'!$A$13:$C$17,3,FALSE()),0))</f>
        <v>0.22</v>
      </c>
      <c r="T690" s="22" t="n">
        <f aca="false">IF(OR(N690="",R690="-"),"",CEILING(ROUND(N690*(1+S690),2),IF(N690*(1+S690)&lt;100,0.5,IF(N690*(1+S690)&lt;1000,1,5))))</f>
        <v>346</v>
      </c>
      <c r="U690" s="26" t="n">
        <f aca="false">IF(OR(T690="",P690=""),"",(T690-P690)/T690)</f>
        <v>0.252167630057803</v>
      </c>
      <c r="V690" s="26" t="n">
        <f aca="false">IF(T690="",0,T690/N690-1)</f>
        <v>0.220587716513211</v>
      </c>
      <c r="W690" s="19" t="s">
        <v>857</v>
      </c>
    </row>
    <row r="691" customFormat="false" ht="15" hidden="false" customHeight="false" outlineLevel="0" collapsed="false">
      <c r="A691" s="38" t="n">
        <v>640</v>
      </c>
      <c r="B691" s="38" t="s">
        <v>858</v>
      </c>
      <c r="C691" s="38" t="s">
        <v>57</v>
      </c>
      <c r="D691" s="38"/>
      <c r="E691" s="38" t="s">
        <v>58</v>
      </c>
      <c r="F691" s="39" t="n">
        <v>17</v>
      </c>
      <c r="G691" s="39" t="n">
        <v>19</v>
      </c>
      <c r="H691" s="40" t="n">
        <v>4799.8</v>
      </c>
      <c r="I691" s="40" t="n">
        <v>0</v>
      </c>
      <c r="J691" s="40" t="n">
        <v>-719.97</v>
      </c>
      <c r="K691" s="41" t="n">
        <f aca="false">H691+I691+J691</f>
        <v>4079.83</v>
      </c>
      <c r="L691" s="42" t="n">
        <f aca="false">IF($K$1282=0,0,K691/$K$1282)</f>
        <v>0.000337966743402452</v>
      </c>
      <c r="M691" s="43" t="n">
        <f aca="false">IF(F691&lt;=0,0,K691/F691)</f>
        <v>239.99</v>
      </c>
      <c r="N691" s="40" t="n">
        <v>150</v>
      </c>
      <c r="O691" s="44" t="n">
        <v>4.55</v>
      </c>
      <c r="P691" s="43" t="n">
        <f aca="false">O691*'Price Groups'!$B$5</f>
        <v>102.375</v>
      </c>
      <c r="Q691" s="45" t="n">
        <f aca="false">IF(OR(N691="",P691=""),"",(N691-P691)/N691)</f>
        <v>0.3175</v>
      </c>
      <c r="R691" s="46" t="n">
        <v>1</v>
      </c>
      <c r="S691" s="47" t="n">
        <f aca="false">IF(R691="-",0,IFERROR(VLOOKUP(R691,'Price Groups'!$A$13:$C$17,3,FALSE()),0))</f>
        <v>0.22</v>
      </c>
      <c r="T691" s="41" t="n">
        <f aca="false">IF(OR(N691="",R691="-"),"",CEILING(ROUND(N691*(1+S691),2),IF(N691*(1+S691)&lt;100,0.5,IF(N691*(1+S691)&lt;1000,1,5))))</f>
        <v>183</v>
      </c>
      <c r="U691" s="45" t="n">
        <f aca="false">IF(OR(T691="",P691=""),"",(T691-P691)/T691)</f>
        <v>0.440573770491803</v>
      </c>
      <c r="V691" s="45" t="n">
        <f aca="false">IF(T691="",0,T691/N691-1)</f>
        <v>0.22</v>
      </c>
      <c r="W691" s="38" t="s">
        <v>94</v>
      </c>
    </row>
    <row r="692" customFormat="false" ht="15" hidden="false" customHeight="false" outlineLevel="0" collapsed="false">
      <c r="A692" s="19" t="n">
        <v>641</v>
      </c>
      <c r="B692" s="19" t="s">
        <v>859</v>
      </c>
      <c r="C692" s="19" t="s">
        <v>57</v>
      </c>
      <c r="D692" s="19"/>
      <c r="E692" s="19" t="s">
        <v>58</v>
      </c>
      <c r="F692" s="20" t="n">
        <v>17</v>
      </c>
      <c r="G692" s="20" t="n">
        <v>15</v>
      </c>
      <c r="H692" s="21" t="n">
        <v>564.84</v>
      </c>
      <c r="I692" s="21" t="n">
        <v>-2.25</v>
      </c>
      <c r="J692" s="21" t="n">
        <v>-44.96</v>
      </c>
      <c r="K692" s="22" t="n">
        <f aca="false">H692+I692+J692</f>
        <v>517.63</v>
      </c>
      <c r="L692" s="23" t="n">
        <f aca="false">IF($K$1282=0,0,K692/$K$1282)</f>
        <v>4.28796605219853E-005</v>
      </c>
      <c r="M692" s="24" t="n">
        <f aca="false">IF(F692&lt;=0,0,K692/F692)</f>
        <v>30.4488235294118</v>
      </c>
      <c r="N692" s="21" t="n">
        <v>22.48</v>
      </c>
      <c r="O692" s="49" t="n">
        <v>0.76</v>
      </c>
      <c r="P692" s="24" t="n">
        <f aca="false">O692*'Price Groups'!$B$5</f>
        <v>17.1</v>
      </c>
      <c r="Q692" s="26" t="n">
        <f aca="false">IF(OR(N692="",P692=""),"",(N692-P692)/N692)</f>
        <v>0.23932384341637</v>
      </c>
      <c r="R692" s="27" t="n">
        <v>1</v>
      </c>
      <c r="S692" s="28" t="n">
        <f aca="false">IF(R692="-",0,IFERROR(VLOOKUP(R692,'Price Groups'!$A$13:$C$17,3,FALSE()),0))</f>
        <v>0.22</v>
      </c>
      <c r="T692" s="22" t="n">
        <f aca="false">IF(OR(N692="",R692="-"),"",CEILING(ROUND(N692*(1+S692),2),IF(N692*(1+S692)&lt;100,0.5,IF(N692*(1+S692)&lt;1000,1,5))))</f>
        <v>27.5</v>
      </c>
      <c r="U692" s="26" t="n">
        <f aca="false">IF(OR(T692="",P692=""),"",(T692-P692)/T692)</f>
        <v>0.378181818181818</v>
      </c>
      <c r="V692" s="26" t="n">
        <f aca="false">IF(T692="",0,T692/N692-1)</f>
        <v>0.223309608540925</v>
      </c>
      <c r="W692" s="19" t="s">
        <v>244</v>
      </c>
    </row>
    <row r="693" customFormat="false" ht="15" hidden="false" customHeight="false" outlineLevel="0" collapsed="false">
      <c r="A693" s="38" t="n">
        <v>642</v>
      </c>
      <c r="B693" s="38" t="s">
        <v>860</v>
      </c>
      <c r="C693" s="38" t="s">
        <v>57</v>
      </c>
      <c r="D693" s="38"/>
      <c r="E693" s="38" t="s">
        <v>58</v>
      </c>
      <c r="F693" s="39" t="n">
        <v>17</v>
      </c>
      <c r="G693" s="39" t="n">
        <v>14</v>
      </c>
      <c r="H693" s="40" t="n">
        <v>286.01</v>
      </c>
      <c r="I693" s="40" t="n">
        <v>-2.75</v>
      </c>
      <c r="J693" s="40" t="n">
        <v>-34.39</v>
      </c>
      <c r="K693" s="41" t="n">
        <f aca="false">H693+I693+J693</f>
        <v>248.87</v>
      </c>
      <c r="L693" s="42" t="n">
        <f aca="false">IF($K$1282=0,0,K693/$K$1282)</f>
        <v>2.06160019977715E-005</v>
      </c>
      <c r="M693" s="43" t="n">
        <f aca="false">IF(F693&lt;=0,0,K693/F693)</f>
        <v>14.6394117647059</v>
      </c>
      <c r="N693" s="40" t="n">
        <v>16.34</v>
      </c>
      <c r="O693" s="44" t="n">
        <v>0.51</v>
      </c>
      <c r="P693" s="43" t="n">
        <f aca="false">O693*'Price Groups'!$B$5</f>
        <v>11.475</v>
      </c>
      <c r="Q693" s="45" t="n">
        <f aca="false">IF(OR(N693="",P693=""),"",(N693-P693)/N693)</f>
        <v>0.297735618115055</v>
      </c>
      <c r="R693" s="46" t="n">
        <v>1</v>
      </c>
      <c r="S693" s="47" t="n">
        <f aca="false">IF(R693="-",0,IFERROR(VLOOKUP(R693,'Price Groups'!$A$13:$C$17,3,FALSE()),0))</f>
        <v>0.22</v>
      </c>
      <c r="T693" s="41" t="n">
        <f aca="false">IF(OR(N693="",R693="-"),"",CEILING(ROUND(N693*(1+S693),2),IF(N693*(1+S693)&lt;100,0.5,IF(N693*(1+S693)&lt;1000,1,5))))</f>
        <v>20</v>
      </c>
      <c r="U693" s="45" t="n">
        <f aca="false">IF(OR(T693="",P693=""),"",(T693-P693)/T693)</f>
        <v>0.42625</v>
      </c>
      <c r="V693" s="45" t="n">
        <f aca="false">IF(T693="",0,T693/N693-1)</f>
        <v>0.223990208078335</v>
      </c>
      <c r="W693" s="38" t="s">
        <v>94</v>
      </c>
    </row>
    <row r="694" customFormat="false" ht="15" hidden="false" customHeight="false" outlineLevel="0" collapsed="false">
      <c r="A694" s="19" t="n">
        <v>643</v>
      </c>
      <c r="B694" s="19" t="s">
        <v>861</v>
      </c>
      <c r="C694" s="19" t="s">
        <v>57</v>
      </c>
      <c r="D694" s="19"/>
      <c r="E694" s="19" t="s">
        <v>58</v>
      </c>
      <c r="F694" s="20" t="n">
        <v>17</v>
      </c>
      <c r="G694" s="20" t="n">
        <v>16</v>
      </c>
      <c r="H694" s="21" t="n">
        <v>158.4</v>
      </c>
      <c r="I694" s="21" t="n">
        <v>-0.7</v>
      </c>
      <c r="J694" s="21" t="n">
        <v>-16.05</v>
      </c>
      <c r="K694" s="22" t="n">
        <f aca="false">H694+I694+J694</f>
        <v>141.65</v>
      </c>
      <c r="L694" s="23" t="n">
        <f aca="false">IF($K$1282=0,0,K694/$K$1282)</f>
        <v>1.17340647044012E-005</v>
      </c>
      <c r="M694" s="24" t="n">
        <f aca="false">IF(F694&lt;=0,0,K694/F694)</f>
        <v>8.33235294117647</v>
      </c>
      <c r="N694" s="21" t="n">
        <v>7.05</v>
      </c>
      <c r="O694" s="49" t="n">
        <v>0.22</v>
      </c>
      <c r="P694" s="24" t="n">
        <f aca="false">O694*'Price Groups'!$B$5</f>
        <v>4.95</v>
      </c>
      <c r="Q694" s="26" t="n">
        <f aca="false">IF(OR(N694="",P694=""),"",(N694-P694)/N694)</f>
        <v>0.297872340425532</v>
      </c>
      <c r="R694" s="27" t="n">
        <v>1</v>
      </c>
      <c r="S694" s="28" t="n">
        <f aca="false">IF(R694="-",0,IFERROR(VLOOKUP(R694,'Price Groups'!$A$13:$C$17,3,FALSE()),0))</f>
        <v>0.22</v>
      </c>
      <c r="T694" s="22" t="n">
        <f aca="false">IF(OR(N694="",R694="-"),"",CEILING(ROUND(N694*(1+S694),2),IF(N694*(1+S694)&lt;100,0.5,IF(N694*(1+S694)&lt;1000,1,5))))</f>
        <v>9</v>
      </c>
      <c r="U694" s="26" t="n">
        <f aca="false">IF(OR(T694="",P694=""),"",(T694-P694)/T694)</f>
        <v>0.45</v>
      </c>
      <c r="V694" s="26" t="n">
        <f aca="false">IF(T694="",0,T694/N694-1)</f>
        <v>0.276595744680851</v>
      </c>
      <c r="W694" s="19" t="s">
        <v>94</v>
      </c>
    </row>
    <row r="695" customFormat="false" ht="15" hidden="false" customHeight="false" outlineLevel="0" collapsed="false">
      <c r="A695" s="38" t="n">
        <v>644</v>
      </c>
      <c r="B695" s="38" t="s">
        <v>862</v>
      </c>
      <c r="C695" s="38" t="s">
        <v>57</v>
      </c>
      <c r="D695" s="38"/>
      <c r="E695" s="38" t="s">
        <v>58</v>
      </c>
      <c r="F695" s="39" t="n">
        <v>17</v>
      </c>
      <c r="G695" s="39" t="n">
        <v>18</v>
      </c>
      <c r="H695" s="40" t="n">
        <v>12668.65</v>
      </c>
      <c r="I695" s="40" t="n">
        <v>0</v>
      </c>
      <c r="J695" s="40" t="n">
        <v>-1917.5</v>
      </c>
      <c r="K695" s="41" t="n">
        <f aca="false">H695+I695+J695</f>
        <v>10751.15</v>
      </c>
      <c r="L695" s="42" t="n">
        <f aca="false">IF($K$1282=0,0,K695/$K$1282)</f>
        <v>0.000890608469796847</v>
      </c>
      <c r="M695" s="43" t="n">
        <f aca="false">IF(F695&lt;=0,0,K695/F695)</f>
        <v>632.420588235294</v>
      </c>
      <c r="N695" s="40" t="n">
        <v>500</v>
      </c>
      <c r="O695" s="44" t="n">
        <v>12</v>
      </c>
      <c r="P695" s="43" t="n">
        <f aca="false">O695*'Price Groups'!$B$5</f>
        <v>270</v>
      </c>
      <c r="Q695" s="45" t="n">
        <f aca="false">IF(OR(N695="",P695=""),"",(N695-P695)/N695)</f>
        <v>0.46</v>
      </c>
      <c r="R695" s="46" t="n">
        <v>3</v>
      </c>
      <c r="S695" s="47" t="n">
        <f aca="false">IF(R695="-",0,IFERROR(VLOOKUP(R695,'Price Groups'!$A$13:$C$17,3,FALSE()),0))</f>
        <v>0.16</v>
      </c>
      <c r="T695" s="41" t="n">
        <f aca="false">IF(OR(N695="",R695="-"),"",CEILING(ROUND(N695*(1+S695),2),IF(N695*(1+S695)&lt;100,0.5,IF(N695*(1+S695)&lt;1000,1,5))))</f>
        <v>580</v>
      </c>
      <c r="U695" s="45" t="n">
        <f aca="false">IF(OR(T695="",P695=""),"",(T695-P695)/T695)</f>
        <v>0.53448275862069</v>
      </c>
      <c r="V695" s="45" t="n">
        <f aca="false">IF(T695="",0,T695/N695-1)</f>
        <v>0.16</v>
      </c>
      <c r="W695" s="38" t="s">
        <v>107</v>
      </c>
    </row>
    <row r="696" customFormat="false" ht="15" hidden="false" customHeight="false" outlineLevel="0" collapsed="false">
      <c r="A696" s="19" t="n">
        <v>645</v>
      </c>
      <c r="B696" s="19" t="s">
        <v>863</v>
      </c>
      <c r="C696" s="19" t="s">
        <v>57</v>
      </c>
      <c r="D696" s="19"/>
      <c r="E696" s="19" t="s">
        <v>58</v>
      </c>
      <c r="F696" s="20" t="n">
        <v>17</v>
      </c>
      <c r="G696" s="20" t="n">
        <v>16</v>
      </c>
      <c r="H696" s="21" t="n">
        <v>5249.79</v>
      </c>
      <c r="I696" s="21" t="n">
        <v>0</v>
      </c>
      <c r="J696" s="21" t="n">
        <v>-999.96</v>
      </c>
      <c r="K696" s="22" t="n">
        <f aca="false">H696+I696+J696</f>
        <v>4249.83</v>
      </c>
      <c r="L696" s="23" t="n">
        <f aca="false">IF($K$1282=0,0,K696/$K$1282)</f>
        <v>0.000352049277816488</v>
      </c>
      <c r="M696" s="24" t="n">
        <f aca="false">IF(F696&lt;=0,0,K696/F696)</f>
        <v>249.99</v>
      </c>
      <c r="N696" s="21" t="n">
        <v>249.99</v>
      </c>
      <c r="O696" s="49" t="n">
        <v>7.5</v>
      </c>
      <c r="P696" s="24" t="n">
        <f aca="false">O696*'Price Groups'!$B$5</f>
        <v>168.75</v>
      </c>
      <c r="Q696" s="26" t="n">
        <f aca="false">IF(OR(N696="",P696=""),"",(N696-P696)/N696)</f>
        <v>0.324972998919957</v>
      </c>
      <c r="R696" s="27" t="n">
        <v>1</v>
      </c>
      <c r="S696" s="28" t="n">
        <f aca="false">IF(R696="-",0,IFERROR(VLOOKUP(R696,'Price Groups'!$A$13:$C$17,3,FALSE()),0))</f>
        <v>0.22</v>
      </c>
      <c r="T696" s="22" t="n">
        <f aca="false">IF(OR(N696="",R696="-"),"",CEILING(ROUND(N696*(1+S696),2),IF(N696*(1+S696)&lt;100,0.5,IF(N696*(1+S696)&lt;1000,1,5))))</f>
        <v>305</v>
      </c>
      <c r="U696" s="26" t="n">
        <f aca="false">IF(OR(T696="",P696=""),"",(T696-P696)/T696)</f>
        <v>0.44672131147541</v>
      </c>
      <c r="V696" s="26" t="n">
        <f aca="false">IF(T696="",0,T696/N696-1)</f>
        <v>0.220048801952078</v>
      </c>
      <c r="W696" s="19" t="s">
        <v>94</v>
      </c>
    </row>
    <row r="697" customFormat="false" ht="15" hidden="false" customHeight="false" outlineLevel="0" collapsed="false">
      <c r="A697" s="38" t="n">
        <v>646</v>
      </c>
      <c r="B697" s="38" t="s">
        <v>864</v>
      </c>
      <c r="C697" s="38" t="s">
        <v>57</v>
      </c>
      <c r="D697" s="38"/>
      <c r="E697" s="38" t="s">
        <v>58</v>
      </c>
      <c r="F697" s="39" t="n">
        <v>17</v>
      </c>
      <c r="G697" s="39" t="n">
        <v>16</v>
      </c>
      <c r="H697" s="40" t="n">
        <v>1619.87</v>
      </c>
      <c r="I697" s="40" t="n">
        <v>-17.99</v>
      </c>
      <c r="J697" s="40" t="n">
        <v>0</v>
      </c>
      <c r="K697" s="41" t="n">
        <f aca="false">H697+I697+J697</f>
        <v>1601.88</v>
      </c>
      <c r="L697" s="42" t="n">
        <f aca="false">IF($K$1282=0,0,K697/$K$1282)</f>
        <v>0.00013269723663033</v>
      </c>
      <c r="M697" s="43" t="n">
        <f aca="false">IF(F697&lt;=0,0,K697/F697)</f>
        <v>94.2282352941176</v>
      </c>
      <c r="N697" s="40" t="n">
        <v>80</v>
      </c>
      <c r="O697" s="44" t="n">
        <v>3.8</v>
      </c>
      <c r="P697" s="43" t="n">
        <f aca="false">O697*'Price Groups'!$B$5</f>
        <v>85.5</v>
      </c>
      <c r="Q697" s="45" t="n">
        <f aca="false">IF(OR(N697="",P697=""),"",(N697-P697)/N697)</f>
        <v>-0.06875</v>
      </c>
      <c r="R697" s="46" t="n">
        <v>1</v>
      </c>
      <c r="S697" s="47" t="n">
        <f aca="false">IF(R697="-",0,IFERROR(VLOOKUP(R697,'Price Groups'!$A$13:$C$17,3,FALSE()),0))</f>
        <v>0.22</v>
      </c>
      <c r="T697" s="41" t="n">
        <f aca="false">IF(OR(N697="",R697="-"),"",CEILING(ROUND(N697*(1+S697),2),IF(N697*(1+S697)&lt;100,0.5,IF(N697*(1+S697)&lt;1000,1,5))))</f>
        <v>98</v>
      </c>
      <c r="U697" s="45" t="n">
        <f aca="false">IF(OR(T697="",P697=""),"",(T697-P697)/T697)</f>
        <v>0.127551020408163</v>
      </c>
      <c r="V697" s="45" t="n">
        <f aca="false">IF(T697="",0,T697/N697-1)</f>
        <v>0.225</v>
      </c>
      <c r="W697" s="38" t="s">
        <v>781</v>
      </c>
    </row>
    <row r="698" customFormat="false" ht="15" hidden="false" customHeight="false" outlineLevel="0" collapsed="false">
      <c r="A698" s="19" t="n">
        <v>647</v>
      </c>
      <c r="B698" s="19" t="s">
        <v>865</v>
      </c>
      <c r="C698" s="19" t="s">
        <v>57</v>
      </c>
      <c r="D698" s="19"/>
      <c r="E698" s="19" t="s">
        <v>58</v>
      </c>
      <c r="F698" s="20" t="n">
        <v>17</v>
      </c>
      <c r="G698" s="20" t="n">
        <v>13</v>
      </c>
      <c r="H698" s="21" t="n">
        <v>2249.82</v>
      </c>
      <c r="I698" s="21" t="n">
        <v>-24.98</v>
      </c>
      <c r="J698" s="21" t="n">
        <v>-124.99</v>
      </c>
      <c r="K698" s="22" t="n">
        <f aca="false">H698+I698+J698</f>
        <v>2099.85</v>
      </c>
      <c r="L698" s="23" t="n">
        <f aca="false">IF($K$1282=0,0,K698/$K$1282)</f>
        <v>0.000173948293466551</v>
      </c>
      <c r="M698" s="24" t="n">
        <f aca="false">IF(F698&lt;=0,0,K698/F698)</f>
        <v>123.520588235294</v>
      </c>
      <c r="N698" s="21" t="n">
        <v>124.99</v>
      </c>
      <c r="O698" s="49" t="n">
        <v>3.04</v>
      </c>
      <c r="P698" s="24" t="n">
        <f aca="false">O698*'Price Groups'!$B$5</f>
        <v>68.4</v>
      </c>
      <c r="Q698" s="26" t="n">
        <f aca="false">IF(OR(N698="",P698=""),"",(N698-P698)/N698)</f>
        <v>0.45275622049764</v>
      </c>
      <c r="R698" s="27" t="n">
        <v>1</v>
      </c>
      <c r="S698" s="28" t="n">
        <f aca="false">IF(R698="-",0,IFERROR(VLOOKUP(R698,'Price Groups'!$A$13:$C$17,3,FALSE()),0))</f>
        <v>0.22</v>
      </c>
      <c r="T698" s="22" t="n">
        <f aca="false">IF(OR(N698="",R698="-"),"",CEILING(ROUND(N698*(1+S698),2),IF(N698*(1+S698)&lt;100,0.5,IF(N698*(1+S698)&lt;1000,1,5))))</f>
        <v>153</v>
      </c>
      <c r="U698" s="26" t="n">
        <f aca="false">IF(OR(T698="",P698=""),"",(T698-P698)/T698)</f>
        <v>0.552941176470588</v>
      </c>
      <c r="V698" s="26" t="n">
        <f aca="false">IF(T698="",0,T698/N698-1)</f>
        <v>0.224097927834227</v>
      </c>
      <c r="W698" s="19" t="s">
        <v>94</v>
      </c>
    </row>
    <row r="699" customFormat="false" ht="15" hidden="false" customHeight="false" outlineLevel="0" collapsed="false">
      <c r="A699" s="38" t="n">
        <v>648</v>
      </c>
      <c r="B699" s="38" t="s">
        <v>866</v>
      </c>
      <c r="C699" s="38" t="s">
        <v>57</v>
      </c>
      <c r="D699" s="38"/>
      <c r="E699" s="38" t="s">
        <v>58</v>
      </c>
      <c r="F699" s="39" t="n">
        <v>17</v>
      </c>
      <c r="G699" s="39" t="n">
        <v>11</v>
      </c>
      <c r="H699" s="40" t="n">
        <v>1145.01</v>
      </c>
      <c r="I699" s="40" t="n">
        <v>-37.37</v>
      </c>
      <c r="J699" s="40" t="n">
        <v>-93.47</v>
      </c>
      <c r="K699" s="41" t="n">
        <f aca="false">H699+I699+J699</f>
        <v>1014.17</v>
      </c>
      <c r="L699" s="42" t="n">
        <f aca="false">IF($K$1282=0,0,K699/$K$1282)</f>
        <v>8.40122583922528E-005</v>
      </c>
      <c r="M699" s="43" t="n">
        <f aca="false">IF(F699&lt;=0,0,K699/F699)</f>
        <v>59.6570588235294</v>
      </c>
      <c r="N699" s="40" t="n">
        <v>39.99</v>
      </c>
      <c r="O699" s="44" t="n">
        <v>1.04</v>
      </c>
      <c r="P699" s="43" t="n">
        <f aca="false">O699*'Price Groups'!$B$5</f>
        <v>23.4</v>
      </c>
      <c r="Q699" s="45" t="n">
        <f aca="false">IF(OR(N699="",P699=""),"",(N699-P699)/N699)</f>
        <v>0.414853713428357</v>
      </c>
      <c r="R699" s="46" t="n">
        <v>1</v>
      </c>
      <c r="S699" s="47" t="n">
        <f aca="false">IF(R699="-",0,IFERROR(VLOOKUP(R699,'Price Groups'!$A$13:$C$17,3,FALSE()),0))</f>
        <v>0.22</v>
      </c>
      <c r="T699" s="41" t="n">
        <f aca="false">IF(OR(N699="",R699="-"),"",CEILING(ROUND(N699*(1+S699),2),IF(N699*(1+S699)&lt;100,0.5,IF(N699*(1+S699)&lt;1000,1,5))))</f>
        <v>49</v>
      </c>
      <c r="U699" s="45" t="n">
        <f aca="false">IF(OR(T699="",P699=""),"",(T699-P699)/T699)</f>
        <v>0.522448979591837</v>
      </c>
      <c r="V699" s="45" t="n">
        <f aca="false">IF(T699="",0,T699/N699-1)</f>
        <v>0.225306326581645</v>
      </c>
      <c r="W699" s="38" t="s">
        <v>94</v>
      </c>
    </row>
    <row r="700" customFormat="false" ht="15" hidden="false" customHeight="false" outlineLevel="0" collapsed="false">
      <c r="A700" s="19" t="n">
        <v>649</v>
      </c>
      <c r="B700" s="19" t="s">
        <v>867</v>
      </c>
      <c r="C700" s="19" t="s">
        <v>57</v>
      </c>
      <c r="D700" s="19"/>
      <c r="E700" s="19" t="s">
        <v>58</v>
      </c>
      <c r="F700" s="20" t="n">
        <v>17</v>
      </c>
      <c r="G700" s="20" t="n">
        <v>15</v>
      </c>
      <c r="H700" s="21" t="n">
        <v>335.95</v>
      </c>
      <c r="I700" s="21" t="n">
        <v>-1.8</v>
      </c>
      <c r="J700" s="21" t="n">
        <v>-91.98</v>
      </c>
      <c r="K700" s="22" t="n">
        <f aca="false">H700+I700+J700</f>
        <v>242.17</v>
      </c>
      <c r="L700" s="23" t="n">
        <f aca="false">IF($K$1282=0,0,K700/$K$1282)</f>
        <v>2.0060984464983E-005</v>
      </c>
      <c r="M700" s="24" t="n">
        <f aca="false">IF(F700&lt;=0,0,K700/F700)</f>
        <v>14.2452941176471</v>
      </c>
      <c r="N700" s="21" t="n">
        <v>13.14</v>
      </c>
      <c r="O700" s="49" t="n">
        <v>0.41</v>
      </c>
      <c r="P700" s="24" t="n">
        <f aca="false">O700*'Price Groups'!$B$5</f>
        <v>9.225</v>
      </c>
      <c r="Q700" s="26" t="n">
        <f aca="false">IF(OR(N700="",P700=""),"",(N700-P700)/N700)</f>
        <v>0.297945205479452</v>
      </c>
      <c r="R700" s="27" t="n">
        <v>1</v>
      </c>
      <c r="S700" s="28" t="n">
        <f aca="false">IF(R700="-",0,IFERROR(VLOOKUP(R700,'Price Groups'!$A$13:$C$17,3,FALSE()),0))</f>
        <v>0.22</v>
      </c>
      <c r="T700" s="22" t="n">
        <f aca="false">IF(OR(N700="",R700="-"),"",CEILING(ROUND(N700*(1+S700),2),IF(N700*(1+S700)&lt;100,0.5,IF(N700*(1+S700)&lt;1000,1,5))))</f>
        <v>16.5</v>
      </c>
      <c r="U700" s="26" t="n">
        <f aca="false">IF(OR(T700="",P700=""),"",(T700-P700)/T700)</f>
        <v>0.440909090909091</v>
      </c>
      <c r="V700" s="26" t="n">
        <f aca="false">IF(T700="",0,T700/N700-1)</f>
        <v>0.255707762557078</v>
      </c>
      <c r="W700" s="19" t="s">
        <v>94</v>
      </c>
    </row>
    <row r="701" customFormat="false" ht="15" hidden="false" customHeight="false" outlineLevel="0" collapsed="false">
      <c r="A701" s="38" t="n">
        <v>650</v>
      </c>
      <c r="B701" s="38" t="s">
        <v>868</v>
      </c>
      <c r="C701" s="38" t="s">
        <v>57</v>
      </c>
      <c r="D701" s="38"/>
      <c r="E701" s="38" t="s">
        <v>58</v>
      </c>
      <c r="F701" s="39" t="n">
        <v>16</v>
      </c>
      <c r="G701" s="39" t="n">
        <v>16</v>
      </c>
      <c r="H701" s="40" t="n">
        <v>380</v>
      </c>
      <c r="I701" s="40" t="n">
        <v>-7.89</v>
      </c>
      <c r="J701" s="40" t="n">
        <v>-76</v>
      </c>
      <c r="K701" s="41" t="n">
        <f aca="false">H701+I701+J701</f>
        <v>296.11</v>
      </c>
      <c r="L701" s="42" t="n">
        <f aca="false">IF($K$1282=0,0,K701/$K$1282)</f>
        <v>2.4529289796119E-005</v>
      </c>
      <c r="M701" s="43" t="n">
        <f aca="false">IF(F701&lt;=0,0,K701/F701)</f>
        <v>18.506875</v>
      </c>
      <c r="N701" s="40" t="n">
        <v>19</v>
      </c>
      <c r="O701" s="44" t="n">
        <v>0.5</v>
      </c>
      <c r="P701" s="43" t="n">
        <f aca="false">O701*'Price Groups'!$B$5</f>
        <v>11.25</v>
      </c>
      <c r="Q701" s="45" t="n">
        <f aca="false">IF(OR(N701="",P701=""),"",(N701-P701)/N701)</f>
        <v>0.407894736842105</v>
      </c>
      <c r="R701" s="46" t="n">
        <v>1</v>
      </c>
      <c r="S701" s="47" t="n">
        <f aca="false">IF(R701="-",0,IFERROR(VLOOKUP(R701,'Price Groups'!$A$13:$C$17,3,FALSE()),0))</f>
        <v>0.22</v>
      </c>
      <c r="T701" s="41" t="n">
        <f aca="false">IF(OR(N701="",R701="-"),"",CEILING(ROUND(N701*(1+S701),2),IF(N701*(1+S701)&lt;100,0.5,IF(N701*(1+S701)&lt;1000,1,5))))</f>
        <v>23.5</v>
      </c>
      <c r="U701" s="45" t="n">
        <f aca="false">IF(OR(T701="",P701=""),"",(T701-P701)/T701)</f>
        <v>0.521276595744681</v>
      </c>
      <c r="V701" s="45" t="n">
        <f aca="false">IF(T701="",0,T701/N701-1)</f>
        <v>0.236842105263158</v>
      </c>
      <c r="W701" s="38" t="s">
        <v>94</v>
      </c>
    </row>
    <row r="702" customFormat="false" ht="15" hidden="false" customHeight="false" outlineLevel="0" collapsed="false">
      <c r="A702" s="19" t="n">
        <v>651</v>
      </c>
      <c r="B702" s="19" t="s">
        <v>869</v>
      </c>
      <c r="C702" s="19" t="s">
        <v>57</v>
      </c>
      <c r="D702" s="19"/>
      <c r="E702" s="19" t="s">
        <v>58</v>
      </c>
      <c r="F702" s="20" t="n">
        <v>16</v>
      </c>
      <c r="G702" s="20" t="n">
        <v>18</v>
      </c>
      <c r="H702" s="21" t="n">
        <v>16245</v>
      </c>
      <c r="I702" s="21" t="n">
        <v>0</v>
      </c>
      <c r="J702" s="21" t="n">
        <v>-2555</v>
      </c>
      <c r="K702" s="22" t="n">
        <f aca="false">H702+I702+J702</f>
        <v>13690</v>
      </c>
      <c r="L702" s="23" t="n">
        <f aca="false">IF($K$1282=0,0,K702/$K$1282)</f>
        <v>0.00113405821251855</v>
      </c>
      <c r="M702" s="24" t="n">
        <f aca="false">IF(F702&lt;=0,0,K702/F702)</f>
        <v>855.625</v>
      </c>
      <c r="N702" s="21" t="n">
        <v>725</v>
      </c>
      <c r="O702" s="49" t="n">
        <v>19.83</v>
      </c>
      <c r="P702" s="24" t="n">
        <f aca="false">O702*'Price Groups'!$B$5</f>
        <v>446.175</v>
      </c>
      <c r="Q702" s="26" t="n">
        <f aca="false">IF(OR(N702="",P702=""),"",(N702-P702)/N702)</f>
        <v>0.384586206896552</v>
      </c>
      <c r="R702" s="27" t="n">
        <v>2</v>
      </c>
      <c r="S702" s="28" t="n">
        <f aca="false">IF(R702="-",0,IFERROR(VLOOKUP(R702,'Price Groups'!$A$13:$C$17,3,FALSE()),0))</f>
        <v>0.18</v>
      </c>
      <c r="T702" s="22" t="n">
        <f aca="false">IF(OR(N702="",R702="-"),"",CEILING(ROUND(N702*(1+S702),2),IF(N702*(1+S702)&lt;100,0.5,IF(N702*(1+S702)&lt;1000,1,5))))</f>
        <v>856</v>
      </c>
      <c r="U702" s="26" t="n">
        <f aca="false">IF(OR(T702="",P702=""),"",(T702-P702)/T702)</f>
        <v>0.478767523364486</v>
      </c>
      <c r="V702" s="26" t="n">
        <f aca="false">IF(T702="",0,T702/N702-1)</f>
        <v>0.180689655172414</v>
      </c>
      <c r="W702" s="19" t="s">
        <v>195</v>
      </c>
    </row>
    <row r="703" customFormat="false" ht="15" hidden="false" customHeight="false" outlineLevel="0" collapsed="false">
      <c r="A703" s="38" t="n">
        <v>652</v>
      </c>
      <c r="B703" s="38" t="s">
        <v>870</v>
      </c>
      <c r="C703" s="38" t="s">
        <v>57</v>
      </c>
      <c r="D703" s="38"/>
      <c r="E703" s="38" t="s">
        <v>58</v>
      </c>
      <c r="F703" s="39" t="n">
        <v>16</v>
      </c>
      <c r="G703" s="39" t="n">
        <v>8</v>
      </c>
      <c r="H703" s="40" t="n">
        <v>249.84</v>
      </c>
      <c r="I703" s="40" t="n">
        <v>-2.98</v>
      </c>
      <c r="J703" s="40" t="n">
        <v>0</v>
      </c>
      <c r="K703" s="41" t="n">
        <f aca="false">H703+I703+J703</f>
        <v>246.86</v>
      </c>
      <c r="L703" s="42" t="n">
        <f aca="false">IF($K$1282=0,0,K703/$K$1282)</f>
        <v>2.0449496737935E-005</v>
      </c>
      <c r="M703" s="43" t="n">
        <f aca="false">IF(F703&lt;=0,0,K703/F703)</f>
        <v>15.42875</v>
      </c>
      <c r="N703" s="40" t="n">
        <v>19.99</v>
      </c>
      <c r="O703" s="44" t="n">
        <v>0.5</v>
      </c>
      <c r="P703" s="43" t="n">
        <f aca="false">O703*'Price Groups'!$B$5</f>
        <v>11.25</v>
      </c>
      <c r="Q703" s="45" t="n">
        <f aca="false">IF(OR(N703="",P703=""),"",(N703-P703)/N703)</f>
        <v>0.437218609304652</v>
      </c>
      <c r="R703" s="46" t="n">
        <v>1</v>
      </c>
      <c r="S703" s="47" t="n">
        <f aca="false">IF(R703="-",0,IFERROR(VLOOKUP(R703,'Price Groups'!$A$13:$C$17,3,FALSE()),0))</f>
        <v>0.22</v>
      </c>
      <c r="T703" s="41" t="n">
        <f aca="false">IF(OR(N703="",R703="-"),"",CEILING(ROUND(N703*(1+S703),2),IF(N703*(1+S703)&lt;100,0.5,IF(N703*(1+S703)&lt;1000,1,5))))</f>
        <v>24.5</v>
      </c>
      <c r="U703" s="45" t="n">
        <f aca="false">IF(OR(T703="",P703=""),"",(T703-P703)/T703)</f>
        <v>0.540816326530612</v>
      </c>
      <c r="V703" s="45" t="n">
        <f aca="false">IF(T703="",0,T703/N703-1)</f>
        <v>0.225612806403202</v>
      </c>
      <c r="W703" s="38" t="s">
        <v>94</v>
      </c>
    </row>
    <row r="704" customFormat="false" ht="15" hidden="false" customHeight="false" outlineLevel="0" collapsed="false">
      <c r="A704" s="19" t="n">
        <v>653</v>
      </c>
      <c r="B704" s="19" t="s">
        <v>871</v>
      </c>
      <c r="C704" s="19" t="s">
        <v>57</v>
      </c>
      <c r="D704" s="19"/>
      <c r="E704" s="19" t="s">
        <v>58</v>
      </c>
      <c r="F704" s="20" t="n">
        <v>16</v>
      </c>
      <c r="G704" s="20" t="n">
        <v>13</v>
      </c>
      <c r="H704" s="21" t="n">
        <v>1039.82</v>
      </c>
      <c r="I704" s="21" t="n">
        <v>0</v>
      </c>
      <c r="J704" s="21" t="n">
        <v>-119.98</v>
      </c>
      <c r="K704" s="22" t="n">
        <f aca="false">H704+I704+J704</f>
        <v>919.84</v>
      </c>
      <c r="L704" s="23" t="n">
        <f aca="false">IF($K$1282=0,0,K704/$K$1282)</f>
        <v>7.61981085612173E-005</v>
      </c>
      <c r="M704" s="24" t="n">
        <f aca="false">IF(F704&lt;=0,0,K704/F704)</f>
        <v>57.49</v>
      </c>
      <c r="N704" s="21" t="n">
        <v>59.99</v>
      </c>
      <c r="O704" s="49" t="n">
        <v>1.48</v>
      </c>
      <c r="P704" s="24" t="n">
        <f aca="false">O704*'Price Groups'!$B$5</f>
        <v>33.3</v>
      </c>
      <c r="Q704" s="26" t="n">
        <f aca="false">IF(OR(N704="",P704=""),"",(N704-P704)/N704)</f>
        <v>0.444907484580764</v>
      </c>
      <c r="R704" s="27" t="n">
        <v>1</v>
      </c>
      <c r="S704" s="28" t="n">
        <f aca="false">IF(R704="-",0,IFERROR(VLOOKUP(R704,'Price Groups'!$A$13:$C$17,3,FALSE()),0))</f>
        <v>0.22</v>
      </c>
      <c r="T704" s="22" t="n">
        <f aca="false">IF(OR(N704="",R704="-"),"",CEILING(ROUND(N704*(1+S704),2),IF(N704*(1+S704)&lt;100,0.5,IF(N704*(1+S704)&lt;1000,1,5))))</f>
        <v>73.5</v>
      </c>
      <c r="U704" s="26" t="n">
        <f aca="false">IF(OR(T704="",P704=""),"",(T704-P704)/T704)</f>
        <v>0.546938775510204</v>
      </c>
      <c r="V704" s="26" t="n">
        <f aca="false">IF(T704="",0,T704/N704-1)</f>
        <v>0.225204200700117</v>
      </c>
      <c r="W704" s="19" t="s">
        <v>94</v>
      </c>
    </row>
    <row r="705" customFormat="false" ht="15" hidden="false" customHeight="false" outlineLevel="0" collapsed="false">
      <c r="A705" s="38" t="n">
        <v>654</v>
      </c>
      <c r="B705" s="38" t="s">
        <v>872</v>
      </c>
      <c r="C705" s="38" t="s">
        <v>57</v>
      </c>
      <c r="D705" s="38"/>
      <c r="E705" s="38" t="s">
        <v>58</v>
      </c>
      <c r="F705" s="39" t="n">
        <v>16</v>
      </c>
      <c r="G705" s="39" t="n">
        <v>12</v>
      </c>
      <c r="H705" s="40" t="n">
        <v>6459.83</v>
      </c>
      <c r="I705" s="40" t="n">
        <v>-303.93</v>
      </c>
      <c r="J705" s="40" t="n">
        <v>-379.99</v>
      </c>
      <c r="K705" s="41" t="n">
        <f aca="false">H705+I705+J705</f>
        <v>5775.91</v>
      </c>
      <c r="L705" s="42" t="n">
        <f aca="false">IF($K$1282=0,0,K705/$K$1282)</f>
        <v>0.000478467360866913</v>
      </c>
      <c r="M705" s="43" t="n">
        <f aca="false">IF(F705&lt;=0,0,K705/F705)</f>
        <v>360.994375</v>
      </c>
      <c r="N705" s="40" t="n">
        <v>379.99</v>
      </c>
      <c r="O705" s="44" t="n">
        <v>13</v>
      </c>
      <c r="P705" s="43" t="n">
        <f aca="false">O705*'Price Groups'!$B$5</f>
        <v>292.5</v>
      </c>
      <c r="Q705" s="45" t="n">
        <f aca="false">IF(OR(N705="",P705=""),"",(N705-P705)/N705)</f>
        <v>0.230242901128977</v>
      </c>
      <c r="R705" s="46" t="n">
        <v>1</v>
      </c>
      <c r="S705" s="47" t="n">
        <f aca="false">IF(R705="-",0,IFERROR(VLOOKUP(R705,'Price Groups'!$A$13:$C$17,3,FALSE()),0))</f>
        <v>0.22</v>
      </c>
      <c r="T705" s="41" t="n">
        <f aca="false">IF(OR(N705="",R705="-"),"",CEILING(ROUND(N705*(1+S705),2),IF(N705*(1+S705)&lt;100,0.5,IF(N705*(1+S705)&lt;1000,1,5))))</f>
        <v>464</v>
      </c>
      <c r="U705" s="45" t="n">
        <f aca="false">IF(OR(T705="",P705=""),"",(T705-P705)/T705)</f>
        <v>0.369612068965517</v>
      </c>
      <c r="V705" s="45" t="n">
        <f aca="false">IF(T705="",0,T705/N705-1)</f>
        <v>0.221084765388563</v>
      </c>
      <c r="W705" s="38" t="s">
        <v>633</v>
      </c>
    </row>
    <row r="706" customFormat="false" ht="15" hidden="false" customHeight="false" outlineLevel="0" collapsed="false">
      <c r="A706" s="19" t="n">
        <v>655</v>
      </c>
      <c r="B706" s="19" t="s">
        <v>873</v>
      </c>
      <c r="C706" s="19" t="s">
        <v>57</v>
      </c>
      <c r="D706" s="19"/>
      <c r="E706" s="19" t="s">
        <v>58</v>
      </c>
      <c r="F706" s="20" t="n">
        <v>16</v>
      </c>
      <c r="G706" s="20" t="n">
        <v>11</v>
      </c>
      <c r="H706" s="21" t="n">
        <v>1599.84</v>
      </c>
      <c r="I706" s="21" t="n">
        <v>0</v>
      </c>
      <c r="J706" s="21" t="n">
        <v>0</v>
      </c>
      <c r="K706" s="22" t="n">
        <f aca="false">H706+I706+J706</f>
        <v>1599.84</v>
      </c>
      <c r="L706" s="23" t="n">
        <f aca="false">IF($K$1282=0,0,K706/$K$1282)</f>
        <v>0.000132528246217362</v>
      </c>
      <c r="M706" s="24" t="n">
        <f aca="false">IF(F706&lt;=0,0,K706/F706)</f>
        <v>99.99</v>
      </c>
      <c r="N706" s="21" t="n">
        <v>99.99</v>
      </c>
      <c r="O706" s="49" t="n">
        <v>1.66</v>
      </c>
      <c r="P706" s="24" t="n">
        <f aca="false">O706*'Price Groups'!$B$5</f>
        <v>37.35</v>
      </c>
      <c r="Q706" s="26" t="n">
        <f aca="false">IF(OR(N706="",P706=""),"",(N706-P706)/N706)</f>
        <v>0.626462646264626</v>
      </c>
      <c r="R706" s="27" t="n">
        <v>1</v>
      </c>
      <c r="S706" s="28" t="n">
        <f aca="false">IF(R706="-",0,IFERROR(VLOOKUP(R706,'Price Groups'!$A$13:$C$17,3,FALSE()),0))</f>
        <v>0.22</v>
      </c>
      <c r="T706" s="22" t="n">
        <f aca="false">IF(OR(N706="",R706="-"),"",CEILING(ROUND(N706*(1+S706),2),IF(N706*(1+S706)&lt;100,0.5,IF(N706*(1+S706)&lt;1000,1,5))))</f>
        <v>122</v>
      </c>
      <c r="U706" s="26" t="n">
        <f aca="false">IF(OR(T706="",P706=""),"",(T706-P706)/T706)</f>
        <v>0.693852459016394</v>
      </c>
      <c r="V706" s="26" t="n">
        <f aca="false">IF(T706="",0,T706/N706-1)</f>
        <v>0.22012201220122</v>
      </c>
      <c r="W706" s="19" t="s">
        <v>94</v>
      </c>
    </row>
    <row r="707" customFormat="false" ht="15" hidden="false" customHeight="false" outlineLevel="0" collapsed="false">
      <c r="A707" s="38" t="n">
        <v>656</v>
      </c>
      <c r="B707" s="38" t="s">
        <v>874</v>
      </c>
      <c r="C707" s="38" t="s">
        <v>57</v>
      </c>
      <c r="D707" s="38"/>
      <c r="E707" s="38" t="s">
        <v>58</v>
      </c>
      <c r="F707" s="39" t="n">
        <v>16</v>
      </c>
      <c r="G707" s="39" t="n">
        <v>15</v>
      </c>
      <c r="H707" s="40" t="n">
        <v>508.42</v>
      </c>
      <c r="I707" s="40" t="n">
        <v>0</v>
      </c>
      <c r="J707" s="40" t="n">
        <v>-66.02</v>
      </c>
      <c r="K707" s="41" t="n">
        <f aca="false">H707+I707+J707</f>
        <v>442.4</v>
      </c>
      <c r="L707" s="42" t="n">
        <f aca="false">IF($K$1282=0,0,K707/$K$1282)</f>
        <v>3.66477248515857E-005</v>
      </c>
      <c r="M707" s="43" t="n">
        <f aca="false">IF(F707&lt;=0,0,K707/F707)</f>
        <v>27.65</v>
      </c>
      <c r="N707" s="40" t="n">
        <v>26.03</v>
      </c>
      <c r="O707" s="44" t="n">
        <v>0.88</v>
      </c>
      <c r="P707" s="43" t="n">
        <f aca="false">O707*'Price Groups'!$B$5</f>
        <v>19.8</v>
      </c>
      <c r="Q707" s="45" t="n">
        <f aca="false">IF(OR(N707="",P707=""),"",(N707-P707)/N707)</f>
        <v>0.23933922397234</v>
      </c>
      <c r="R707" s="46" t="n">
        <v>1</v>
      </c>
      <c r="S707" s="47" t="n">
        <f aca="false">IF(R707="-",0,IFERROR(VLOOKUP(R707,'Price Groups'!$A$13:$C$17,3,FALSE()),0))</f>
        <v>0.22</v>
      </c>
      <c r="T707" s="41" t="n">
        <f aca="false">IF(OR(N707="",R707="-"),"",CEILING(ROUND(N707*(1+S707),2),IF(N707*(1+S707)&lt;100,0.5,IF(N707*(1+S707)&lt;1000,1,5))))</f>
        <v>32</v>
      </c>
      <c r="U707" s="45" t="n">
        <f aca="false">IF(OR(T707="",P707=""),"",(T707-P707)/T707)</f>
        <v>0.38125</v>
      </c>
      <c r="V707" s="45" t="n">
        <f aca="false">IF(T707="",0,T707/N707-1)</f>
        <v>0.229350749135613</v>
      </c>
      <c r="W707" s="38" t="s">
        <v>244</v>
      </c>
    </row>
    <row r="708" customFormat="false" ht="15" hidden="false" customHeight="false" outlineLevel="0" collapsed="false">
      <c r="A708" s="19" t="n">
        <v>657</v>
      </c>
      <c r="B708" s="19" t="s">
        <v>875</v>
      </c>
      <c r="C708" s="19" t="s">
        <v>57</v>
      </c>
      <c r="D708" s="19"/>
      <c r="E708" s="19" t="s">
        <v>58</v>
      </c>
      <c r="F708" s="20" t="n">
        <v>16</v>
      </c>
      <c r="G708" s="20" t="n">
        <v>13</v>
      </c>
      <c r="H708" s="21" t="n">
        <v>336</v>
      </c>
      <c r="I708" s="21" t="n">
        <v>0</v>
      </c>
      <c r="J708" s="21" t="n">
        <v>-112</v>
      </c>
      <c r="K708" s="22" t="n">
        <f aca="false">H708+I708+J708</f>
        <v>224</v>
      </c>
      <c r="L708" s="23" t="n">
        <f aca="false">IF($K$1282=0,0,K708/$K$1282)</f>
        <v>1.85558100514358E-005</v>
      </c>
      <c r="M708" s="24" t="n">
        <f aca="false">IF(F708&lt;=0,0,K708/F708)</f>
        <v>14</v>
      </c>
      <c r="N708" s="21" t="n">
        <v>14</v>
      </c>
      <c r="O708" s="49" t="n">
        <v>0.35</v>
      </c>
      <c r="P708" s="24" t="n">
        <f aca="false">O708*'Price Groups'!$B$5</f>
        <v>7.875</v>
      </c>
      <c r="Q708" s="26" t="n">
        <f aca="false">IF(OR(N708="",P708=""),"",(N708-P708)/N708)</f>
        <v>0.4375</v>
      </c>
      <c r="R708" s="27" t="n">
        <v>1</v>
      </c>
      <c r="S708" s="28" t="n">
        <f aca="false">IF(R708="-",0,IFERROR(VLOOKUP(R708,'Price Groups'!$A$13:$C$17,3,FALSE()),0))</f>
        <v>0.22</v>
      </c>
      <c r="T708" s="22" t="n">
        <f aca="false">IF(OR(N708="",R708="-"),"",CEILING(ROUND(N708*(1+S708),2),IF(N708*(1+S708)&lt;100,0.5,IF(N708*(1+S708)&lt;1000,1,5))))</f>
        <v>17.5</v>
      </c>
      <c r="U708" s="26" t="n">
        <f aca="false">IF(OR(T708="",P708=""),"",(T708-P708)/T708)</f>
        <v>0.55</v>
      </c>
      <c r="V708" s="26" t="n">
        <f aca="false">IF(T708="",0,T708/N708-1)</f>
        <v>0.25</v>
      </c>
      <c r="W708" s="19" t="s">
        <v>94</v>
      </c>
    </row>
    <row r="709" customFormat="false" ht="15" hidden="false" customHeight="false" outlineLevel="0" collapsed="false">
      <c r="A709" s="38" t="n">
        <v>658</v>
      </c>
      <c r="B709" s="38" t="s">
        <v>876</v>
      </c>
      <c r="C709" s="38" t="s">
        <v>57</v>
      </c>
      <c r="D709" s="38"/>
      <c r="E709" s="38" t="s">
        <v>58</v>
      </c>
      <c r="F709" s="39" t="n">
        <v>16</v>
      </c>
      <c r="G709" s="39" t="n">
        <v>15</v>
      </c>
      <c r="H709" s="40" t="n">
        <v>165.99</v>
      </c>
      <c r="I709" s="40" t="n">
        <v>-6.85</v>
      </c>
      <c r="J709" s="40" t="n">
        <v>-37.38</v>
      </c>
      <c r="K709" s="41" t="n">
        <f aca="false">H709+I709+J709</f>
        <v>121.76</v>
      </c>
      <c r="L709" s="42" t="n">
        <f aca="false">IF($K$1282=0,0,K709/$K$1282)</f>
        <v>1.0086408177959E-005</v>
      </c>
      <c r="M709" s="43" t="n">
        <f aca="false">IF(F709&lt;=0,0,K709/F709)</f>
        <v>7.61</v>
      </c>
      <c r="N709" s="40" t="n">
        <v>6.23</v>
      </c>
      <c r="O709" s="44" t="n">
        <v>0.22</v>
      </c>
      <c r="P709" s="43" t="n">
        <f aca="false">O709*'Price Groups'!$B$5</f>
        <v>4.95</v>
      </c>
      <c r="Q709" s="45" t="n">
        <f aca="false">IF(OR(N709="",P709=""),"",(N709-P709)/N709)</f>
        <v>0.20545746388443</v>
      </c>
      <c r="R709" s="46" t="n">
        <v>1</v>
      </c>
      <c r="S709" s="47" t="n">
        <f aca="false">IF(R709="-",0,IFERROR(VLOOKUP(R709,'Price Groups'!$A$13:$C$17,3,FALSE()),0))</f>
        <v>0.22</v>
      </c>
      <c r="T709" s="41" t="n">
        <f aca="false">IF(OR(N709="",R709="-"),"",CEILING(ROUND(N709*(1+S709),2),IF(N709*(1+S709)&lt;100,0.5,IF(N709*(1+S709)&lt;1000,1,5))))</f>
        <v>8</v>
      </c>
      <c r="U709" s="45" t="n">
        <f aca="false">IF(OR(T709="",P709=""),"",(T709-P709)/T709)</f>
        <v>0.38125</v>
      </c>
      <c r="V709" s="45" t="n">
        <f aca="false">IF(T709="",0,T709/N709-1)</f>
        <v>0.284109149277689</v>
      </c>
      <c r="W709" s="38" t="s">
        <v>333</v>
      </c>
    </row>
    <row r="710" customFormat="false" ht="15" hidden="false" customHeight="false" outlineLevel="0" collapsed="false">
      <c r="A710" s="19" t="n">
        <v>659</v>
      </c>
      <c r="B710" s="19" t="s">
        <v>877</v>
      </c>
      <c r="C710" s="19" t="s">
        <v>57</v>
      </c>
      <c r="D710" s="19"/>
      <c r="E710" s="19" t="s">
        <v>58</v>
      </c>
      <c r="F710" s="20" t="n">
        <v>16</v>
      </c>
      <c r="G710" s="20" t="n">
        <v>9</v>
      </c>
      <c r="H710" s="21" t="n">
        <v>1599.84</v>
      </c>
      <c r="I710" s="21" t="n">
        <v>0</v>
      </c>
      <c r="J710" s="21" t="n">
        <v>0</v>
      </c>
      <c r="K710" s="22" t="n">
        <f aca="false">H710+I710+J710</f>
        <v>1599.84</v>
      </c>
      <c r="L710" s="23" t="n">
        <f aca="false">IF($K$1282=0,0,K710/$K$1282)</f>
        <v>0.000132528246217362</v>
      </c>
      <c r="M710" s="24" t="n">
        <f aca="false">IF(F710&lt;=0,0,K710/F710)</f>
        <v>99.99</v>
      </c>
      <c r="N710" s="21" t="n">
        <v>99.99</v>
      </c>
      <c r="O710" s="49" t="n">
        <v>1.96</v>
      </c>
      <c r="P710" s="24" t="n">
        <f aca="false">O710*'Price Groups'!$B$5</f>
        <v>44.1</v>
      </c>
      <c r="Q710" s="26" t="n">
        <f aca="false">IF(OR(N710="",P710=""),"",(N710-P710)/N710)</f>
        <v>0.558955895589559</v>
      </c>
      <c r="R710" s="27" t="n">
        <v>1</v>
      </c>
      <c r="S710" s="28" t="n">
        <f aca="false">IF(R710="-",0,IFERROR(VLOOKUP(R710,'Price Groups'!$A$13:$C$17,3,FALSE()),0))</f>
        <v>0.22</v>
      </c>
      <c r="T710" s="22" t="n">
        <f aca="false">IF(OR(N710="",R710="-"),"",CEILING(ROUND(N710*(1+S710),2),IF(N710*(1+S710)&lt;100,0.5,IF(N710*(1+S710)&lt;1000,1,5))))</f>
        <v>122</v>
      </c>
      <c r="U710" s="26" t="n">
        <f aca="false">IF(OR(T710="",P710=""),"",(T710-P710)/T710)</f>
        <v>0.638524590163935</v>
      </c>
      <c r="V710" s="26" t="n">
        <f aca="false">IF(T710="",0,T710/N710-1)</f>
        <v>0.22012201220122</v>
      </c>
      <c r="W710" s="19" t="s">
        <v>94</v>
      </c>
    </row>
    <row r="711" customFormat="false" ht="15" hidden="false" customHeight="false" outlineLevel="0" collapsed="false">
      <c r="A711" s="38" t="n">
        <v>660</v>
      </c>
      <c r="B711" s="38" t="s">
        <v>878</v>
      </c>
      <c r="C711" s="38" t="s">
        <v>57</v>
      </c>
      <c r="D711" s="38"/>
      <c r="E711" s="38" t="s">
        <v>58</v>
      </c>
      <c r="F711" s="39" t="n">
        <v>16</v>
      </c>
      <c r="G711" s="39" t="n">
        <v>14</v>
      </c>
      <c r="H711" s="40" t="n">
        <v>3883.87</v>
      </c>
      <c r="I711" s="40" t="n">
        <v>-18.99</v>
      </c>
      <c r="J711" s="40" t="n">
        <v>-589.97</v>
      </c>
      <c r="K711" s="41" t="n">
        <f aca="false">H711+I711+J711</f>
        <v>3274.91</v>
      </c>
      <c r="L711" s="42" t="n">
        <f aca="false">IF($K$1282=0,0,K711/$K$1282)</f>
        <v>0.000271288428105123</v>
      </c>
      <c r="M711" s="43" t="n">
        <f aca="false">IF(F711&lt;=0,0,K711/F711)</f>
        <v>204.681875</v>
      </c>
      <c r="N711" s="40" t="n">
        <v>231</v>
      </c>
      <c r="O711" s="44" t="n">
        <v>4.74</v>
      </c>
      <c r="P711" s="43" t="n">
        <f aca="false">O711*'Price Groups'!$B$5</f>
        <v>106.65</v>
      </c>
      <c r="Q711" s="45" t="n">
        <f aca="false">IF(OR(N711="",P711=""),"",(N711-P711)/N711)</f>
        <v>0.538311688311688</v>
      </c>
      <c r="R711" s="46" t="n">
        <v>1</v>
      </c>
      <c r="S711" s="47" t="n">
        <f aca="false">IF(R711="-",0,IFERROR(VLOOKUP(R711,'Price Groups'!$A$13:$C$17,3,FALSE()),0))</f>
        <v>0.22</v>
      </c>
      <c r="T711" s="41" t="n">
        <f aca="false">IF(OR(N711="",R711="-"),"",CEILING(ROUND(N711*(1+S711),2),IF(N711*(1+S711)&lt;100,0.5,IF(N711*(1+S711)&lt;1000,1,5))))</f>
        <v>282</v>
      </c>
      <c r="U711" s="45" t="n">
        <f aca="false">IF(OR(T711="",P711=""),"",(T711-P711)/T711)</f>
        <v>0.621808510638298</v>
      </c>
      <c r="V711" s="45" t="n">
        <f aca="false">IF(T711="",0,T711/N711-1)</f>
        <v>0.220779220779221</v>
      </c>
      <c r="W711" s="38" t="s">
        <v>94</v>
      </c>
    </row>
    <row r="712" customFormat="false" ht="15" hidden="false" customHeight="false" outlineLevel="0" collapsed="false">
      <c r="A712" s="19" t="n">
        <v>661</v>
      </c>
      <c r="B712" s="19" t="s">
        <v>879</v>
      </c>
      <c r="C712" s="19" t="s">
        <v>57</v>
      </c>
      <c r="D712" s="19"/>
      <c r="E712" s="19" t="s">
        <v>58</v>
      </c>
      <c r="F712" s="20" t="n">
        <v>16</v>
      </c>
      <c r="G712" s="20" t="n">
        <v>21</v>
      </c>
      <c r="H712" s="21" t="n">
        <v>51621.84</v>
      </c>
      <c r="I712" s="21" t="n">
        <v>-334.95</v>
      </c>
      <c r="J712" s="21" t="n">
        <v>-12528.18</v>
      </c>
      <c r="K712" s="22" t="n">
        <f aca="false">H712+I712+J712</f>
        <v>38758.71</v>
      </c>
      <c r="L712" s="23" t="n">
        <f aca="false">IF($K$1282=0,0,K712/$K$1282)</f>
        <v>0.00321071098481556</v>
      </c>
      <c r="M712" s="24" t="n">
        <f aca="false">IF(F712&lt;=0,0,K712/F712)</f>
        <v>2422.419375</v>
      </c>
      <c r="N712" s="21" t="n">
        <v>2090</v>
      </c>
      <c r="O712" s="49" t="n">
        <v>41</v>
      </c>
      <c r="P712" s="24" t="n">
        <f aca="false">O712*'Price Groups'!$B$5</f>
        <v>922.5</v>
      </c>
      <c r="Q712" s="26" t="n">
        <f aca="false">IF(OR(N712="",P712=""),"",(N712-P712)/N712)</f>
        <v>0.558612440191388</v>
      </c>
      <c r="R712" s="27" t="n">
        <v>3</v>
      </c>
      <c r="S712" s="28" t="n">
        <f aca="false">IF(R712="-",0,IFERROR(VLOOKUP(R712,'Price Groups'!$A$13:$C$17,3,FALSE()),0))</f>
        <v>0.16</v>
      </c>
      <c r="T712" s="22" t="n">
        <f aca="false">IF(OR(N712="",R712="-"),"",CEILING(ROUND(N712*(1+S712),2),IF(N712*(1+S712)&lt;100,0.5,IF(N712*(1+S712)&lt;1000,1,5))))</f>
        <v>2425</v>
      </c>
      <c r="U712" s="26" t="n">
        <f aca="false">IF(OR(T712="",P712=""),"",(T712-P712)/T712)</f>
        <v>0.619587628865979</v>
      </c>
      <c r="V712" s="26" t="n">
        <f aca="false">IF(T712="",0,T712/N712-1)</f>
        <v>0.160287081339713</v>
      </c>
      <c r="W712" s="19" t="s">
        <v>107</v>
      </c>
    </row>
    <row r="713" customFormat="false" ht="15" hidden="false" customHeight="false" outlineLevel="0" collapsed="false">
      <c r="A713" s="38" t="n">
        <v>662</v>
      </c>
      <c r="B713" s="38" t="s">
        <v>880</v>
      </c>
      <c r="C713" s="38" t="s">
        <v>57</v>
      </c>
      <c r="D713" s="38"/>
      <c r="E713" s="38" t="s">
        <v>58</v>
      </c>
      <c r="F713" s="39" t="n">
        <v>16</v>
      </c>
      <c r="G713" s="39" t="n">
        <v>12</v>
      </c>
      <c r="H713" s="40" t="n">
        <v>579.81</v>
      </c>
      <c r="I713" s="40" t="n">
        <v>0</v>
      </c>
      <c r="J713" s="40" t="n">
        <v>-89.97</v>
      </c>
      <c r="K713" s="41" t="n">
        <f aca="false">H713+I713+J713</f>
        <v>489.84</v>
      </c>
      <c r="L713" s="42" t="n">
        <f aca="false">IF($K$1282=0,0,K713/$K$1282)</f>
        <v>4.0577580337479E-005</v>
      </c>
      <c r="M713" s="43" t="n">
        <f aca="false">IF(F713&lt;=0,0,K713/F713)</f>
        <v>30.615</v>
      </c>
      <c r="N713" s="40" t="n">
        <v>34.99</v>
      </c>
      <c r="O713" s="44" t="n">
        <v>0.83</v>
      </c>
      <c r="P713" s="43" t="n">
        <f aca="false">O713*'Price Groups'!$B$5</f>
        <v>18.675</v>
      </c>
      <c r="Q713" s="45" t="n">
        <f aca="false">IF(OR(N713="",P713=""),"",(N713-P713)/N713)</f>
        <v>0.46627607887968</v>
      </c>
      <c r="R713" s="46" t="n">
        <v>1</v>
      </c>
      <c r="S713" s="47" t="n">
        <f aca="false">IF(R713="-",0,IFERROR(VLOOKUP(R713,'Price Groups'!$A$13:$C$17,3,FALSE()),0))</f>
        <v>0.22</v>
      </c>
      <c r="T713" s="41" t="n">
        <f aca="false">IF(OR(N713="",R713="-"),"",CEILING(ROUND(N713*(1+S713),2),IF(N713*(1+S713)&lt;100,0.5,IF(N713*(1+S713)&lt;1000,1,5))))</f>
        <v>43</v>
      </c>
      <c r="U713" s="45" t="n">
        <f aca="false">IF(OR(T713="",P713=""),"",(T713-P713)/T713)</f>
        <v>0.565697674418605</v>
      </c>
      <c r="V713" s="45" t="n">
        <f aca="false">IF(T713="",0,T713/N713-1)</f>
        <v>0.2289225492998</v>
      </c>
      <c r="W713" s="38" t="s">
        <v>94</v>
      </c>
    </row>
    <row r="714" customFormat="false" ht="15" hidden="false" customHeight="false" outlineLevel="0" collapsed="false">
      <c r="A714" s="19" t="n">
        <v>663</v>
      </c>
      <c r="B714" s="19" t="s">
        <v>881</v>
      </c>
      <c r="C714" s="19" t="s">
        <v>57</v>
      </c>
      <c r="D714" s="19"/>
      <c r="E714" s="19" t="s">
        <v>58</v>
      </c>
      <c r="F714" s="20" t="n">
        <v>16</v>
      </c>
      <c r="G714" s="20" t="n">
        <v>12</v>
      </c>
      <c r="H714" s="21" t="n">
        <v>8197.95</v>
      </c>
      <c r="I714" s="21" t="n">
        <v>-53</v>
      </c>
      <c r="J714" s="21" t="n">
        <v>0</v>
      </c>
      <c r="K714" s="22" t="n">
        <f aca="false">H714+I714+J714</f>
        <v>8144.95</v>
      </c>
      <c r="L714" s="23" t="n">
        <f aca="false">IF($K$1282=0,0,K714/$K$1282)</f>
        <v>0.000674714933385901</v>
      </c>
      <c r="M714" s="24" t="n">
        <f aca="false">IF(F714&lt;=0,0,K714/F714)</f>
        <v>509.059375</v>
      </c>
      <c r="N714" s="21" t="n">
        <v>530</v>
      </c>
      <c r="O714" s="49" t="n">
        <v>14.76</v>
      </c>
      <c r="P714" s="24" t="n">
        <f aca="false">O714*'Price Groups'!$B$5</f>
        <v>332.1</v>
      </c>
      <c r="Q714" s="26" t="n">
        <f aca="false">IF(OR(N714="",P714=""),"",(N714-P714)/N714)</f>
        <v>0.373396226415094</v>
      </c>
      <c r="R714" s="27" t="n">
        <v>1</v>
      </c>
      <c r="S714" s="28" t="n">
        <f aca="false">IF(R714="-",0,IFERROR(VLOOKUP(R714,'Price Groups'!$A$13:$C$17,3,FALSE()),0))</f>
        <v>0.22</v>
      </c>
      <c r="T714" s="22" t="n">
        <f aca="false">IF(OR(N714="",R714="-"),"",CEILING(ROUND(N714*(1+S714),2),IF(N714*(1+S714)&lt;100,0.5,IF(N714*(1+S714)&lt;1000,1,5))))</f>
        <v>647</v>
      </c>
      <c r="U714" s="26" t="n">
        <f aca="false">IF(OR(T714="",P714=""),"",(T714-P714)/T714)</f>
        <v>0.486707882534776</v>
      </c>
      <c r="V714" s="26" t="n">
        <f aca="false">IF(T714="",0,T714/N714-1)</f>
        <v>0.220754716981132</v>
      </c>
      <c r="W714" s="19" t="s">
        <v>94</v>
      </c>
    </row>
    <row r="715" customFormat="false" ht="15" hidden="false" customHeight="false" outlineLevel="0" collapsed="false">
      <c r="A715" s="38" t="n">
        <v>664</v>
      </c>
      <c r="B715" s="38" t="s">
        <v>882</v>
      </c>
      <c r="C715" s="38" t="s">
        <v>57</v>
      </c>
      <c r="D715" s="38"/>
      <c r="E715" s="38" t="s">
        <v>58</v>
      </c>
      <c r="F715" s="39" t="n">
        <v>16</v>
      </c>
      <c r="G715" s="39" t="n">
        <v>15</v>
      </c>
      <c r="H715" s="40" t="n">
        <v>8494.61</v>
      </c>
      <c r="I715" s="40" t="n">
        <v>-160.71</v>
      </c>
      <c r="J715" s="40" t="n">
        <v>0</v>
      </c>
      <c r="K715" s="41" t="n">
        <f aca="false">H715+I715+J715</f>
        <v>8333.9</v>
      </c>
      <c r="L715" s="42" t="n">
        <f aca="false">IF($K$1282=0,0,K715/$K$1282)</f>
        <v>0.000690367256194914</v>
      </c>
      <c r="M715" s="43" t="n">
        <f aca="false">IF(F715&lt;=0,0,K715/F715)</f>
        <v>520.86875</v>
      </c>
      <c r="N715" s="40" t="n">
        <v>499.99</v>
      </c>
      <c r="O715" s="44" t="n">
        <v>14.09</v>
      </c>
      <c r="P715" s="43" t="n">
        <f aca="false">O715*'Price Groups'!$B$5</f>
        <v>317.025</v>
      </c>
      <c r="Q715" s="45" t="n">
        <f aca="false">IF(OR(N715="",P715=""),"",(N715-P715)/N715)</f>
        <v>0.365937318746375</v>
      </c>
      <c r="R715" s="46" t="n">
        <v>1</v>
      </c>
      <c r="S715" s="47" t="n">
        <f aca="false">IF(R715="-",0,IFERROR(VLOOKUP(R715,'Price Groups'!$A$13:$C$17,3,FALSE()),0))</f>
        <v>0.22</v>
      </c>
      <c r="T715" s="41" t="n">
        <f aca="false">IF(OR(N715="",R715="-"),"",CEILING(ROUND(N715*(1+S715),2),IF(N715*(1+S715)&lt;100,0.5,IF(N715*(1+S715)&lt;1000,1,5))))</f>
        <v>610</v>
      </c>
      <c r="U715" s="45" t="n">
        <f aca="false">IF(OR(T715="",P715=""),"",(T715-P715)/T715)</f>
        <v>0.480286885245902</v>
      </c>
      <c r="V715" s="45" t="n">
        <f aca="false">IF(T715="",0,T715/N715-1)</f>
        <v>0.22002440048801</v>
      </c>
      <c r="W715" s="38" t="s">
        <v>94</v>
      </c>
    </row>
    <row r="716" customFormat="false" ht="15" hidden="false" customHeight="false" outlineLevel="0" collapsed="false">
      <c r="A716" s="19" t="n">
        <v>665</v>
      </c>
      <c r="B716" s="19" t="s">
        <v>883</v>
      </c>
      <c r="C716" s="19" t="s">
        <v>57</v>
      </c>
      <c r="D716" s="19"/>
      <c r="E716" s="19" t="s">
        <v>58</v>
      </c>
      <c r="F716" s="20" t="n">
        <v>16</v>
      </c>
      <c r="G716" s="20" t="n">
        <v>18</v>
      </c>
      <c r="H716" s="21" t="n">
        <v>10799.84</v>
      </c>
      <c r="I716" s="21" t="n">
        <v>-239.99</v>
      </c>
      <c r="J716" s="21" t="n">
        <v>-1799.98</v>
      </c>
      <c r="K716" s="22" t="n">
        <f aca="false">H716+I716+J716</f>
        <v>8759.87</v>
      </c>
      <c r="L716" s="23" t="n">
        <f aca="false">IF($K$1282=0,0,K716/$K$1282)</f>
        <v>0.000725653945514601</v>
      </c>
      <c r="M716" s="24" t="n">
        <f aca="false">IF(F716&lt;=0,0,K716/F716)</f>
        <v>547.491875</v>
      </c>
      <c r="N716" s="21" t="n">
        <v>499.99</v>
      </c>
      <c r="O716" s="49" t="n">
        <v>16</v>
      </c>
      <c r="P716" s="24" t="n">
        <f aca="false">O716*'Price Groups'!$B$5</f>
        <v>360</v>
      </c>
      <c r="Q716" s="26" t="n">
        <f aca="false">IF(OR(N716="",P716=""),"",(N716-P716)/N716)</f>
        <v>0.279985599711994</v>
      </c>
      <c r="R716" s="27" t="n">
        <v>1</v>
      </c>
      <c r="S716" s="28" t="n">
        <f aca="false">IF(R716="-",0,IFERROR(VLOOKUP(R716,'Price Groups'!$A$13:$C$17,3,FALSE()),0))</f>
        <v>0.22</v>
      </c>
      <c r="T716" s="22" t="n">
        <f aca="false">IF(OR(N716="",R716="-"),"",CEILING(ROUND(N716*(1+S716),2),IF(N716*(1+S716)&lt;100,0.5,IF(N716*(1+S716)&lt;1000,1,5))))</f>
        <v>610</v>
      </c>
      <c r="U716" s="26" t="n">
        <f aca="false">IF(OR(T716="",P716=""),"",(T716-P716)/T716)</f>
        <v>0.409836065573771</v>
      </c>
      <c r="V716" s="26" t="n">
        <f aca="false">IF(T716="",0,T716/N716-1)</f>
        <v>0.22002440048801</v>
      </c>
      <c r="W716" s="19" t="s">
        <v>94</v>
      </c>
    </row>
    <row r="717" customFormat="false" ht="15" hidden="false" customHeight="false" outlineLevel="0" collapsed="false">
      <c r="A717" s="38" t="n">
        <v>666</v>
      </c>
      <c r="B717" s="38" t="s">
        <v>884</v>
      </c>
      <c r="C717" s="38" t="s">
        <v>57</v>
      </c>
      <c r="D717" s="38"/>
      <c r="E717" s="38" t="s">
        <v>58</v>
      </c>
      <c r="F717" s="39" t="n">
        <v>16</v>
      </c>
      <c r="G717" s="39" t="n">
        <v>23</v>
      </c>
      <c r="H717" s="40" t="n">
        <v>6213.59</v>
      </c>
      <c r="I717" s="40" t="n">
        <v>-23.19</v>
      </c>
      <c r="J717" s="40" t="n">
        <v>-2231.83</v>
      </c>
      <c r="K717" s="41" t="n">
        <f aca="false">H717+I717+J717</f>
        <v>3958.57</v>
      </c>
      <c r="L717" s="42" t="n">
        <f aca="false">IF($K$1282=0,0,K717/$K$1282)</f>
        <v>0.000327921754443358</v>
      </c>
      <c r="M717" s="43" t="n">
        <f aca="false">IF(F717&lt;=0,0,K717/F717)</f>
        <v>247.410625</v>
      </c>
      <c r="N717" s="40" t="n">
        <v>249.99</v>
      </c>
      <c r="O717" s="44" t="n">
        <v>7.3</v>
      </c>
      <c r="P717" s="43" t="n">
        <f aca="false">O717*'Price Groups'!$B$5</f>
        <v>164.25</v>
      </c>
      <c r="Q717" s="45" t="n">
        <f aca="false">IF(OR(N717="",P717=""),"",(N717-P717)/N717)</f>
        <v>0.342973718948758</v>
      </c>
      <c r="R717" s="46" t="n">
        <v>1</v>
      </c>
      <c r="S717" s="47" t="n">
        <f aca="false">IF(R717="-",0,IFERROR(VLOOKUP(R717,'Price Groups'!$A$13:$C$17,3,FALSE()),0))</f>
        <v>0.22</v>
      </c>
      <c r="T717" s="41" t="n">
        <f aca="false">IF(OR(N717="",R717="-"),"",CEILING(ROUND(N717*(1+S717),2),IF(N717*(1+S717)&lt;100,0.5,IF(N717*(1+S717)&lt;1000,1,5))))</f>
        <v>305</v>
      </c>
      <c r="U717" s="45" t="n">
        <f aca="false">IF(OR(T717="",P717=""),"",(T717-P717)/T717)</f>
        <v>0.461475409836066</v>
      </c>
      <c r="V717" s="45" t="n">
        <f aca="false">IF(T717="",0,T717/N717-1)</f>
        <v>0.220048801952078</v>
      </c>
      <c r="W717" s="38" t="s">
        <v>94</v>
      </c>
    </row>
    <row r="718" customFormat="false" ht="15" hidden="false" customHeight="false" outlineLevel="0" collapsed="false">
      <c r="A718" s="19" t="n">
        <v>667</v>
      </c>
      <c r="B718" s="19" t="s">
        <v>885</v>
      </c>
      <c r="C718" s="19" t="s">
        <v>57</v>
      </c>
      <c r="D718" s="19"/>
      <c r="E718" s="19" t="s">
        <v>58</v>
      </c>
      <c r="F718" s="20" t="n">
        <v>16</v>
      </c>
      <c r="G718" s="20" t="n">
        <v>10</v>
      </c>
      <c r="H718" s="21" t="n">
        <v>339.83</v>
      </c>
      <c r="I718" s="21" t="n">
        <v>-1.99</v>
      </c>
      <c r="J718" s="21" t="n">
        <v>-19.99</v>
      </c>
      <c r="K718" s="22" t="n">
        <f aca="false">H718+I718+J718</f>
        <v>317.85</v>
      </c>
      <c r="L718" s="23" t="n">
        <f aca="false">IF($K$1282=0,0,K718/$K$1282)</f>
        <v>2.6330197432361E-005</v>
      </c>
      <c r="M718" s="24" t="n">
        <f aca="false">IF(F718&lt;=0,0,K718/F718)</f>
        <v>19.865625</v>
      </c>
      <c r="N718" s="21" t="n">
        <v>19.99</v>
      </c>
      <c r="O718" s="49" t="n">
        <v>0.35</v>
      </c>
      <c r="P718" s="24" t="n">
        <f aca="false">O718*'Price Groups'!$B$5</f>
        <v>7.875</v>
      </c>
      <c r="Q718" s="26" t="n">
        <f aca="false">IF(OR(N718="",P718=""),"",(N718-P718)/N718)</f>
        <v>0.606053026513257</v>
      </c>
      <c r="R718" s="27" t="n">
        <v>1</v>
      </c>
      <c r="S718" s="28" t="n">
        <f aca="false">IF(R718="-",0,IFERROR(VLOOKUP(R718,'Price Groups'!$A$13:$C$17,3,FALSE()),0))</f>
        <v>0.22</v>
      </c>
      <c r="T718" s="22" t="n">
        <f aca="false">IF(OR(N718="",R718="-"),"",CEILING(ROUND(N718*(1+S718),2),IF(N718*(1+S718)&lt;100,0.5,IF(N718*(1+S718)&lt;1000,1,5))))</f>
        <v>24.5</v>
      </c>
      <c r="U718" s="26" t="n">
        <f aca="false">IF(OR(T718="",P718=""),"",(T718-P718)/T718)</f>
        <v>0.678571428571429</v>
      </c>
      <c r="V718" s="26" t="n">
        <f aca="false">IF(T718="",0,T718/N718-1)</f>
        <v>0.225612806403202</v>
      </c>
      <c r="W718" s="19" t="s">
        <v>94</v>
      </c>
    </row>
    <row r="719" customFormat="false" ht="15" hidden="false" customHeight="false" outlineLevel="0" collapsed="false">
      <c r="A719" s="38" t="n">
        <v>668</v>
      </c>
      <c r="B719" s="38" t="s">
        <v>114</v>
      </c>
      <c r="C719" s="38" t="s">
        <v>307</v>
      </c>
      <c r="D719" s="38" t="s">
        <v>113</v>
      </c>
      <c r="E719" s="38" t="s">
        <v>58</v>
      </c>
      <c r="F719" s="39" t="n">
        <v>16</v>
      </c>
      <c r="G719" s="39" t="n">
        <v>14</v>
      </c>
      <c r="H719" s="40" t="n">
        <v>43200</v>
      </c>
      <c r="I719" s="40" t="n">
        <v>-270</v>
      </c>
      <c r="J719" s="40" t="n">
        <v>0</v>
      </c>
      <c r="K719" s="41" t="n">
        <f aca="false">H719+I719+J719</f>
        <v>42930</v>
      </c>
      <c r="L719" s="42" t="n">
        <f aca="false">IF($K$1282=0,0,K719/$K$1282)</f>
        <v>0.00355625413173276</v>
      </c>
      <c r="M719" s="43" t="n">
        <f aca="false">IF(F719&lt;=0,0,K719/F719)</f>
        <v>2683.125</v>
      </c>
      <c r="N719" s="40" t="n">
        <v>2700</v>
      </c>
      <c r="O719" s="44" t="n">
        <v>76</v>
      </c>
      <c r="P719" s="43" t="n">
        <f aca="false">O719*'Price Groups'!$B$5</f>
        <v>1710</v>
      </c>
      <c r="Q719" s="45" t="n">
        <f aca="false">IF(OR(N719="",P719=""),"",(N719-P719)/N719)</f>
        <v>0.366666666666667</v>
      </c>
      <c r="R719" s="46" t="n">
        <v>2</v>
      </c>
      <c r="S719" s="47" t="n">
        <f aca="false">IF(R719="-",0,IFERROR(VLOOKUP(R719,'Price Groups'!$A$13:$C$17,3,FALSE()),0))</f>
        <v>0.18</v>
      </c>
      <c r="T719" s="41" t="n">
        <f aca="false">IF(OR(N719="",R719="-"),"",CEILING(ROUND(N719*(1+S719),2),IF(N719*(1+S719)&lt;100,0.5,IF(N719*(1+S719)&lt;1000,1,5))))</f>
        <v>3190</v>
      </c>
      <c r="U719" s="45" t="n">
        <f aca="false">IF(OR(T719="",P719=""),"",(T719-P719)/T719)</f>
        <v>0.463949843260188</v>
      </c>
      <c r="V719" s="45" t="n">
        <f aca="false">IF(T719="",0,T719/N719-1)</f>
        <v>0.181481481481482</v>
      </c>
      <c r="W719" s="38" t="s">
        <v>886</v>
      </c>
    </row>
    <row r="720" customFormat="false" ht="15" hidden="false" customHeight="false" outlineLevel="0" collapsed="false">
      <c r="A720" s="19" t="n">
        <v>669</v>
      </c>
      <c r="B720" s="19" t="s">
        <v>887</v>
      </c>
      <c r="C720" s="19" t="s">
        <v>57</v>
      </c>
      <c r="D720" s="19"/>
      <c r="E720" s="19" t="s">
        <v>58</v>
      </c>
      <c r="F720" s="20" t="n">
        <v>16</v>
      </c>
      <c r="G720" s="20" t="n">
        <v>12</v>
      </c>
      <c r="H720" s="21" t="n">
        <v>12827.94</v>
      </c>
      <c r="I720" s="21" t="n">
        <v>-179.97</v>
      </c>
      <c r="J720" s="21" t="n">
        <v>-1538</v>
      </c>
      <c r="K720" s="22" t="n">
        <f aca="false">H720+I720+J720</f>
        <v>11109.97</v>
      </c>
      <c r="L720" s="23" t="n">
        <f aca="false">IF($K$1282=0,0,K720/$K$1282)</f>
        <v>0.000920332558022991</v>
      </c>
      <c r="M720" s="24" t="n">
        <f aca="false">IF(F720&lt;=0,0,K720/F720)</f>
        <v>694.373125</v>
      </c>
      <c r="N720" s="21" t="n">
        <v>599.99</v>
      </c>
      <c r="O720" s="49" t="n">
        <v>9.32</v>
      </c>
      <c r="P720" s="24" t="n">
        <f aca="false">O720*'Price Groups'!$B$5</f>
        <v>209.7</v>
      </c>
      <c r="Q720" s="26" t="n">
        <f aca="false">IF(OR(N720="",P720=""),"",(N720-P720)/N720)</f>
        <v>0.650494174902915</v>
      </c>
      <c r="R720" s="27" t="n">
        <v>3</v>
      </c>
      <c r="S720" s="28" t="n">
        <f aca="false">IF(R720="-",0,IFERROR(VLOOKUP(R720,'Price Groups'!$A$13:$C$17,3,FALSE()),0))</f>
        <v>0.16</v>
      </c>
      <c r="T720" s="22" t="n">
        <f aca="false">IF(OR(N720="",R720="-"),"",CEILING(ROUND(N720*(1+S720),2),IF(N720*(1+S720)&lt;100,0.5,IF(N720*(1+S720)&lt;1000,1,5))))</f>
        <v>696</v>
      </c>
      <c r="U720" s="26" t="n">
        <f aca="false">IF(OR(T720="",P720=""),"",(T720-P720)/T720)</f>
        <v>0.698706896551724</v>
      </c>
      <c r="V720" s="26" t="n">
        <f aca="false">IF(T720="",0,T720/N720-1)</f>
        <v>0.160019333655561</v>
      </c>
      <c r="W720" s="19" t="s">
        <v>107</v>
      </c>
    </row>
    <row r="721" customFormat="false" ht="15" hidden="false" customHeight="false" outlineLevel="0" collapsed="false">
      <c r="A721" s="38" t="n">
        <v>670</v>
      </c>
      <c r="B721" s="38" t="s">
        <v>888</v>
      </c>
      <c r="C721" s="38" t="s">
        <v>57</v>
      </c>
      <c r="D721" s="38"/>
      <c r="E721" s="38" t="s">
        <v>58</v>
      </c>
      <c r="F721" s="39" t="n">
        <v>16</v>
      </c>
      <c r="G721" s="39" t="n">
        <v>8</v>
      </c>
      <c r="H721" s="40" t="n">
        <v>1501</v>
      </c>
      <c r="I721" s="40" t="n">
        <v>0</v>
      </c>
      <c r="J721" s="40" t="n">
        <v>-237</v>
      </c>
      <c r="K721" s="41" t="n">
        <f aca="false">H721+I721+J721</f>
        <v>1264</v>
      </c>
      <c r="L721" s="42" t="n">
        <f aca="false">IF($K$1282=0,0,K721/$K$1282)</f>
        <v>0.000104707785290245</v>
      </c>
      <c r="M721" s="43" t="n">
        <f aca="false">IF(F721&lt;=0,0,K721/F721)</f>
        <v>79</v>
      </c>
      <c r="N721" s="40" t="n">
        <v>79</v>
      </c>
      <c r="O721" s="44" t="n">
        <v>1.75</v>
      </c>
      <c r="P721" s="43" t="n">
        <f aca="false">O721*'Price Groups'!$B$5</f>
        <v>39.375</v>
      </c>
      <c r="Q721" s="45" t="n">
        <f aca="false">IF(OR(N721="",P721=""),"",(N721-P721)/N721)</f>
        <v>0.501582278481013</v>
      </c>
      <c r="R721" s="46" t="n">
        <v>1</v>
      </c>
      <c r="S721" s="47" t="n">
        <f aca="false">IF(R721="-",0,IFERROR(VLOOKUP(R721,'Price Groups'!$A$13:$C$17,3,FALSE()),0))</f>
        <v>0.22</v>
      </c>
      <c r="T721" s="41" t="n">
        <f aca="false">IF(OR(N721="",R721="-"),"",CEILING(ROUND(N721*(1+S721),2),IF(N721*(1+S721)&lt;100,0.5,IF(N721*(1+S721)&lt;1000,1,5))))</f>
        <v>96.5</v>
      </c>
      <c r="U721" s="45" t="n">
        <f aca="false">IF(OR(T721="",P721=""),"",(T721-P721)/T721)</f>
        <v>0.591968911917098</v>
      </c>
      <c r="V721" s="45" t="n">
        <f aca="false">IF(T721="",0,T721/N721-1)</f>
        <v>0.221518987341772</v>
      </c>
      <c r="W721" s="38" t="s">
        <v>94</v>
      </c>
    </row>
    <row r="722" customFormat="false" ht="15" hidden="false" customHeight="false" outlineLevel="0" collapsed="false">
      <c r="A722" s="19" t="n">
        <v>671</v>
      </c>
      <c r="B722" s="19" t="s">
        <v>183</v>
      </c>
      <c r="C722" s="19" t="s">
        <v>307</v>
      </c>
      <c r="D722" s="19" t="s">
        <v>182</v>
      </c>
      <c r="E722" s="19" t="s">
        <v>58</v>
      </c>
      <c r="F722" s="20" t="n">
        <v>16</v>
      </c>
      <c r="G722" s="20" t="n">
        <v>16</v>
      </c>
      <c r="H722" s="21" t="n">
        <v>16696</v>
      </c>
      <c r="I722" s="21" t="n">
        <v>-24.44</v>
      </c>
      <c r="J722" s="21" t="n">
        <v>0</v>
      </c>
      <c r="K722" s="22" t="n">
        <f aca="false">H722+I722+J722</f>
        <v>16671.56</v>
      </c>
      <c r="L722" s="23" t="n">
        <f aca="false">IF($K$1282=0,0,K722/$K$1282)</f>
        <v>0.00138104598491569</v>
      </c>
      <c r="M722" s="24" t="n">
        <f aca="false">IF(F722&lt;=0,0,K722/F722)</f>
        <v>1041.9725</v>
      </c>
      <c r="N722" s="21" t="n">
        <v>1125</v>
      </c>
      <c r="O722" s="49" t="n">
        <v>8.52</v>
      </c>
      <c r="P722" s="24" t="n">
        <f aca="false">O722*'Price Groups'!$B$5</f>
        <v>191.7</v>
      </c>
      <c r="Q722" s="26" t="n">
        <f aca="false">IF(OR(N722="",P722=""),"",(N722-P722)/N722)</f>
        <v>0.8296</v>
      </c>
      <c r="R722" s="27" t="n">
        <v>3</v>
      </c>
      <c r="S722" s="28" t="n">
        <f aca="false">IF(R722="-",0,IFERROR(VLOOKUP(R722,'Price Groups'!$A$13:$C$17,3,FALSE()),0))</f>
        <v>0.16</v>
      </c>
      <c r="T722" s="22" t="n">
        <f aca="false">IF(OR(N722="",R722="-"),"",CEILING(ROUND(N722*(1+S722),2),IF(N722*(1+S722)&lt;100,0.5,IF(N722*(1+S722)&lt;1000,1,5))))</f>
        <v>1305</v>
      </c>
      <c r="U722" s="26" t="n">
        <f aca="false">IF(OR(T722="",P722=""),"",(T722-P722)/T722)</f>
        <v>0.853103448275862</v>
      </c>
      <c r="V722" s="26" t="n">
        <f aca="false">IF(T722="",0,T722/N722-1)</f>
        <v>0.16</v>
      </c>
      <c r="W722" s="19" t="s">
        <v>889</v>
      </c>
    </row>
    <row r="723" customFormat="false" ht="15" hidden="false" customHeight="false" outlineLevel="0" collapsed="false">
      <c r="A723" s="38" t="n">
        <v>672</v>
      </c>
      <c r="B723" s="38" t="s">
        <v>890</v>
      </c>
      <c r="C723" s="38" t="s">
        <v>57</v>
      </c>
      <c r="D723" s="38"/>
      <c r="E723" s="38" t="s">
        <v>58</v>
      </c>
      <c r="F723" s="39" t="n">
        <v>16</v>
      </c>
      <c r="G723" s="39" t="n">
        <v>18</v>
      </c>
      <c r="H723" s="40" t="n">
        <v>3178.38</v>
      </c>
      <c r="I723" s="40" t="n">
        <v>0</v>
      </c>
      <c r="J723" s="40" t="n">
        <v>-509.97</v>
      </c>
      <c r="K723" s="41" t="n">
        <f aca="false">H723+I723+J723</f>
        <v>2668.41</v>
      </c>
      <c r="L723" s="42" t="n">
        <f aca="false">IF($K$1282=0,0,K723/$K$1282)</f>
        <v>0.000221046915622106</v>
      </c>
      <c r="M723" s="43" t="n">
        <f aca="false">IF(F723&lt;=0,0,K723/F723)</f>
        <v>166.775625</v>
      </c>
      <c r="N723" s="40" t="n">
        <v>120</v>
      </c>
      <c r="O723" s="44" t="n">
        <v>3.7</v>
      </c>
      <c r="P723" s="43" t="n">
        <f aca="false">O723*'Price Groups'!$B$5</f>
        <v>83.25</v>
      </c>
      <c r="Q723" s="45" t="n">
        <f aca="false">IF(OR(N723="",P723=""),"",(N723-P723)/N723)</f>
        <v>0.30625</v>
      </c>
      <c r="R723" s="46" t="n">
        <v>1</v>
      </c>
      <c r="S723" s="47" t="n">
        <f aca="false">IF(R723="-",0,IFERROR(VLOOKUP(R723,'Price Groups'!$A$13:$C$17,3,FALSE()),0))</f>
        <v>0.22</v>
      </c>
      <c r="T723" s="41" t="n">
        <f aca="false">IF(OR(N723="",R723="-"),"",CEILING(ROUND(N723*(1+S723),2),IF(N723*(1+S723)&lt;100,0.5,IF(N723*(1+S723)&lt;1000,1,5))))</f>
        <v>147</v>
      </c>
      <c r="U723" s="45" t="n">
        <f aca="false">IF(OR(T723="",P723=""),"",(T723-P723)/T723)</f>
        <v>0.433673469387755</v>
      </c>
      <c r="V723" s="45" t="n">
        <f aca="false">IF(T723="",0,T723/N723-1)</f>
        <v>0.225</v>
      </c>
      <c r="W723" s="38" t="s">
        <v>94</v>
      </c>
    </row>
    <row r="724" customFormat="false" ht="15" hidden="false" customHeight="false" outlineLevel="0" collapsed="false">
      <c r="A724" s="19" t="n">
        <v>673</v>
      </c>
      <c r="B724" s="19" t="s">
        <v>241</v>
      </c>
      <c r="C724" s="19" t="s">
        <v>307</v>
      </c>
      <c r="D724" s="19" t="s">
        <v>240</v>
      </c>
      <c r="E724" s="19" t="s">
        <v>58</v>
      </c>
      <c r="F724" s="20" t="n">
        <v>16</v>
      </c>
      <c r="G724" s="20" t="n">
        <v>14</v>
      </c>
      <c r="H724" s="21" t="n">
        <v>8609</v>
      </c>
      <c r="I724" s="21" t="n">
        <v>-101.38</v>
      </c>
      <c r="J724" s="21" t="n">
        <v>0</v>
      </c>
      <c r="K724" s="22" t="n">
        <f aca="false">H724+I724+J724</f>
        <v>8507.62</v>
      </c>
      <c r="L724" s="23" t="n">
        <f aca="false">IF($K$1282=0,0,K724/$K$1282)</f>
        <v>0.000704757949597304</v>
      </c>
      <c r="M724" s="24" t="n">
        <f aca="false">IF(F724&lt;=0,0,K724/F724)</f>
        <v>531.72625</v>
      </c>
      <c r="N724" s="21" t="n">
        <v>700</v>
      </c>
      <c r="O724" s="49" t="n">
        <v>12.99</v>
      </c>
      <c r="P724" s="24" t="n">
        <f aca="false">O724*'Price Groups'!$B$5</f>
        <v>292.275</v>
      </c>
      <c r="Q724" s="26" t="n">
        <f aca="false">IF(OR(N724="",P724=""),"",(N724-P724)/N724)</f>
        <v>0.582464285714286</v>
      </c>
      <c r="R724" s="27" t="n">
        <v>3</v>
      </c>
      <c r="S724" s="28" t="n">
        <f aca="false">IF(R724="-",0,IFERROR(VLOOKUP(R724,'Price Groups'!$A$13:$C$17,3,FALSE()),0))</f>
        <v>0.16</v>
      </c>
      <c r="T724" s="22" t="n">
        <f aca="false">IF(OR(N724="",R724="-"),"",CEILING(ROUND(N724*(1+S724),2),IF(N724*(1+S724)&lt;100,0.5,IF(N724*(1+S724)&lt;1000,1,5))))</f>
        <v>812</v>
      </c>
      <c r="U724" s="26" t="n">
        <f aca="false">IF(OR(T724="",P724=""),"",(T724-P724)/T724)</f>
        <v>0.640055418719212</v>
      </c>
      <c r="V724" s="26" t="n">
        <f aca="false">IF(T724="",0,T724/N724-1)</f>
        <v>0.16</v>
      </c>
      <c r="W724" s="19" t="s">
        <v>891</v>
      </c>
    </row>
    <row r="725" customFormat="false" ht="15" hidden="false" customHeight="false" outlineLevel="0" collapsed="false">
      <c r="A725" s="38" t="n">
        <v>674</v>
      </c>
      <c r="B725" s="38" t="s">
        <v>892</v>
      </c>
      <c r="C725" s="38" t="s">
        <v>57</v>
      </c>
      <c r="D725" s="38"/>
      <c r="E725" s="38" t="s">
        <v>58</v>
      </c>
      <c r="F725" s="39" t="n">
        <v>15</v>
      </c>
      <c r="G725" s="39" t="n">
        <v>13</v>
      </c>
      <c r="H725" s="40" t="n">
        <v>6425</v>
      </c>
      <c r="I725" s="40" t="n">
        <v>-39.96</v>
      </c>
      <c r="J725" s="40" t="n">
        <v>-395</v>
      </c>
      <c r="K725" s="41" t="n">
        <f aca="false">H725+I725+J725</f>
        <v>5990.04</v>
      </c>
      <c r="L725" s="42" t="n">
        <f aca="false">IF($K$1282=0,0,K725/$K$1282)</f>
        <v>0.000496205555537957</v>
      </c>
      <c r="M725" s="43" t="n">
        <f aca="false">IF(F725&lt;=0,0,K725/F725)</f>
        <v>399.336</v>
      </c>
      <c r="N725" s="40" t="n">
        <v>410</v>
      </c>
      <c r="O725" s="44" t="n">
        <v>18.32</v>
      </c>
      <c r="P725" s="43" t="n">
        <f aca="false">O725*'Price Groups'!$B$5</f>
        <v>412.2</v>
      </c>
      <c r="Q725" s="45" t="n">
        <f aca="false">IF(OR(N725="",P725=""),"",(N725-P725)/N725)</f>
        <v>-0.00536585365853656</v>
      </c>
      <c r="R725" s="46" t="n">
        <v>1</v>
      </c>
      <c r="S725" s="47" t="n">
        <f aca="false">IF(R725="-",0,IFERROR(VLOOKUP(R725,'Price Groups'!$A$13:$C$17,3,FALSE()),0))</f>
        <v>0.22</v>
      </c>
      <c r="T725" s="41" t="n">
        <f aca="false">IF(OR(N725="",R725="-"),"",CEILING(ROUND(N725*(1+S725),2),IF(N725*(1+S725)&lt;100,0.5,IF(N725*(1+S725)&lt;1000,1,5))))</f>
        <v>501</v>
      </c>
      <c r="U725" s="45" t="n">
        <f aca="false">IF(OR(T725="",P725=""),"",(T725-P725)/T725)</f>
        <v>0.177245508982036</v>
      </c>
      <c r="V725" s="45" t="n">
        <f aca="false">IF(T725="",0,T725/N725-1)</f>
        <v>0.221951219512195</v>
      </c>
      <c r="W725" s="38" t="s">
        <v>365</v>
      </c>
    </row>
    <row r="726" customFormat="false" ht="15" hidden="false" customHeight="false" outlineLevel="0" collapsed="false">
      <c r="A726" s="19" t="n">
        <v>675</v>
      </c>
      <c r="B726" s="19" t="s">
        <v>893</v>
      </c>
      <c r="C726" s="19" t="s">
        <v>57</v>
      </c>
      <c r="D726" s="19"/>
      <c r="E726" s="19" t="s">
        <v>58</v>
      </c>
      <c r="F726" s="20" t="n">
        <v>15</v>
      </c>
      <c r="G726" s="20" t="n">
        <v>12</v>
      </c>
      <c r="H726" s="21" t="n">
        <v>5940</v>
      </c>
      <c r="I726" s="21" t="n">
        <v>-102.22</v>
      </c>
      <c r="J726" s="21" t="n">
        <v>0</v>
      </c>
      <c r="K726" s="22" t="n">
        <f aca="false">H726+I726+J726</f>
        <v>5837.78</v>
      </c>
      <c r="L726" s="23" t="n">
        <f aca="false">IF($K$1282=0,0,K726/$K$1282)</f>
        <v>0.000483592575009244</v>
      </c>
      <c r="M726" s="24" t="n">
        <f aca="false">IF(F726&lt;=0,0,K726/F726)</f>
        <v>389.185333333333</v>
      </c>
      <c r="N726" s="21" t="n">
        <v>410</v>
      </c>
      <c r="O726" s="49" t="n">
        <v>18.32</v>
      </c>
      <c r="P726" s="24" t="n">
        <f aca="false">O726*'Price Groups'!$B$5</f>
        <v>412.2</v>
      </c>
      <c r="Q726" s="26" t="n">
        <f aca="false">IF(OR(N726="",P726=""),"",(N726-P726)/N726)</f>
        <v>-0.00536585365853656</v>
      </c>
      <c r="R726" s="27" t="n">
        <v>1</v>
      </c>
      <c r="S726" s="28" t="n">
        <f aca="false">IF(R726="-",0,IFERROR(VLOOKUP(R726,'Price Groups'!$A$13:$C$17,3,FALSE()),0))</f>
        <v>0.22</v>
      </c>
      <c r="T726" s="22" t="n">
        <f aca="false">IF(OR(N726="",R726="-"),"",CEILING(ROUND(N726*(1+S726),2),IF(N726*(1+S726)&lt;100,0.5,IF(N726*(1+S726)&lt;1000,1,5))))</f>
        <v>501</v>
      </c>
      <c r="U726" s="26" t="n">
        <f aca="false">IF(OR(T726="",P726=""),"",(T726-P726)/T726)</f>
        <v>0.177245508982036</v>
      </c>
      <c r="V726" s="26" t="n">
        <f aca="false">IF(T726="",0,T726/N726-1)</f>
        <v>0.221951219512195</v>
      </c>
      <c r="W726" s="19" t="s">
        <v>365</v>
      </c>
    </row>
    <row r="727" customFormat="false" ht="15" hidden="false" customHeight="false" outlineLevel="0" collapsed="false">
      <c r="A727" s="38" t="n">
        <v>676</v>
      </c>
      <c r="B727" s="38" t="s">
        <v>894</v>
      </c>
      <c r="C727" s="38" t="s">
        <v>57</v>
      </c>
      <c r="D727" s="38"/>
      <c r="E727" s="38" t="s">
        <v>58</v>
      </c>
      <c r="F727" s="39" t="n">
        <v>15</v>
      </c>
      <c r="G727" s="39" t="n">
        <v>12</v>
      </c>
      <c r="H727" s="40" t="n">
        <v>148.05</v>
      </c>
      <c r="I727" s="40" t="n">
        <v>-1.16</v>
      </c>
      <c r="J727" s="40" t="n">
        <v>0</v>
      </c>
      <c r="K727" s="41" t="n">
        <f aca="false">H727+I727+J727</f>
        <v>146.89</v>
      </c>
      <c r="L727" s="42" t="n">
        <f aca="false">IF($K$1282=0,0,K727/$K$1282)</f>
        <v>1.21681381181045E-005</v>
      </c>
      <c r="M727" s="43" t="n">
        <f aca="false">IF(F727&lt;=0,0,K727/F727)</f>
        <v>9.79266666666667</v>
      </c>
      <c r="N727" s="40" t="n">
        <v>7.94</v>
      </c>
      <c r="O727" s="44" t="n">
        <v>0.28</v>
      </c>
      <c r="P727" s="43" t="n">
        <f aca="false">O727*'Price Groups'!$B$5</f>
        <v>6.3</v>
      </c>
      <c r="Q727" s="45" t="n">
        <f aca="false">IF(OR(N727="",P727=""),"",(N727-P727)/N727)</f>
        <v>0.206549118387909</v>
      </c>
      <c r="R727" s="46" t="n">
        <v>1</v>
      </c>
      <c r="S727" s="47" t="n">
        <f aca="false">IF(R727="-",0,IFERROR(VLOOKUP(R727,'Price Groups'!$A$13:$C$17,3,FALSE()),0))</f>
        <v>0.22</v>
      </c>
      <c r="T727" s="41" t="n">
        <f aca="false">IF(OR(N727="",R727="-"),"",CEILING(ROUND(N727*(1+S727),2),IF(N727*(1+S727)&lt;100,0.5,IF(N727*(1+S727)&lt;1000,1,5))))</f>
        <v>10</v>
      </c>
      <c r="U727" s="45" t="n">
        <f aca="false">IF(OR(T727="",P727=""),"",(T727-P727)/T727)</f>
        <v>0.37</v>
      </c>
      <c r="V727" s="45" t="n">
        <f aca="false">IF(T727="",0,T727/N727-1)</f>
        <v>0.259445843828715</v>
      </c>
      <c r="W727" s="38" t="s">
        <v>333</v>
      </c>
    </row>
    <row r="728" customFormat="false" ht="15" hidden="false" customHeight="false" outlineLevel="0" collapsed="false">
      <c r="A728" s="19" t="n">
        <v>677</v>
      </c>
      <c r="B728" s="19" t="s">
        <v>895</v>
      </c>
      <c r="C728" s="19" t="s">
        <v>57</v>
      </c>
      <c r="D728" s="19"/>
      <c r="E728" s="19" t="s">
        <v>58</v>
      </c>
      <c r="F728" s="20" t="n">
        <v>15</v>
      </c>
      <c r="G728" s="20" t="n">
        <v>13</v>
      </c>
      <c r="H728" s="21" t="n">
        <v>4878.5</v>
      </c>
      <c r="I728" s="21" t="n">
        <v>-49.3</v>
      </c>
      <c r="J728" s="21" t="n">
        <v>-1116</v>
      </c>
      <c r="K728" s="22" t="n">
        <f aca="false">H728+I728+J728</f>
        <v>3713.2</v>
      </c>
      <c r="L728" s="23" t="n">
        <f aca="false">IF($K$1282=0,0,K728/$K$1282)</f>
        <v>0.00030759568697764</v>
      </c>
      <c r="M728" s="24" t="n">
        <f aca="false">IF(F728&lt;=0,0,K728/F728)</f>
        <v>247.546666666667</v>
      </c>
      <c r="N728" s="21" t="n">
        <v>246.5</v>
      </c>
      <c r="O728" s="49" t="n">
        <v>10</v>
      </c>
      <c r="P728" s="24" t="n">
        <f aca="false">O728*'Price Groups'!$B$5</f>
        <v>225</v>
      </c>
      <c r="Q728" s="26" t="n">
        <f aca="false">IF(OR(N728="",P728=""),"",(N728-P728)/N728)</f>
        <v>0.0872210953346856</v>
      </c>
      <c r="R728" s="27" t="n">
        <v>1</v>
      </c>
      <c r="S728" s="28" t="n">
        <f aca="false">IF(R728="-",0,IFERROR(VLOOKUP(R728,'Price Groups'!$A$13:$C$17,3,FALSE()),0))</f>
        <v>0.22</v>
      </c>
      <c r="T728" s="22" t="n">
        <f aca="false">IF(OR(N728="",R728="-"),"",CEILING(ROUND(N728*(1+S728),2),IF(N728*(1+S728)&lt;100,0.5,IF(N728*(1+S728)&lt;1000,1,5))))</f>
        <v>301</v>
      </c>
      <c r="U728" s="26" t="n">
        <f aca="false">IF(OR(T728="",P728=""),"",(T728-P728)/T728)</f>
        <v>0.252491694352159</v>
      </c>
      <c r="V728" s="26" t="n">
        <f aca="false">IF(T728="",0,T728/N728-1)</f>
        <v>0.221095334685598</v>
      </c>
      <c r="W728" s="19" t="s">
        <v>857</v>
      </c>
    </row>
    <row r="729" customFormat="false" ht="15" hidden="false" customHeight="false" outlineLevel="0" collapsed="false">
      <c r="A729" s="38" t="n">
        <v>678</v>
      </c>
      <c r="B729" s="38" t="s">
        <v>896</v>
      </c>
      <c r="C729" s="38" t="s">
        <v>57</v>
      </c>
      <c r="D729" s="38"/>
      <c r="E729" s="38" t="s">
        <v>58</v>
      </c>
      <c r="F729" s="39" t="n">
        <v>15</v>
      </c>
      <c r="G729" s="39" t="n">
        <v>14</v>
      </c>
      <c r="H729" s="40" t="n">
        <v>4475.17</v>
      </c>
      <c r="I729" s="40" t="n">
        <v>-315.16</v>
      </c>
      <c r="J729" s="40" t="n">
        <v>-349</v>
      </c>
      <c r="K729" s="41" t="n">
        <f aca="false">H729+I729+J729</f>
        <v>3811.01</v>
      </c>
      <c r="L729" s="42" t="n">
        <f aca="false">IF($K$1282=0,0,K729/$K$1282)</f>
        <v>0.000315698114571974</v>
      </c>
      <c r="M729" s="43" t="n">
        <f aca="false">IF(F729&lt;=0,0,K729/F729)</f>
        <v>254.067333333333</v>
      </c>
      <c r="N729" s="40" t="n">
        <v>216.94</v>
      </c>
      <c r="O729" s="44" t="n">
        <v>6.77</v>
      </c>
      <c r="P729" s="43" t="n">
        <f aca="false">O729*'Price Groups'!$B$5</f>
        <v>152.325</v>
      </c>
      <c r="Q729" s="45" t="n">
        <f aca="false">IF(OR(N729="",P729=""),"",(N729-P729)/N729)</f>
        <v>0.297847331059279</v>
      </c>
      <c r="R729" s="46" t="n">
        <v>1</v>
      </c>
      <c r="S729" s="47" t="n">
        <f aca="false">IF(R729="-",0,IFERROR(VLOOKUP(R729,'Price Groups'!$A$13:$C$17,3,FALSE()),0))</f>
        <v>0.22</v>
      </c>
      <c r="T729" s="41" t="n">
        <f aca="false">IF(OR(N729="",R729="-"),"",CEILING(ROUND(N729*(1+S729),2),IF(N729*(1+S729)&lt;100,0.5,IF(N729*(1+S729)&lt;1000,1,5))))</f>
        <v>265</v>
      </c>
      <c r="U729" s="45" t="n">
        <f aca="false">IF(OR(T729="",P729=""),"",(T729-P729)/T729)</f>
        <v>0.425188679245283</v>
      </c>
      <c r="V729" s="45" t="n">
        <f aca="false">IF(T729="",0,T729/N729-1)</f>
        <v>0.221535908546142</v>
      </c>
      <c r="W729" s="38" t="s">
        <v>94</v>
      </c>
    </row>
    <row r="730" customFormat="false" ht="15" hidden="false" customHeight="false" outlineLevel="0" collapsed="false">
      <c r="A730" s="19" t="n">
        <v>679</v>
      </c>
      <c r="B730" s="19" t="s">
        <v>897</v>
      </c>
      <c r="C730" s="19" t="s">
        <v>57</v>
      </c>
      <c r="D730" s="19"/>
      <c r="E730" s="19" t="s">
        <v>58</v>
      </c>
      <c r="F730" s="20" t="n">
        <v>15</v>
      </c>
      <c r="G730" s="20" t="n">
        <v>14</v>
      </c>
      <c r="H730" s="21" t="n">
        <v>4478.08</v>
      </c>
      <c r="I730" s="21" t="n">
        <v>-1.75</v>
      </c>
      <c r="J730" s="21" t="n">
        <v>-477.99</v>
      </c>
      <c r="K730" s="22" t="n">
        <f aca="false">H730+I730+J730</f>
        <v>3998.34</v>
      </c>
      <c r="L730" s="23" t="n">
        <f aca="false">IF($K$1282=0,0,K730/$K$1282)</f>
        <v>0.000331216239111865</v>
      </c>
      <c r="M730" s="24" t="n">
        <f aca="false">IF(F730&lt;=0,0,K730/F730)</f>
        <v>266.556</v>
      </c>
      <c r="N730" s="21" t="n">
        <v>250</v>
      </c>
      <c r="O730" s="49" t="n">
        <v>5</v>
      </c>
      <c r="P730" s="24" t="n">
        <f aca="false">O730*'Price Groups'!$B$5</f>
        <v>112.5</v>
      </c>
      <c r="Q730" s="26" t="n">
        <f aca="false">IF(OR(N730="",P730=""),"",(N730-P730)/N730)</f>
        <v>0.55</v>
      </c>
      <c r="R730" s="27" t="n">
        <v>1</v>
      </c>
      <c r="S730" s="28" t="n">
        <f aca="false">IF(R730="-",0,IFERROR(VLOOKUP(R730,'Price Groups'!$A$13:$C$17,3,FALSE()),0))</f>
        <v>0.22</v>
      </c>
      <c r="T730" s="22" t="n">
        <f aca="false">IF(OR(N730="",R730="-"),"",CEILING(ROUND(N730*(1+S730),2),IF(N730*(1+S730)&lt;100,0.5,IF(N730*(1+S730)&lt;1000,1,5))))</f>
        <v>305</v>
      </c>
      <c r="U730" s="26" t="n">
        <f aca="false">IF(OR(T730="",P730=""),"",(T730-P730)/T730)</f>
        <v>0.631147540983607</v>
      </c>
      <c r="V730" s="26" t="n">
        <f aca="false">IF(T730="",0,T730/N730-1)</f>
        <v>0.22</v>
      </c>
      <c r="W730" s="19" t="s">
        <v>94</v>
      </c>
    </row>
    <row r="731" customFormat="false" ht="15" hidden="false" customHeight="false" outlineLevel="0" collapsed="false">
      <c r="A731" s="38" t="n">
        <v>680</v>
      </c>
      <c r="B731" s="38" t="s">
        <v>898</v>
      </c>
      <c r="C731" s="38" t="s">
        <v>57</v>
      </c>
      <c r="D731" s="38"/>
      <c r="E731" s="38" t="s">
        <v>58</v>
      </c>
      <c r="F731" s="39" t="n">
        <v>15</v>
      </c>
      <c r="G731" s="39" t="n">
        <v>15</v>
      </c>
      <c r="H731" s="40" t="n">
        <v>2704</v>
      </c>
      <c r="I731" s="40" t="n">
        <v>-26.94</v>
      </c>
      <c r="J731" s="40" t="n">
        <v>-169</v>
      </c>
      <c r="K731" s="41" t="n">
        <f aca="false">H731+I731+J731</f>
        <v>2508.06</v>
      </c>
      <c r="L731" s="42" t="n">
        <f aca="false">IF($K$1282=0,0,K731/$K$1282)</f>
        <v>0.000207763772132161</v>
      </c>
      <c r="M731" s="43" t="n">
        <f aca="false">IF(F731&lt;=0,0,K731/F731)</f>
        <v>167.204</v>
      </c>
      <c r="N731" s="40" t="n">
        <v>169</v>
      </c>
      <c r="O731" s="44" t="n">
        <v>3.85</v>
      </c>
      <c r="P731" s="43" t="n">
        <f aca="false">O731*'Price Groups'!$B$5</f>
        <v>86.625</v>
      </c>
      <c r="Q731" s="45" t="n">
        <f aca="false">IF(OR(N731="",P731=""),"",(N731-P731)/N731)</f>
        <v>0.487426035502959</v>
      </c>
      <c r="R731" s="46" t="n">
        <v>1</v>
      </c>
      <c r="S731" s="47" t="n">
        <f aca="false">IF(R731="-",0,IFERROR(VLOOKUP(R731,'Price Groups'!$A$13:$C$17,3,FALSE()),0))</f>
        <v>0.22</v>
      </c>
      <c r="T731" s="41" t="n">
        <f aca="false">IF(OR(N731="",R731="-"),"",CEILING(ROUND(N731*(1+S731),2),IF(N731*(1+S731)&lt;100,0.5,IF(N731*(1+S731)&lt;1000,1,5))))</f>
        <v>207</v>
      </c>
      <c r="U731" s="45" t="n">
        <f aca="false">IF(OR(T731="",P731=""),"",(T731-P731)/T731)</f>
        <v>0.581521739130435</v>
      </c>
      <c r="V731" s="45" t="n">
        <f aca="false">IF(T731="",0,T731/N731-1)</f>
        <v>0.224852071005917</v>
      </c>
      <c r="W731" s="38" t="s">
        <v>94</v>
      </c>
    </row>
    <row r="732" customFormat="false" ht="15" hidden="false" customHeight="false" outlineLevel="0" collapsed="false">
      <c r="A732" s="19" t="n">
        <v>681</v>
      </c>
      <c r="B732" s="19" t="s">
        <v>899</v>
      </c>
      <c r="C732" s="19" t="s">
        <v>57</v>
      </c>
      <c r="D732" s="19"/>
      <c r="E732" s="19" t="s">
        <v>58</v>
      </c>
      <c r="F732" s="20" t="n">
        <v>15</v>
      </c>
      <c r="G732" s="20" t="n">
        <v>16</v>
      </c>
      <c r="H732" s="21" t="n">
        <v>1899.81</v>
      </c>
      <c r="I732" s="21" t="n">
        <v>-19.98</v>
      </c>
      <c r="J732" s="21" t="n">
        <v>-399.96</v>
      </c>
      <c r="K732" s="22" t="n">
        <f aca="false">H732+I732+J732</f>
        <v>1479.87</v>
      </c>
      <c r="L732" s="23" t="n">
        <f aca="false">IF($K$1282=0,0,K732/$K$1282)</f>
        <v>0.000122590118842939</v>
      </c>
      <c r="M732" s="24" t="n">
        <f aca="false">IF(F732&lt;=0,0,K732/F732)</f>
        <v>98.658</v>
      </c>
      <c r="N732" s="21" t="n">
        <v>99.99</v>
      </c>
      <c r="O732" s="49" t="n">
        <v>2.1</v>
      </c>
      <c r="P732" s="24" t="n">
        <f aca="false">O732*'Price Groups'!$B$5</f>
        <v>47.25</v>
      </c>
      <c r="Q732" s="26" t="n">
        <f aca="false">IF(OR(N732="",P732=""),"",(N732-P732)/N732)</f>
        <v>0.527452745274528</v>
      </c>
      <c r="R732" s="27" t="n">
        <v>1</v>
      </c>
      <c r="S732" s="28" t="n">
        <f aca="false">IF(R732="-",0,IFERROR(VLOOKUP(R732,'Price Groups'!$A$13:$C$17,3,FALSE()),0))</f>
        <v>0.22</v>
      </c>
      <c r="T732" s="22" t="n">
        <f aca="false">IF(OR(N732="",R732="-"),"",CEILING(ROUND(N732*(1+S732),2),IF(N732*(1+S732)&lt;100,0.5,IF(N732*(1+S732)&lt;1000,1,5))))</f>
        <v>122</v>
      </c>
      <c r="U732" s="26" t="n">
        <f aca="false">IF(OR(T732="",P732=""),"",(T732-P732)/T732)</f>
        <v>0.612704918032787</v>
      </c>
      <c r="V732" s="26" t="n">
        <f aca="false">IF(T732="",0,T732/N732-1)</f>
        <v>0.22012201220122</v>
      </c>
      <c r="W732" s="19" t="s">
        <v>94</v>
      </c>
    </row>
    <row r="733" customFormat="false" ht="15" hidden="false" customHeight="false" outlineLevel="0" collapsed="false">
      <c r="A733" s="38" t="n">
        <v>682</v>
      </c>
      <c r="B733" s="38" t="s">
        <v>900</v>
      </c>
      <c r="C733" s="38" t="s">
        <v>57</v>
      </c>
      <c r="D733" s="38"/>
      <c r="E733" s="38" t="s">
        <v>58</v>
      </c>
      <c r="F733" s="39" t="n">
        <v>15</v>
      </c>
      <c r="G733" s="39" t="n">
        <v>15</v>
      </c>
      <c r="H733" s="40" t="n">
        <v>19004.55</v>
      </c>
      <c r="I733" s="40" t="n">
        <v>-402.99</v>
      </c>
      <c r="J733" s="40" t="n">
        <v>-3965.47</v>
      </c>
      <c r="K733" s="41" t="n">
        <f aca="false">H733+I733+J733</f>
        <v>14636.09</v>
      </c>
      <c r="L733" s="42" t="n">
        <f aca="false">IF($K$1282=0,0,K733/$K$1282)</f>
        <v>0.00121243083007017</v>
      </c>
      <c r="M733" s="43" t="n">
        <f aca="false">IF(F733&lt;=0,0,K733/F733)</f>
        <v>975.739333333333</v>
      </c>
      <c r="N733" s="40" t="n">
        <v>925</v>
      </c>
      <c r="O733" s="44" t="n">
        <v>18.95</v>
      </c>
      <c r="P733" s="43" t="n">
        <f aca="false">O733*'Price Groups'!$B$5</f>
        <v>426.375</v>
      </c>
      <c r="Q733" s="45" t="n">
        <f aca="false">IF(OR(N733="",P733=""),"",(N733-P733)/N733)</f>
        <v>0.539054054054054</v>
      </c>
      <c r="R733" s="46" t="n">
        <v>3</v>
      </c>
      <c r="S733" s="47" t="n">
        <f aca="false">IF(R733="-",0,IFERROR(VLOOKUP(R733,'Price Groups'!$A$13:$C$17,3,FALSE()),0))</f>
        <v>0.16</v>
      </c>
      <c r="T733" s="41" t="n">
        <f aca="false">IF(OR(N733="",R733="-"),"",CEILING(ROUND(N733*(1+S733),2),IF(N733*(1+S733)&lt;100,0.5,IF(N733*(1+S733)&lt;1000,1,5))))</f>
        <v>1075</v>
      </c>
      <c r="U733" s="45" t="n">
        <f aca="false">IF(OR(T733="",P733=""),"",(T733-P733)/T733)</f>
        <v>0.603372093023256</v>
      </c>
      <c r="V733" s="45" t="n">
        <f aca="false">IF(T733="",0,T733/N733-1)</f>
        <v>0.162162162162162</v>
      </c>
      <c r="W733" s="38" t="s">
        <v>107</v>
      </c>
    </row>
    <row r="734" customFormat="false" ht="15" hidden="false" customHeight="false" outlineLevel="0" collapsed="false">
      <c r="A734" s="19" t="n">
        <v>683</v>
      </c>
      <c r="B734" s="19" t="s">
        <v>901</v>
      </c>
      <c r="C734" s="19" t="s">
        <v>57</v>
      </c>
      <c r="D734" s="19"/>
      <c r="E734" s="19" t="s">
        <v>58</v>
      </c>
      <c r="F734" s="20" t="n">
        <v>15</v>
      </c>
      <c r="G734" s="20" t="n">
        <v>12</v>
      </c>
      <c r="H734" s="21" t="n">
        <v>2518.46</v>
      </c>
      <c r="I734" s="21" t="n">
        <v>-25.63</v>
      </c>
      <c r="J734" s="21" t="n">
        <v>-389.97</v>
      </c>
      <c r="K734" s="22" t="n">
        <f aca="false">H734+I734+J734</f>
        <v>2102.86</v>
      </c>
      <c r="L734" s="23" t="n">
        <f aca="false">IF($K$1282=0,0,K734/$K$1282)</f>
        <v>0.000174197637164117</v>
      </c>
      <c r="M734" s="24" t="n">
        <f aca="false">IF(F734&lt;=0,0,K734/F734)</f>
        <v>140.190666666667</v>
      </c>
      <c r="N734" s="21" t="n">
        <v>169.99</v>
      </c>
      <c r="O734" s="49" t="n">
        <v>3.65</v>
      </c>
      <c r="P734" s="24" t="n">
        <f aca="false">O734*'Price Groups'!$B$5</f>
        <v>82.125</v>
      </c>
      <c r="Q734" s="26" t="n">
        <f aca="false">IF(OR(N734="",P734=""),"",(N734-P734)/N734)</f>
        <v>0.516883346079181</v>
      </c>
      <c r="R734" s="27" t="n">
        <v>1</v>
      </c>
      <c r="S734" s="28" t="n">
        <f aca="false">IF(R734="-",0,IFERROR(VLOOKUP(R734,'Price Groups'!$A$13:$C$17,3,FALSE()),0))</f>
        <v>0.22</v>
      </c>
      <c r="T734" s="22" t="n">
        <f aca="false">IF(OR(N734="",R734="-"),"",CEILING(ROUND(N734*(1+S734),2),IF(N734*(1+S734)&lt;100,0.5,IF(N734*(1+S734)&lt;1000,1,5))))</f>
        <v>208</v>
      </c>
      <c r="U734" s="26" t="n">
        <f aca="false">IF(OR(T734="",P734=""),"",(T734-P734)/T734)</f>
        <v>0.605168269230769</v>
      </c>
      <c r="V734" s="26" t="n">
        <f aca="false">IF(T734="",0,T734/N734-1)</f>
        <v>0.22360138831696</v>
      </c>
      <c r="W734" s="19" t="s">
        <v>94</v>
      </c>
    </row>
    <row r="735" customFormat="false" ht="15" hidden="false" customHeight="false" outlineLevel="0" collapsed="false">
      <c r="A735" s="38" t="n">
        <v>684</v>
      </c>
      <c r="B735" s="38" t="s">
        <v>902</v>
      </c>
      <c r="C735" s="38" t="s">
        <v>57</v>
      </c>
      <c r="D735" s="38"/>
      <c r="E735" s="38" t="s">
        <v>58</v>
      </c>
      <c r="F735" s="39" t="n">
        <v>15</v>
      </c>
      <c r="G735" s="39" t="n">
        <v>15</v>
      </c>
      <c r="H735" s="40" t="n">
        <v>7219.81</v>
      </c>
      <c r="I735" s="40" t="n">
        <v>-152</v>
      </c>
      <c r="J735" s="40" t="n">
        <v>-1519.96</v>
      </c>
      <c r="K735" s="41" t="n">
        <f aca="false">H735+I735+J735</f>
        <v>5547.85</v>
      </c>
      <c r="L735" s="42" t="n">
        <f aca="false">IF($K$1282=0,0,K735/$K$1282)</f>
        <v>0.000459575226758295</v>
      </c>
      <c r="M735" s="43" t="n">
        <f aca="false">IF(F735&lt;=0,0,K735/F735)</f>
        <v>369.856666666667</v>
      </c>
      <c r="N735" s="40" t="n">
        <v>379.99</v>
      </c>
      <c r="O735" s="44" t="n">
        <v>13</v>
      </c>
      <c r="P735" s="43" t="n">
        <f aca="false">O735*'Price Groups'!$B$5</f>
        <v>292.5</v>
      </c>
      <c r="Q735" s="45" t="n">
        <f aca="false">IF(OR(N735="",P735=""),"",(N735-P735)/N735)</f>
        <v>0.230242901128977</v>
      </c>
      <c r="R735" s="46" t="n">
        <v>1</v>
      </c>
      <c r="S735" s="47" t="n">
        <f aca="false">IF(R735="-",0,IFERROR(VLOOKUP(R735,'Price Groups'!$A$13:$C$17,3,FALSE()),0))</f>
        <v>0.22</v>
      </c>
      <c r="T735" s="41" t="n">
        <f aca="false">IF(OR(N735="",R735="-"),"",CEILING(ROUND(N735*(1+S735),2),IF(N735*(1+S735)&lt;100,0.5,IF(N735*(1+S735)&lt;1000,1,5))))</f>
        <v>464</v>
      </c>
      <c r="U735" s="45" t="n">
        <f aca="false">IF(OR(T735="",P735=""),"",(T735-P735)/T735)</f>
        <v>0.369612068965517</v>
      </c>
      <c r="V735" s="45" t="n">
        <f aca="false">IF(T735="",0,T735/N735-1)</f>
        <v>0.221084765388563</v>
      </c>
      <c r="W735" s="38" t="s">
        <v>633</v>
      </c>
    </row>
    <row r="736" customFormat="false" ht="15" hidden="false" customHeight="false" outlineLevel="0" collapsed="false">
      <c r="A736" s="19" t="n">
        <v>685</v>
      </c>
      <c r="B736" s="19" t="s">
        <v>903</v>
      </c>
      <c r="C736" s="19" t="s">
        <v>57</v>
      </c>
      <c r="D736" s="19"/>
      <c r="E736" s="19" t="s">
        <v>58</v>
      </c>
      <c r="F736" s="20" t="n">
        <v>15</v>
      </c>
      <c r="G736" s="20" t="n">
        <v>15</v>
      </c>
      <c r="H736" s="21" t="n">
        <v>2849.85</v>
      </c>
      <c r="I736" s="21" t="n">
        <v>0</v>
      </c>
      <c r="J736" s="21" t="n">
        <v>0</v>
      </c>
      <c r="K736" s="22" t="n">
        <f aca="false">H736+I736+J736</f>
        <v>2849.85</v>
      </c>
      <c r="L736" s="23" t="n">
        <f aca="false">IF($K$1282=0,0,K736/$K$1282)</f>
        <v>0.000236077121763769</v>
      </c>
      <c r="M736" s="24" t="n">
        <f aca="false">IF(F736&lt;=0,0,K736/F736)</f>
        <v>189.99</v>
      </c>
      <c r="N736" s="21" t="n">
        <v>189.99</v>
      </c>
      <c r="O736" s="49" t="n">
        <v>3.61</v>
      </c>
      <c r="P736" s="24" t="n">
        <f aca="false">O736*'Price Groups'!$B$5</f>
        <v>81.225</v>
      </c>
      <c r="Q736" s="26" t="n">
        <f aca="false">IF(OR(N736="",P736=""),"",(N736-P736)/N736)</f>
        <v>0.572477498815727</v>
      </c>
      <c r="R736" s="27" t="n">
        <v>1</v>
      </c>
      <c r="S736" s="28" t="n">
        <f aca="false">IF(R736="-",0,IFERROR(VLOOKUP(R736,'Price Groups'!$A$13:$C$17,3,FALSE()),0))</f>
        <v>0.22</v>
      </c>
      <c r="T736" s="22" t="n">
        <f aca="false">IF(OR(N736="",R736="-"),"",CEILING(ROUND(N736*(1+S736),2),IF(N736*(1+S736)&lt;100,0.5,IF(N736*(1+S736)&lt;1000,1,5))))</f>
        <v>232</v>
      </c>
      <c r="U736" s="26" t="n">
        <f aca="false">IF(OR(T736="",P736=""),"",(T736-P736)/T736)</f>
        <v>0.64989224137931</v>
      </c>
      <c r="V736" s="26" t="n">
        <f aca="false">IF(T736="",0,T736/N736-1)</f>
        <v>0.22111690088952</v>
      </c>
      <c r="W736" s="19" t="s">
        <v>94</v>
      </c>
    </row>
    <row r="737" customFormat="false" ht="15" hidden="false" customHeight="false" outlineLevel="0" collapsed="false">
      <c r="A737" s="38" t="n">
        <v>686</v>
      </c>
      <c r="B737" s="38" t="s">
        <v>904</v>
      </c>
      <c r="C737" s="38" t="s">
        <v>57</v>
      </c>
      <c r="D737" s="38"/>
      <c r="E737" s="38" t="s">
        <v>58</v>
      </c>
      <c r="F737" s="39" t="n">
        <v>15</v>
      </c>
      <c r="G737" s="39" t="n">
        <v>15</v>
      </c>
      <c r="H737" s="40" t="n">
        <v>14820</v>
      </c>
      <c r="I737" s="40" t="n">
        <v>-188</v>
      </c>
      <c r="J737" s="40" t="n">
        <v>-940</v>
      </c>
      <c r="K737" s="41" t="n">
        <f aca="false">H737+I737+J737</f>
        <v>13692</v>
      </c>
      <c r="L737" s="42" t="n">
        <f aca="false">IF($K$1282=0,0,K737/$K$1282)</f>
        <v>0.00113422388939401</v>
      </c>
      <c r="M737" s="43" t="n">
        <f aca="false">IF(F737&lt;=0,0,K737/F737)</f>
        <v>912.8</v>
      </c>
      <c r="N737" s="40" t="n">
        <v>950</v>
      </c>
      <c r="O737" s="44" t="n">
        <v>26.36</v>
      </c>
      <c r="P737" s="43" t="n">
        <f aca="false">O737*'Price Groups'!$B$5</f>
        <v>593.1</v>
      </c>
      <c r="Q737" s="45" t="n">
        <f aca="false">IF(OR(N737="",P737=""),"",(N737-P737)/N737)</f>
        <v>0.375684210526316</v>
      </c>
      <c r="R737" s="46" t="n">
        <v>2</v>
      </c>
      <c r="S737" s="47" t="n">
        <f aca="false">IF(R737="-",0,IFERROR(VLOOKUP(R737,'Price Groups'!$A$13:$C$17,3,FALSE()),0))</f>
        <v>0.18</v>
      </c>
      <c r="T737" s="41" t="n">
        <f aca="false">IF(OR(N737="",R737="-"),"",CEILING(ROUND(N737*(1+S737),2),IF(N737*(1+S737)&lt;100,0.5,IF(N737*(1+S737)&lt;1000,1,5))))</f>
        <v>1125</v>
      </c>
      <c r="U737" s="45" t="n">
        <f aca="false">IF(OR(T737="",P737=""),"",(T737-P737)/T737)</f>
        <v>0.4728</v>
      </c>
      <c r="V737" s="45" t="n">
        <f aca="false">IF(T737="",0,T737/N737-1)</f>
        <v>0.184210526315789</v>
      </c>
      <c r="W737" s="38" t="s">
        <v>195</v>
      </c>
    </row>
    <row r="738" customFormat="false" ht="15" hidden="false" customHeight="false" outlineLevel="0" collapsed="false">
      <c r="A738" s="19" t="n">
        <v>687</v>
      </c>
      <c r="B738" s="19" t="s">
        <v>905</v>
      </c>
      <c r="C738" s="19" t="s">
        <v>57</v>
      </c>
      <c r="D738" s="19"/>
      <c r="E738" s="19" t="s">
        <v>58</v>
      </c>
      <c r="F738" s="20" t="n">
        <v>15</v>
      </c>
      <c r="G738" s="20" t="n">
        <v>13</v>
      </c>
      <c r="H738" s="21" t="n">
        <v>2361.89</v>
      </c>
      <c r="I738" s="21" t="n">
        <v>0</v>
      </c>
      <c r="J738" s="21" t="n">
        <v>0</v>
      </c>
      <c r="K738" s="22" t="n">
        <f aca="false">H738+I738+J738</f>
        <v>2361.89</v>
      </c>
      <c r="L738" s="23" t="n">
        <f aca="false">IF($K$1282=0,0,K738/$K$1282)</f>
        <v>0.000195655277689222</v>
      </c>
      <c r="M738" s="24" t="n">
        <f aca="false">IF(F738&lt;=0,0,K738/F738)</f>
        <v>157.459333333333</v>
      </c>
      <c r="N738" s="21" t="n">
        <v>169.99</v>
      </c>
      <c r="O738" s="49" t="n">
        <v>3.83</v>
      </c>
      <c r="P738" s="24" t="n">
        <f aca="false">O738*'Price Groups'!$B$5</f>
        <v>86.175</v>
      </c>
      <c r="Q738" s="26" t="n">
        <f aca="false">IF(OR(N738="",P738=""),"",(N738-P738)/N738)</f>
        <v>0.493058415200894</v>
      </c>
      <c r="R738" s="27" t="n">
        <v>1</v>
      </c>
      <c r="S738" s="28" t="n">
        <f aca="false">IF(R738="-",0,IFERROR(VLOOKUP(R738,'Price Groups'!$A$13:$C$17,3,FALSE()),0))</f>
        <v>0.22</v>
      </c>
      <c r="T738" s="22" t="n">
        <f aca="false">IF(OR(N738="",R738="-"),"",CEILING(ROUND(N738*(1+S738),2),IF(N738*(1+S738)&lt;100,0.5,IF(N738*(1+S738)&lt;1000,1,5))))</f>
        <v>208</v>
      </c>
      <c r="U738" s="26" t="n">
        <f aca="false">IF(OR(T738="",P738=""),"",(T738-P738)/T738)</f>
        <v>0.585697115384615</v>
      </c>
      <c r="V738" s="26" t="n">
        <f aca="false">IF(T738="",0,T738/N738-1)</f>
        <v>0.22360138831696</v>
      </c>
      <c r="W738" s="19" t="s">
        <v>94</v>
      </c>
    </row>
    <row r="739" customFormat="false" ht="15" hidden="false" customHeight="false" outlineLevel="0" collapsed="false">
      <c r="A739" s="38" t="n">
        <v>688</v>
      </c>
      <c r="B739" s="38" t="s">
        <v>906</v>
      </c>
      <c r="C739" s="38" t="s">
        <v>57</v>
      </c>
      <c r="D739" s="38"/>
      <c r="E739" s="38" t="s">
        <v>58</v>
      </c>
      <c r="F739" s="39" t="n">
        <v>15</v>
      </c>
      <c r="G739" s="39" t="n">
        <v>12</v>
      </c>
      <c r="H739" s="40" t="n">
        <v>1197.35</v>
      </c>
      <c r="I739" s="40" t="n">
        <v>0</v>
      </c>
      <c r="J739" s="40" t="n">
        <v>-79.99</v>
      </c>
      <c r="K739" s="41" t="n">
        <f aca="false">H739+I739+J739</f>
        <v>1117.36</v>
      </c>
      <c r="L739" s="42" t="n">
        <f aca="false">IF($K$1282=0,0,K739/$K$1282)</f>
        <v>9.25603567815727E-005</v>
      </c>
      <c r="M739" s="43" t="n">
        <f aca="false">IF(F739&lt;=0,0,K739/F739)</f>
        <v>74.4906666666667</v>
      </c>
      <c r="N739" s="40" t="n">
        <v>59.16</v>
      </c>
      <c r="O739" s="44" t="n">
        <v>2.4</v>
      </c>
      <c r="P739" s="43" t="n">
        <f aca="false">O739*'Price Groups'!$B$5</f>
        <v>54</v>
      </c>
      <c r="Q739" s="45" t="n">
        <f aca="false">IF(OR(N739="",P739=""),"",(N739-P739)/N739)</f>
        <v>0.0872210953346855</v>
      </c>
      <c r="R739" s="46" t="n">
        <v>1</v>
      </c>
      <c r="S739" s="47" t="n">
        <f aca="false">IF(R739="-",0,IFERROR(VLOOKUP(R739,'Price Groups'!$A$13:$C$17,3,FALSE()),0))</f>
        <v>0.22</v>
      </c>
      <c r="T739" s="41" t="n">
        <f aca="false">IF(OR(N739="",R739="-"),"",CEILING(ROUND(N739*(1+S739),2),IF(N739*(1+S739)&lt;100,0.5,IF(N739*(1+S739)&lt;1000,1,5))))</f>
        <v>72.5</v>
      </c>
      <c r="U739" s="45" t="n">
        <f aca="false">IF(OR(T739="",P739=""),"",(T739-P739)/T739)</f>
        <v>0.255172413793103</v>
      </c>
      <c r="V739" s="45" t="n">
        <f aca="false">IF(T739="",0,T739/N739-1)</f>
        <v>0.225490196078431</v>
      </c>
      <c r="W739" s="38" t="s">
        <v>857</v>
      </c>
    </row>
    <row r="740" customFormat="false" ht="15" hidden="false" customHeight="false" outlineLevel="0" collapsed="false">
      <c r="A740" s="19" t="n">
        <v>689</v>
      </c>
      <c r="B740" s="19" t="s">
        <v>907</v>
      </c>
      <c r="C740" s="19" t="s">
        <v>57</v>
      </c>
      <c r="D740" s="19"/>
      <c r="E740" s="19" t="s">
        <v>58</v>
      </c>
      <c r="F740" s="20" t="n">
        <v>15</v>
      </c>
      <c r="G740" s="20" t="n">
        <v>10</v>
      </c>
      <c r="H740" s="21" t="n">
        <v>575.28</v>
      </c>
      <c r="I740" s="21" t="n">
        <v>-4.48</v>
      </c>
      <c r="J740" s="21" t="n">
        <v>-26.92</v>
      </c>
      <c r="K740" s="22" t="n">
        <f aca="false">H740+I740+J740</f>
        <v>543.88</v>
      </c>
      <c r="L740" s="23" t="n">
        <f aca="false">IF($K$1282=0,0,K740/$K$1282)</f>
        <v>4.50541695123879E-005</v>
      </c>
      <c r="M740" s="24" t="n">
        <f aca="false">IF(F740&lt;=0,0,K740/F740)</f>
        <v>36.2586666666667</v>
      </c>
      <c r="N740" s="21" t="n">
        <v>44.99</v>
      </c>
      <c r="O740" s="49" t="n">
        <v>0.84</v>
      </c>
      <c r="P740" s="24" t="n">
        <f aca="false">O740*'Price Groups'!$B$5</f>
        <v>18.9</v>
      </c>
      <c r="Q740" s="26" t="n">
        <f aca="false">IF(OR(N740="",P740=""),"",(N740-P740)/N740)</f>
        <v>0.579906645921316</v>
      </c>
      <c r="R740" s="27" t="n">
        <v>1</v>
      </c>
      <c r="S740" s="28" t="n">
        <f aca="false">IF(R740="-",0,IFERROR(VLOOKUP(R740,'Price Groups'!$A$13:$C$17,3,FALSE()),0))</f>
        <v>0.22</v>
      </c>
      <c r="T740" s="22" t="n">
        <f aca="false">IF(OR(N740="",R740="-"),"",CEILING(ROUND(N740*(1+S740),2),IF(N740*(1+S740)&lt;100,0.5,IF(N740*(1+S740)&lt;1000,1,5))))</f>
        <v>55</v>
      </c>
      <c r="U740" s="26" t="n">
        <f aca="false">IF(OR(T740="",P740=""),"",(T740-P740)/T740)</f>
        <v>0.656363636363636</v>
      </c>
      <c r="V740" s="26" t="n">
        <f aca="false">IF(T740="",0,T740/N740-1)</f>
        <v>0.222493887530562</v>
      </c>
      <c r="W740" s="19" t="s">
        <v>94</v>
      </c>
    </row>
    <row r="741" customFormat="false" ht="15" hidden="false" customHeight="false" outlineLevel="0" collapsed="false">
      <c r="A741" s="38" t="n">
        <v>690</v>
      </c>
      <c r="B741" s="38" t="s">
        <v>908</v>
      </c>
      <c r="C741" s="38" t="s">
        <v>57</v>
      </c>
      <c r="D741" s="38"/>
      <c r="E741" s="38" t="s">
        <v>58</v>
      </c>
      <c r="F741" s="39" t="n">
        <v>15</v>
      </c>
      <c r="G741" s="39" t="n">
        <v>14</v>
      </c>
      <c r="H741" s="40" t="n">
        <v>487.33</v>
      </c>
      <c r="I741" s="40" t="n">
        <v>0</v>
      </c>
      <c r="J741" s="40" t="n">
        <v>-56.98</v>
      </c>
      <c r="K741" s="41" t="n">
        <f aca="false">H741+I741+J741</f>
        <v>430.35</v>
      </c>
      <c r="L741" s="42" t="n">
        <f aca="false">IF($K$1282=0,0,K741/$K$1282)</f>
        <v>3.56495216769437E-005</v>
      </c>
      <c r="M741" s="43" t="n">
        <f aca="false">IF(F741&lt;=0,0,K741/F741)</f>
        <v>28.69</v>
      </c>
      <c r="N741" s="40" t="n">
        <v>28.49</v>
      </c>
      <c r="O741" s="44" t="n">
        <v>0.43</v>
      </c>
      <c r="P741" s="43" t="n">
        <f aca="false">O741*'Price Groups'!$B$5</f>
        <v>9.675</v>
      </c>
      <c r="Q741" s="45" t="n">
        <f aca="false">IF(OR(N741="",P741=""),"",(N741-P741)/N741)</f>
        <v>0.66040716040716</v>
      </c>
      <c r="R741" s="46" t="n">
        <v>1</v>
      </c>
      <c r="S741" s="47" t="n">
        <f aca="false">IF(R741="-",0,IFERROR(VLOOKUP(R741,'Price Groups'!$A$13:$C$17,3,FALSE()),0))</f>
        <v>0.22</v>
      </c>
      <c r="T741" s="41" t="n">
        <f aca="false">IF(OR(N741="",R741="-"),"",CEILING(ROUND(N741*(1+S741),2),IF(N741*(1+S741)&lt;100,0.5,IF(N741*(1+S741)&lt;1000,1,5))))</f>
        <v>35</v>
      </c>
      <c r="U741" s="45" t="n">
        <f aca="false">IF(OR(T741="",P741=""),"",(T741-P741)/T741)</f>
        <v>0.723571428571429</v>
      </c>
      <c r="V741" s="45" t="n">
        <f aca="false">IF(T741="",0,T741/N741-1)</f>
        <v>0.228501228501229</v>
      </c>
      <c r="W741" s="38" t="s">
        <v>94</v>
      </c>
    </row>
    <row r="742" customFormat="false" ht="15" hidden="false" customHeight="false" outlineLevel="0" collapsed="false">
      <c r="A742" s="19" t="n">
        <v>691</v>
      </c>
      <c r="B742" s="19" t="s">
        <v>909</v>
      </c>
      <c r="C742" s="19" t="s">
        <v>57</v>
      </c>
      <c r="D742" s="19"/>
      <c r="E742" s="19" t="s">
        <v>58</v>
      </c>
      <c r="F742" s="20" t="n">
        <v>15</v>
      </c>
      <c r="G742" s="20" t="n">
        <v>17</v>
      </c>
      <c r="H742" s="21" t="n">
        <v>7115.59</v>
      </c>
      <c r="I742" s="21" t="n">
        <v>-104.9</v>
      </c>
      <c r="J742" s="21" t="n">
        <v>-1198.55</v>
      </c>
      <c r="K742" s="22" t="n">
        <f aca="false">H742+I742+J742</f>
        <v>5812.14</v>
      </c>
      <c r="L742" s="23" t="n">
        <f aca="false">IF($K$1282=0,0,K742/$K$1282)</f>
        <v>0.000481468597465857</v>
      </c>
      <c r="M742" s="24" t="n">
        <f aca="false">IF(F742&lt;=0,0,K742/F742)</f>
        <v>387.476</v>
      </c>
      <c r="N742" s="21" t="n">
        <v>449.99</v>
      </c>
      <c r="O742" s="49" t="n">
        <v>12.53</v>
      </c>
      <c r="P742" s="24" t="n">
        <f aca="false">O742*'Price Groups'!$B$5</f>
        <v>281.925</v>
      </c>
      <c r="Q742" s="26" t="n">
        <f aca="false">IF(OR(N742="",P742=""),"",(N742-P742)/N742)</f>
        <v>0.373486077468388</v>
      </c>
      <c r="R742" s="27" t="n">
        <v>1</v>
      </c>
      <c r="S742" s="28" t="n">
        <f aca="false">IF(R742="-",0,IFERROR(VLOOKUP(R742,'Price Groups'!$A$13:$C$17,3,FALSE()),0))</f>
        <v>0.22</v>
      </c>
      <c r="T742" s="22" t="n">
        <f aca="false">IF(OR(N742="",R742="-"),"",CEILING(ROUND(N742*(1+S742),2),IF(N742*(1+S742)&lt;100,0.5,IF(N742*(1+S742)&lt;1000,1,5))))</f>
        <v>549</v>
      </c>
      <c r="U742" s="26" t="n">
        <f aca="false">IF(OR(T742="",P742=""),"",(T742-P742)/T742)</f>
        <v>0.486475409836066</v>
      </c>
      <c r="V742" s="26" t="n">
        <f aca="false">IF(T742="",0,T742/N742-1)</f>
        <v>0.220027111713594</v>
      </c>
      <c r="W742" s="19" t="s">
        <v>94</v>
      </c>
    </row>
    <row r="743" customFormat="false" ht="15" hidden="false" customHeight="false" outlineLevel="0" collapsed="false">
      <c r="A743" s="38" t="n">
        <v>692</v>
      </c>
      <c r="B743" s="38" t="s">
        <v>910</v>
      </c>
      <c r="C743" s="38" t="s">
        <v>57</v>
      </c>
      <c r="D743" s="38"/>
      <c r="E743" s="38" t="s">
        <v>58</v>
      </c>
      <c r="F743" s="39" t="n">
        <v>15</v>
      </c>
      <c r="G743" s="39" t="n">
        <v>13</v>
      </c>
      <c r="H743" s="40" t="n">
        <v>2899.98</v>
      </c>
      <c r="I743" s="40" t="n">
        <v>-98.47</v>
      </c>
      <c r="J743" s="40" t="n">
        <v>0</v>
      </c>
      <c r="K743" s="41" t="n">
        <f aca="false">H743+I743+J743</f>
        <v>2801.51</v>
      </c>
      <c r="L743" s="42" t="n">
        <f aca="false">IF($K$1282=0,0,K743/$K$1282)</f>
        <v>0.000232072711683919</v>
      </c>
      <c r="M743" s="43" t="n">
        <f aca="false">IF(F743&lt;=0,0,K743/F743)</f>
        <v>186.767333333333</v>
      </c>
      <c r="N743" s="40" t="n">
        <v>179.99</v>
      </c>
      <c r="O743" s="44" t="n">
        <v>3.5</v>
      </c>
      <c r="P743" s="43" t="n">
        <f aca="false">O743*'Price Groups'!$B$5</f>
        <v>78.75</v>
      </c>
      <c r="Q743" s="45" t="n">
        <f aca="false">IF(OR(N743="",P743=""),"",(N743-P743)/N743)</f>
        <v>0.562475693094061</v>
      </c>
      <c r="R743" s="46" t="n">
        <v>1</v>
      </c>
      <c r="S743" s="47" t="n">
        <f aca="false">IF(R743="-",0,IFERROR(VLOOKUP(R743,'Price Groups'!$A$13:$C$17,3,FALSE()),0))</f>
        <v>0.22</v>
      </c>
      <c r="T743" s="41" t="n">
        <f aca="false">IF(OR(N743="",R743="-"),"",CEILING(ROUND(N743*(1+S743),2),IF(N743*(1+S743)&lt;100,0.5,IF(N743*(1+S743)&lt;1000,1,5))))</f>
        <v>220</v>
      </c>
      <c r="U743" s="45" t="n">
        <f aca="false">IF(OR(T743="",P743=""),"",(T743-P743)/T743)</f>
        <v>0.642045454545455</v>
      </c>
      <c r="V743" s="45" t="n">
        <f aca="false">IF(T743="",0,T743/N743-1)</f>
        <v>0.222290127229291</v>
      </c>
      <c r="W743" s="38" t="s">
        <v>94</v>
      </c>
    </row>
    <row r="744" customFormat="false" ht="15" hidden="false" customHeight="false" outlineLevel="0" collapsed="false">
      <c r="A744" s="19" t="n">
        <v>693</v>
      </c>
      <c r="B744" s="19" t="s">
        <v>911</v>
      </c>
      <c r="C744" s="19" t="s">
        <v>57</v>
      </c>
      <c r="D744" s="19"/>
      <c r="E744" s="19" t="s">
        <v>58</v>
      </c>
      <c r="F744" s="20" t="n">
        <v>15</v>
      </c>
      <c r="G744" s="20" t="n">
        <v>18</v>
      </c>
      <c r="H744" s="21" t="n">
        <v>24106.61</v>
      </c>
      <c r="I744" s="21" t="n">
        <v>0</v>
      </c>
      <c r="J744" s="21" t="n">
        <v>-3610.9</v>
      </c>
      <c r="K744" s="22" t="n">
        <f aca="false">H744+I744+J744</f>
        <v>20495.71</v>
      </c>
      <c r="L744" s="23" t="n">
        <f aca="false">IF($K$1282=0,0,K744/$K$1282)</f>
        <v>0.00169783259655943</v>
      </c>
      <c r="M744" s="24" t="n">
        <f aca="false">IF(F744&lt;=0,0,K744/F744)</f>
        <v>1366.38066666667</v>
      </c>
      <c r="N744" s="21" t="n">
        <v>1599</v>
      </c>
      <c r="O744" s="49" t="n">
        <v>17</v>
      </c>
      <c r="P744" s="24" t="n">
        <f aca="false">O744*'Price Groups'!$B$5</f>
        <v>382.5</v>
      </c>
      <c r="Q744" s="26" t="n">
        <f aca="false">IF(OR(N744="",P744=""),"",(N744-P744)/N744)</f>
        <v>0.76078799249531</v>
      </c>
      <c r="R744" s="27" t="n">
        <v>3</v>
      </c>
      <c r="S744" s="28" t="n">
        <f aca="false">IF(R744="-",0,IFERROR(VLOOKUP(R744,'Price Groups'!$A$13:$C$17,3,FALSE()),0))</f>
        <v>0.16</v>
      </c>
      <c r="T744" s="22" t="n">
        <f aca="false">IF(OR(N744="",R744="-"),"",CEILING(ROUND(N744*(1+S744),2),IF(N744*(1+S744)&lt;100,0.5,IF(N744*(1+S744)&lt;1000,1,5))))</f>
        <v>1855</v>
      </c>
      <c r="U744" s="26" t="n">
        <f aca="false">IF(OR(T744="",P744=""),"",(T744-P744)/T744)</f>
        <v>0.793800539083558</v>
      </c>
      <c r="V744" s="26" t="n">
        <f aca="false">IF(T744="",0,T744/N744-1)</f>
        <v>0.160100062539087</v>
      </c>
      <c r="W744" s="19" t="s">
        <v>107</v>
      </c>
    </row>
    <row r="745" customFormat="false" ht="15" hidden="false" customHeight="false" outlineLevel="0" collapsed="false">
      <c r="A745" s="38" t="n">
        <v>694</v>
      </c>
      <c r="B745" s="38" t="s">
        <v>912</v>
      </c>
      <c r="C745" s="38" t="s">
        <v>57</v>
      </c>
      <c r="D745" s="38"/>
      <c r="E745" s="38" t="s">
        <v>58</v>
      </c>
      <c r="F745" s="39" t="n">
        <v>15</v>
      </c>
      <c r="G745" s="39" t="n">
        <v>12</v>
      </c>
      <c r="H745" s="40" t="n">
        <v>3873.28</v>
      </c>
      <c r="I745" s="40" t="n">
        <v>0</v>
      </c>
      <c r="J745" s="40" t="n">
        <v>-231.91</v>
      </c>
      <c r="K745" s="41" t="n">
        <f aca="false">H745+I745+J745</f>
        <v>3641.37</v>
      </c>
      <c r="L745" s="42" t="n">
        <f aca="false">IF($K$1282=0,0,K745/$K$1282)</f>
        <v>0.000301645401995521</v>
      </c>
      <c r="M745" s="43" t="n">
        <f aca="false">IF(F745&lt;=0,0,K745/F745)</f>
        <v>242.758</v>
      </c>
      <c r="N745" s="40" t="n">
        <v>249.99</v>
      </c>
      <c r="O745" s="44" t="n">
        <v>7.84</v>
      </c>
      <c r="P745" s="43" t="n">
        <f aca="false">O745*'Price Groups'!$B$5</f>
        <v>176.4</v>
      </c>
      <c r="Q745" s="45" t="n">
        <f aca="false">IF(OR(N745="",P745=""),"",(N745-P745)/N745)</f>
        <v>0.294371774870995</v>
      </c>
      <c r="R745" s="46" t="n">
        <v>1</v>
      </c>
      <c r="S745" s="47" t="n">
        <f aca="false">IF(R745="-",0,IFERROR(VLOOKUP(R745,'Price Groups'!$A$13:$C$17,3,FALSE()),0))</f>
        <v>0.22</v>
      </c>
      <c r="T745" s="41" t="n">
        <f aca="false">IF(OR(N745="",R745="-"),"",CEILING(ROUND(N745*(1+S745),2),IF(N745*(1+S745)&lt;100,0.5,IF(N745*(1+S745)&lt;1000,1,5))))</f>
        <v>305</v>
      </c>
      <c r="U745" s="45" t="n">
        <f aca="false">IF(OR(T745="",P745=""),"",(T745-P745)/T745)</f>
        <v>0.421639344262295</v>
      </c>
      <c r="V745" s="45" t="n">
        <f aca="false">IF(T745="",0,T745/N745-1)</f>
        <v>0.220048801952078</v>
      </c>
      <c r="W745" s="38" t="s">
        <v>94</v>
      </c>
    </row>
    <row r="746" customFormat="false" ht="15" hidden="false" customHeight="false" outlineLevel="0" collapsed="false">
      <c r="A746" s="19" t="n">
        <v>695</v>
      </c>
      <c r="B746" s="19" t="s">
        <v>913</v>
      </c>
      <c r="C746" s="19" t="s">
        <v>57</v>
      </c>
      <c r="D746" s="19"/>
      <c r="E746" s="19" t="s">
        <v>58</v>
      </c>
      <c r="F746" s="20" t="n">
        <v>15</v>
      </c>
      <c r="G746" s="20" t="n">
        <v>11</v>
      </c>
      <c r="H746" s="21" t="n">
        <v>2131.83</v>
      </c>
      <c r="I746" s="21" t="n">
        <v>0</v>
      </c>
      <c r="J746" s="21" t="n">
        <v>-246.98</v>
      </c>
      <c r="K746" s="22" t="n">
        <f aca="false">H746+I746+J746</f>
        <v>1884.85</v>
      </c>
      <c r="L746" s="23" t="n">
        <f aca="false">IF($K$1282=0,0,K746/$K$1282)</f>
        <v>0.000156138029354682</v>
      </c>
      <c r="M746" s="24" t="n">
        <f aca="false">IF(F746&lt;=0,0,K746/F746)</f>
        <v>125.656666666667</v>
      </c>
      <c r="N746" s="21" t="n">
        <v>123.49</v>
      </c>
      <c r="O746" s="49" t="n">
        <v>2.63</v>
      </c>
      <c r="P746" s="24" t="n">
        <f aca="false">O746*'Price Groups'!$B$5</f>
        <v>59.175</v>
      </c>
      <c r="Q746" s="26" t="n">
        <f aca="false">IF(OR(N746="",P746=""),"",(N746-P746)/N746)</f>
        <v>0.520811401732934</v>
      </c>
      <c r="R746" s="27" t="n">
        <v>1</v>
      </c>
      <c r="S746" s="28" t="n">
        <f aca="false">IF(R746="-",0,IFERROR(VLOOKUP(R746,'Price Groups'!$A$13:$C$17,3,FALSE()),0))</f>
        <v>0.22</v>
      </c>
      <c r="T746" s="22" t="n">
        <f aca="false">IF(OR(N746="",R746="-"),"",CEILING(ROUND(N746*(1+S746),2),IF(N746*(1+S746)&lt;100,0.5,IF(N746*(1+S746)&lt;1000,1,5))))</f>
        <v>151</v>
      </c>
      <c r="U746" s="26" t="n">
        <f aca="false">IF(OR(T746="",P746=""),"",(T746-P746)/T746)</f>
        <v>0.608112582781457</v>
      </c>
      <c r="V746" s="26" t="n">
        <f aca="false">IF(T746="",0,T746/N746-1)</f>
        <v>0.222771074580938</v>
      </c>
      <c r="W746" s="19" t="s">
        <v>94</v>
      </c>
    </row>
    <row r="747" customFormat="false" ht="15" hidden="false" customHeight="false" outlineLevel="0" collapsed="false">
      <c r="A747" s="38" t="n">
        <v>696</v>
      </c>
      <c r="B747" s="38" t="s">
        <v>914</v>
      </c>
      <c r="C747" s="38" t="s">
        <v>57</v>
      </c>
      <c r="D747" s="38"/>
      <c r="E747" s="38" t="s">
        <v>58</v>
      </c>
      <c r="F747" s="39" t="n">
        <v>15</v>
      </c>
      <c r="G747" s="39" t="n">
        <v>14</v>
      </c>
      <c r="H747" s="40" t="n">
        <v>5599.84</v>
      </c>
      <c r="I747" s="40" t="n">
        <v>-34.99</v>
      </c>
      <c r="J747" s="40" t="n">
        <v>-349.99</v>
      </c>
      <c r="K747" s="41" t="n">
        <f aca="false">H747+I747+J747</f>
        <v>5214.86</v>
      </c>
      <c r="L747" s="42" t="n">
        <f aca="false">IF($K$1282=0,0,K747/$K$1282)</f>
        <v>0.000431990855378707</v>
      </c>
      <c r="M747" s="43" t="n">
        <f aca="false">IF(F747&lt;=0,0,K747/F747)</f>
        <v>347.657333333333</v>
      </c>
      <c r="N747" s="40" t="n">
        <v>349.99</v>
      </c>
      <c r="O747" s="44" t="n">
        <v>11</v>
      </c>
      <c r="P747" s="43" t="n">
        <f aca="false">O747*'Price Groups'!$B$5</f>
        <v>247.5</v>
      </c>
      <c r="Q747" s="45" t="n">
        <f aca="false">IF(OR(N747="",P747=""),"",(N747-P747)/N747)</f>
        <v>0.292836938198234</v>
      </c>
      <c r="R747" s="46" t="n">
        <v>1</v>
      </c>
      <c r="S747" s="47" t="n">
        <f aca="false">IF(R747="-",0,IFERROR(VLOOKUP(R747,'Price Groups'!$A$13:$C$17,3,FALSE()),0))</f>
        <v>0.22</v>
      </c>
      <c r="T747" s="41" t="n">
        <f aca="false">IF(OR(N747="",R747="-"),"",CEILING(ROUND(N747*(1+S747),2),IF(N747*(1+S747)&lt;100,0.5,IF(N747*(1+S747)&lt;1000,1,5))))</f>
        <v>427</v>
      </c>
      <c r="U747" s="45" t="n">
        <f aca="false">IF(OR(T747="",P747=""),"",(T747-P747)/T747)</f>
        <v>0.420374707259953</v>
      </c>
      <c r="V747" s="45" t="n">
        <f aca="false">IF(T747="",0,T747/N747-1)</f>
        <v>0.220034858138804</v>
      </c>
      <c r="W747" s="38" t="s">
        <v>94</v>
      </c>
    </row>
    <row r="748" customFormat="false" ht="15" hidden="false" customHeight="false" outlineLevel="0" collapsed="false">
      <c r="A748" s="19" t="n">
        <v>697</v>
      </c>
      <c r="B748" s="19" t="s">
        <v>915</v>
      </c>
      <c r="C748" s="19" t="s">
        <v>57</v>
      </c>
      <c r="D748" s="19"/>
      <c r="E748" s="19" t="s">
        <v>58</v>
      </c>
      <c r="F748" s="20" t="n">
        <v>15</v>
      </c>
      <c r="G748" s="20" t="n">
        <v>16</v>
      </c>
      <c r="H748" s="21" t="n">
        <v>4079.83</v>
      </c>
      <c r="I748" s="21" t="n">
        <v>-23.99</v>
      </c>
      <c r="J748" s="21" t="n">
        <v>-479.98</v>
      </c>
      <c r="K748" s="22" t="n">
        <f aca="false">H748+I748+J748</f>
        <v>3575.86</v>
      </c>
      <c r="L748" s="23" t="n">
        <f aca="false">IF($K$1282=0,0,K748/$K$1282)</f>
        <v>0.000296218655939853</v>
      </c>
      <c r="M748" s="24" t="n">
        <f aca="false">IF(F748&lt;=0,0,K748/F748)</f>
        <v>238.390666666667</v>
      </c>
      <c r="N748" s="21" t="n">
        <v>150</v>
      </c>
      <c r="O748" s="49" t="n">
        <v>4.55</v>
      </c>
      <c r="P748" s="24" t="n">
        <f aca="false">O748*'Price Groups'!$B$5</f>
        <v>102.375</v>
      </c>
      <c r="Q748" s="26" t="n">
        <f aca="false">IF(OR(N748="",P748=""),"",(N748-P748)/N748)</f>
        <v>0.3175</v>
      </c>
      <c r="R748" s="27" t="n">
        <v>1</v>
      </c>
      <c r="S748" s="28" t="n">
        <f aca="false">IF(R748="-",0,IFERROR(VLOOKUP(R748,'Price Groups'!$A$13:$C$17,3,FALSE()),0))</f>
        <v>0.22</v>
      </c>
      <c r="T748" s="22" t="n">
        <f aca="false">IF(OR(N748="",R748="-"),"",CEILING(ROUND(N748*(1+S748),2),IF(N748*(1+S748)&lt;100,0.5,IF(N748*(1+S748)&lt;1000,1,5))))</f>
        <v>183</v>
      </c>
      <c r="U748" s="26" t="n">
        <f aca="false">IF(OR(T748="",P748=""),"",(T748-P748)/T748)</f>
        <v>0.440573770491803</v>
      </c>
      <c r="V748" s="26" t="n">
        <f aca="false">IF(T748="",0,T748/N748-1)</f>
        <v>0.22</v>
      </c>
      <c r="W748" s="19" t="s">
        <v>94</v>
      </c>
    </row>
    <row r="749" customFormat="false" ht="15" hidden="false" customHeight="false" outlineLevel="0" collapsed="false">
      <c r="A749" s="38" t="n">
        <v>698</v>
      </c>
      <c r="B749" s="38" t="s">
        <v>916</v>
      </c>
      <c r="C749" s="38" t="s">
        <v>57</v>
      </c>
      <c r="D749" s="38"/>
      <c r="E749" s="38" t="s">
        <v>58</v>
      </c>
      <c r="F749" s="39" t="n">
        <v>14</v>
      </c>
      <c r="G749" s="39" t="n">
        <v>14</v>
      </c>
      <c r="H749" s="40" t="n">
        <v>70489.46</v>
      </c>
      <c r="I749" s="40" t="n">
        <v>-728.6</v>
      </c>
      <c r="J749" s="40" t="n">
        <v>0</v>
      </c>
      <c r="K749" s="41" t="n">
        <f aca="false">H749+I749+J749</f>
        <v>69760.86</v>
      </c>
      <c r="L749" s="42" t="n">
        <f aca="false">IF($K$1282=0,0,K749/$K$1282)</f>
        <v>0.00577888065707502</v>
      </c>
      <c r="M749" s="43" t="n">
        <f aca="false">IF(F749&lt;=0,0,K749/F749)</f>
        <v>4982.91857142857</v>
      </c>
      <c r="N749" s="40" t="n">
        <v>5350</v>
      </c>
      <c r="O749" s="44" t="n">
        <v>146</v>
      </c>
      <c r="P749" s="43" t="n">
        <f aca="false">O749*'Price Groups'!$B$5</f>
        <v>3285</v>
      </c>
      <c r="Q749" s="45" t="n">
        <f aca="false">IF(OR(N749="",P749=""),"",(N749-P749)/N749)</f>
        <v>0.385981308411215</v>
      </c>
      <c r="R749" s="46" t="n">
        <v>2</v>
      </c>
      <c r="S749" s="47" t="n">
        <f aca="false">IF(R749="-",0,IFERROR(VLOOKUP(R749,'Price Groups'!$A$13:$C$17,3,FALSE()),0))</f>
        <v>0.18</v>
      </c>
      <c r="T749" s="41" t="n">
        <f aca="false">IF(OR(N749="",R749="-"),"",CEILING(ROUND(N749*(1+S749),2),IF(N749*(1+S749)&lt;100,0.5,IF(N749*(1+S749)&lt;1000,1,5))))</f>
        <v>6315</v>
      </c>
      <c r="U749" s="45" t="n">
        <f aca="false">IF(OR(T749="",P749=""),"",(T749-P749)/T749)</f>
        <v>0.479809976247031</v>
      </c>
      <c r="V749" s="45" t="n">
        <f aca="false">IF(T749="",0,T749/N749-1)</f>
        <v>0.180373831775701</v>
      </c>
      <c r="W749" s="38" t="s">
        <v>412</v>
      </c>
    </row>
    <row r="750" customFormat="false" ht="15" hidden="false" customHeight="false" outlineLevel="0" collapsed="false">
      <c r="A750" s="19" t="n">
        <v>699</v>
      </c>
      <c r="B750" s="19" t="s">
        <v>398</v>
      </c>
      <c r="C750" s="19" t="s">
        <v>307</v>
      </c>
      <c r="D750" s="19" t="s">
        <v>397</v>
      </c>
      <c r="E750" s="19" t="s">
        <v>58</v>
      </c>
      <c r="F750" s="20" t="n">
        <v>14</v>
      </c>
      <c r="G750" s="20" t="n">
        <v>13</v>
      </c>
      <c r="H750" s="21" t="n">
        <v>8029.89</v>
      </c>
      <c r="I750" s="21" t="n">
        <v>0</v>
      </c>
      <c r="J750" s="21" t="n">
        <v>-499.99</v>
      </c>
      <c r="K750" s="22" t="n">
        <f aca="false">H750+I750+J750</f>
        <v>7529.9</v>
      </c>
      <c r="L750" s="23" t="n">
        <f aca="false">IF($K$1282=0,0,K750/$K$1282)</f>
        <v>0.000623765152260296</v>
      </c>
      <c r="M750" s="24" t="n">
        <f aca="false">IF(F750&lt;=0,0,K750/F750)</f>
        <v>537.85</v>
      </c>
      <c r="N750" s="21" t="n">
        <v>660</v>
      </c>
      <c r="O750" s="49" t="n">
        <v>11.21</v>
      </c>
      <c r="P750" s="24" t="n">
        <f aca="false">O750*'Price Groups'!$B$5</f>
        <v>252.225</v>
      </c>
      <c r="Q750" s="26" t="n">
        <f aca="false">IF(OR(N750="",P750=""),"",(N750-P750)/N750)</f>
        <v>0.617840909090909</v>
      </c>
      <c r="R750" s="27" t="n">
        <v>3</v>
      </c>
      <c r="S750" s="28" t="n">
        <f aca="false">IF(R750="-",0,IFERROR(VLOOKUP(R750,'Price Groups'!$A$13:$C$17,3,FALSE()),0))</f>
        <v>0.16</v>
      </c>
      <c r="T750" s="22" t="n">
        <f aca="false">IF(OR(N750="",R750="-"),"",CEILING(ROUND(N750*(1+S750),2),IF(N750*(1+S750)&lt;100,0.5,IF(N750*(1+S750)&lt;1000,1,5))))</f>
        <v>766</v>
      </c>
      <c r="U750" s="26" t="n">
        <f aca="false">IF(OR(T750="",P750=""),"",(T750-P750)/T750)</f>
        <v>0.67072454308094</v>
      </c>
      <c r="V750" s="26" t="n">
        <f aca="false">IF(T750="",0,T750/N750-1)</f>
        <v>0.160606060606061</v>
      </c>
      <c r="W750" s="19" t="s">
        <v>917</v>
      </c>
    </row>
    <row r="751" customFormat="false" ht="15" hidden="false" customHeight="false" outlineLevel="0" collapsed="false">
      <c r="A751" s="38" t="n">
        <v>700</v>
      </c>
      <c r="B751" s="38" t="s">
        <v>918</v>
      </c>
      <c r="C751" s="38" t="s">
        <v>57</v>
      </c>
      <c r="D751" s="38"/>
      <c r="E751" s="38" t="s">
        <v>58</v>
      </c>
      <c r="F751" s="39" t="n">
        <v>14</v>
      </c>
      <c r="G751" s="39" t="n">
        <v>6</v>
      </c>
      <c r="H751" s="40" t="n">
        <v>1595.85</v>
      </c>
      <c r="I751" s="40" t="n">
        <v>-16.05</v>
      </c>
      <c r="J751" s="40" t="n">
        <v>0</v>
      </c>
      <c r="K751" s="41" t="n">
        <f aca="false">H751+I751+J751</f>
        <v>1579.8</v>
      </c>
      <c r="L751" s="42" t="n">
        <f aca="false">IF($K$1282=0,0,K751/$K$1282)</f>
        <v>0.00013086816392526</v>
      </c>
      <c r="M751" s="43" t="n">
        <f aca="false">IF(F751&lt;=0,0,K751/F751)</f>
        <v>112.842857142857</v>
      </c>
      <c r="N751" s="40" t="n">
        <v>149.99</v>
      </c>
      <c r="O751" s="44" t="n">
        <v>3.45</v>
      </c>
      <c r="P751" s="43" t="n">
        <f aca="false">O751*'Price Groups'!$B$5</f>
        <v>77.625</v>
      </c>
      <c r="Q751" s="45" t="n">
        <f aca="false">IF(OR(N751="",P751=""),"",(N751-P751)/N751)</f>
        <v>0.482465497699847</v>
      </c>
      <c r="R751" s="46" t="n">
        <v>1</v>
      </c>
      <c r="S751" s="47" t="n">
        <f aca="false">IF(R751="-",0,IFERROR(VLOOKUP(R751,'Price Groups'!$A$13:$C$17,3,FALSE()),0))</f>
        <v>0.22</v>
      </c>
      <c r="T751" s="41" t="n">
        <f aca="false">IF(OR(N751="",R751="-"),"",CEILING(ROUND(N751*(1+S751),2),IF(N751*(1+S751)&lt;100,0.5,IF(N751*(1+S751)&lt;1000,1,5))))</f>
        <v>183</v>
      </c>
      <c r="U751" s="45" t="n">
        <f aca="false">IF(OR(T751="",P751=""),"",(T751-P751)/T751)</f>
        <v>0.575819672131148</v>
      </c>
      <c r="V751" s="45" t="n">
        <f aca="false">IF(T751="",0,T751/N751-1)</f>
        <v>0.220081338755917</v>
      </c>
      <c r="W751" s="38" t="s">
        <v>94</v>
      </c>
    </row>
    <row r="752" customFormat="false" ht="15" hidden="false" customHeight="false" outlineLevel="0" collapsed="false">
      <c r="A752" s="19" t="n">
        <v>701</v>
      </c>
      <c r="B752" s="19" t="s">
        <v>919</v>
      </c>
      <c r="C752" s="19" t="s">
        <v>57</v>
      </c>
      <c r="D752" s="19"/>
      <c r="E752" s="19" t="s">
        <v>58</v>
      </c>
      <c r="F752" s="20" t="n">
        <v>14</v>
      </c>
      <c r="G752" s="20" t="n">
        <v>9</v>
      </c>
      <c r="H752" s="21" t="n">
        <v>292.62</v>
      </c>
      <c r="I752" s="21" t="n">
        <v>-55.66</v>
      </c>
      <c r="J752" s="21" t="n">
        <v>-21.54</v>
      </c>
      <c r="K752" s="22" t="n">
        <f aca="false">H752+I752+J752</f>
        <v>215.42</v>
      </c>
      <c r="L752" s="23" t="n">
        <f aca="false">IF($K$1282=0,0,K752/$K$1282)</f>
        <v>1.78450562557156E-005</v>
      </c>
      <c r="M752" s="24" t="n">
        <f aca="false">IF(F752&lt;=0,0,K752/F752)</f>
        <v>15.3871428571429</v>
      </c>
      <c r="N752" s="21" t="n">
        <v>21.54</v>
      </c>
      <c r="O752" s="49" t="n">
        <v>0.76</v>
      </c>
      <c r="P752" s="24" t="n">
        <f aca="false">O752*'Price Groups'!$B$5</f>
        <v>17.1</v>
      </c>
      <c r="Q752" s="26" t="n">
        <f aca="false">IF(OR(N752="",P752=""),"",(N752-P752)/N752)</f>
        <v>0.206128133704735</v>
      </c>
      <c r="R752" s="27" t="n">
        <v>1</v>
      </c>
      <c r="S752" s="28" t="n">
        <f aca="false">IF(R752="-",0,IFERROR(VLOOKUP(R752,'Price Groups'!$A$13:$C$17,3,FALSE()),0))</f>
        <v>0.22</v>
      </c>
      <c r="T752" s="22" t="n">
        <f aca="false">IF(OR(N752="",R752="-"),"",CEILING(ROUND(N752*(1+S752),2),IF(N752*(1+S752)&lt;100,0.5,IF(N752*(1+S752)&lt;1000,1,5))))</f>
        <v>26.5</v>
      </c>
      <c r="U752" s="26" t="n">
        <f aca="false">IF(OR(T752="",P752=""),"",(T752-P752)/T752)</f>
        <v>0.354716981132075</v>
      </c>
      <c r="V752" s="26" t="n">
        <f aca="false">IF(T752="",0,T752/N752-1)</f>
        <v>0.230269266480966</v>
      </c>
      <c r="W752" s="19" t="s">
        <v>333</v>
      </c>
    </row>
    <row r="753" customFormat="false" ht="15" hidden="false" customHeight="false" outlineLevel="0" collapsed="false">
      <c r="A753" s="38" t="n">
        <v>702</v>
      </c>
      <c r="B753" s="38" t="s">
        <v>920</v>
      </c>
      <c r="C753" s="38" t="s">
        <v>57</v>
      </c>
      <c r="D753" s="38"/>
      <c r="E753" s="38" t="s">
        <v>58</v>
      </c>
      <c r="F753" s="39" t="n">
        <v>14</v>
      </c>
      <c r="G753" s="39" t="n">
        <v>7</v>
      </c>
      <c r="H753" s="40" t="n">
        <v>586.89</v>
      </c>
      <c r="I753" s="40" t="n">
        <v>0</v>
      </c>
      <c r="J753" s="40" t="n">
        <v>0</v>
      </c>
      <c r="K753" s="41" t="n">
        <f aca="false">H753+I753+J753</f>
        <v>586.89</v>
      </c>
      <c r="L753" s="42" t="n">
        <f aca="false">IF($K$1282=0,0,K753/$K$1282)</f>
        <v>4.8617050719139E-005</v>
      </c>
      <c r="M753" s="43" t="n">
        <f aca="false">IF(F753&lt;=0,0,K753/F753)</f>
        <v>41.9207142857143</v>
      </c>
      <c r="N753" s="40" t="n">
        <v>39.99</v>
      </c>
      <c r="O753" s="44" t="n">
        <v>1</v>
      </c>
      <c r="P753" s="43" t="n">
        <f aca="false">O753*'Price Groups'!$B$5</f>
        <v>22.5</v>
      </c>
      <c r="Q753" s="45" t="n">
        <f aca="false">IF(OR(N753="",P753=""),"",(N753-P753)/N753)</f>
        <v>0.437359339834959</v>
      </c>
      <c r="R753" s="46" t="n">
        <v>1</v>
      </c>
      <c r="S753" s="47" t="n">
        <f aca="false">IF(R753="-",0,IFERROR(VLOOKUP(R753,'Price Groups'!$A$13:$C$17,3,FALSE()),0))</f>
        <v>0.22</v>
      </c>
      <c r="T753" s="41" t="n">
        <f aca="false">IF(OR(N753="",R753="-"),"",CEILING(ROUND(N753*(1+S753),2),IF(N753*(1+S753)&lt;100,0.5,IF(N753*(1+S753)&lt;1000,1,5))))</f>
        <v>49</v>
      </c>
      <c r="U753" s="45" t="n">
        <f aca="false">IF(OR(T753="",P753=""),"",(T753-P753)/T753)</f>
        <v>0.540816326530612</v>
      </c>
      <c r="V753" s="45" t="n">
        <f aca="false">IF(T753="",0,T753/N753-1)</f>
        <v>0.225306326581645</v>
      </c>
      <c r="W753" s="38" t="s">
        <v>94</v>
      </c>
    </row>
    <row r="754" customFormat="false" ht="15" hidden="false" customHeight="false" outlineLevel="0" collapsed="false">
      <c r="A754" s="19" t="n">
        <v>703</v>
      </c>
      <c r="B754" s="19" t="s">
        <v>921</v>
      </c>
      <c r="C754" s="19" t="s">
        <v>57</v>
      </c>
      <c r="D754" s="19"/>
      <c r="E754" s="19" t="s">
        <v>58</v>
      </c>
      <c r="F754" s="20" t="n">
        <v>14</v>
      </c>
      <c r="G754" s="20" t="n">
        <v>13</v>
      </c>
      <c r="H754" s="21" t="n">
        <v>10799</v>
      </c>
      <c r="I754" s="21" t="n">
        <v>-63.9</v>
      </c>
      <c r="J754" s="21" t="n">
        <v>-4473</v>
      </c>
      <c r="K754" s="22" t="n">
        <f aca="false">H754+I754+J754</f>
        <v>6262.1</v>
      </c>
      <c r="L754" s="23" t="n">
        <f aca="false">IF($K$1282=0,0,K754/$K$1282)</f>
        <v>0.000518742580906679</v>
      </c>
      <c r="M754" s="24" t="n">
        <f aca="false">IF(F754&lt;=0,0,K754/F754)</f>
        <v>447.292857142857</v>
      </c>
      <c r="N754" s="21" t="n">
        <v>639</v>
      </c>
      <c r="O754" s="49" t="n">
        <v>12.2</v>
      </c>
      <c r="P754" s="24" t="n">
        <f aca="false">O754*'Price Groups'!$B$5</f>
        <v>274.5</v>
      </c>
      <c r="Q754" s="26" t="n">
        <f aca="false">IF(OR(N754="",P754=""),"",(N754-P754)/N754)</f>
        <v>0.570422535211268</v>
      </c>
      <c r="R754" s="27" t="n">
        <v>1</v>
      </c>
      <c r="S754" s="28" t="n">
        <f aca="false">IF(R754="-",0,IFERROR(VLOOKUP(R754,'Price Groups'!$A$13:$C$17,3,FALSE()),0))</f>
        <v>0.22</v>
      </c>
      <c r="T754" s="22" t="n">
        <f aca="false">IF(OR(N754="",R754="-"),"",CEILING(ROUND(N754*(1+S754),2),IF(N754*(1+S754)&lt;100,0.5,IF(N754*(1+S754)&lt;1000,1,5))))</f>
        <v>780</v>
      </c>
      <c r="U754" s="26" t="n">
        <f aca="false">IF(OR(T754="",P754=""),"",(T754-P754)/T754)</f>
        <v>0.648076923076923</v>
      </c>
      <c r="V754" s="26" t="n">
        <f aca="false">IF(T754="",0,T754/N754-1)</f>
        <v>0.220657276995305</v>
      </c>
      <c r="W754" s="19" t="s">
        <v>94</v>
      </c>
    </row>
    <row r="755" customFormat="false" ht="15" hidden="false" customHeight="false" outlineLevel="0" collapsed="false">
      <c r="A755" s="38" t="n">
        <v>704</v>
      </c>
      <c r="B755" s="38" t="s">
        <v>922</v>
      </c>
      <c r="C755" s="38" t="s">
        <v>57</v>
      </c>
      <c r="D755" s="38"/>
      <c r="E755" s="38" t="s">
        <v>58</v>
      </c>
      <c r="F755" s="39" t="n">
        <v>14</v>
      </c>
      <c r="G755" s="39" t="n">
        <v>13</v>
      </c>
      <c r="H755" s="40" t="n">
        <v>2279.84</v>
      </c>
      <c r="I755" s="40" t="n">
        <v>0</v>
      </c>
      <c r="J755" s="40" t="n">
        <v>-259.98</v>
      </c>
      <c r="K755" s="41" t="n">
        <f aca="false">H755+I755+J755</f>
        <v>2019.86</v>
      </c>
      <c r="L755" s="42" t="n">
        <f aca="false">IF($K$1282=0,0,K755/$K$1282)</f>
        <v>0.000167322046832558</v>
      </c>
      <c r="M755" s="43" t="n">
        <f aca="false">IF(F755&lt;=0,0,K755/F755)</f>
        <v>144.275714285714</v>
      </c>
      <c r="N755" s="40" t="n">
        <v>169.99</v>
      </c>
      <c r="O755" s="44" t="n">
        <v>3.65</v>
      </c>
      <c r="P755" s="43" t="n">
        <f aca="false">O755*'Price Groups'!$B$5</f>
        <v>82.125</v>
      </c>
      <c r="Q755" s="45" t="n">
        <f aca="false">IF(OR(N755="",P755=""),"",(N755-P755)/N755)</f>
        <v>0.516883346079181</v>
      </c>
      <c r="R755" s="46" t="n">
        <v>1</v>
      </c>
      <c r="S755" s="47" t="n">
        <f aca="false">IF(R755="-",0,IFERROR(VLOOKUP(R755,'Price Groups'!$A$13:$C$17,3,FALSE()),0))</f>
        <v>0.22</v>
      </c>
      <c r="T755" s="41" t="n">
        <f aca="false">IF(OR(N755="",R755="-"),"",CEILING(ROUND(N755*(1+S755),2),IF(N755*(1+S755)&lt;100,0.5,IF(N755*(1+S755)&lt;1000,1,5))))</f>
        <v>208</v>
      </c>
      <c r="U755" s="45" t="n">
        <f aca="false">IF(OR(T755="",P755=""),"",(T755-P755)/T755)</f>
        <v>0.605168269230769</v>
      </c>
      <c r="V755" s="45" t="n">
        <f aca="false">IF(T755="",0,T755/N755-1)</f>
        <v>0.22360138831696</v>
      </c>
      <c r="W755" s="38" t="s">
        <v>94</v>
      </c>
    </row>
    <row r="756" customFormat="false" ht="15" hidden="false" customHeight="false" outlineLevel="0" collapsed="false">
      <c r="A756" s="19" t="n">
        <v>705</v>
      </c>
      <c r="B756" s="19" t="s">
        <v>923</v>
      </c>
      <c r="C756" s="19" t="s">
        <v>57</v>
      </c>
      <c r="D756" s="19"/>
      <c r="E756" s="19" t="s">
        <v>58</v>
      </c>
      <c r="F756" s="20" t="n">
        <v>14</v>
      </c>
      <c r="G756" s="20" t="n">
        <v>14</v>
      </c>
      <c r="H756" s="21" t="n">
        <v>5699.85</v>
      </c>
      <c r="I756" s="21" t="n">
        <v>-37.99</v>
      </c>
      <c r="J756" s="21" t="n">
        <v>-379.99</v>
      </c>
      <c r="K756" s="22" t="n">
        <f aca="false">H756+I756+J756</f>
        <v>5281.87</v>
      </c>
      <c r="L756" s="23" t="n">
        <f aca="false">IF($K$1282=0,0,K756/$K$1282)</f>
        <v>0.000437541859090969</v>
      </c>
      <c r="M756" s="24" t="n">
        <f aca="false">IF(F756&lt;=0,0,K756/F756)</f>
        <v>377.276428571429</v>
      </c>
      <c r="N756" s="21" t="n">
        <v>379.99</v>
      </c>
      <c r="O756" s="49" t="n">
        <v>13</v>
      </c>
      <c r="P756" s="24" t="n">
        <f aca="false">O756*'Price Groups'!$B$5</f>
        <v>292.5</v>
      </c>
      <c r="Q756" s="26" t="n">
        <f aca="false">IF(OR(N756="",P756=""),"",(N756-P756)/N756)</f>
        <v>0.230242901128977</v>
      </c>
      <c r="R756" s="27" t="n">
        <v>1</v>
      </c>
      <c r="S756" s="28" t="n">
        <f aca="false">IF(R756="-",0,IFERROR(VLOOKUP(R756,'Price Groups'!$A$13:$C$17,3,FALSE()),0))</f>
        <v>0.22</v>
      </c>
      <c r="T756" s="22" t="n">
        <f aca="false">IF(OR(N756="",R756="-"),"",CEILING(ROUND(N756*(1+S756),2),IF(N756*(1+S756)&lt;100,0.5,IF(N756*(1+S756)&lt;1000,1,5))))</f>
        <v>464</v>
      </c>
      <c r="U756" s="26" t="n">
        <f aca="false">IF(OR(T756="",P756=""),"",(T756-P756)/T756)</f>
        <v>0.369612068965517</v>
      </c>
      <c r="V756" s="26" t="n">
        <f aca="false">IF(T756="",0,T756/N756-1)</f>
        <v>0.221084765388563</v>
      </c>
      <c r="W756" s="19" t="s">
        <v>633</v>
      </c>
    </row>
    <row r="757" customFormat="false" ht="15" hidden="false" customHeight="false" outlineLevel="0" collapsed="false">
      <c r="A757" s="38" t="n">
        <v>706</v>
      </c>
      <c r="B757" s="38" t="s">
        <v>924</v>
      </c>
      <c r="C757" s="38" t="s">
        <v>57</v>
      </c>
      <c r="D757" s="38"/>
      <c r="E757" s="38" t="s">
        <v>58</v>
      </c>
      <c r="F757" s="39" t="n">
        <v>14</v>
      </c>
      <c r="G757" s="39" t="n">
        <v>10</v>
      </c>
      <c r="H757" s="40" t="n">
        <v>495</v>
      </c>
      <c r="I757" s="40" t="n">
        <v>-16.5</v>
      </c>
      <c r="J757" s="40" t="n">
        <v>-33</v>
      </c>
      <c r="K757" s="41" t="n">
        <f aca="false">H757+I757+J757</f>
        <v>445.5</v>
      </c>
      <c r="L757" s="42" t="n">
        <f aca="false">IF($K$1282=0,0,K757/$K$1282)</f>
        <v>3.69045240085475E-005</v>
      </c>
      <c r="M757" s="43" t="n">
        <f aca="false">IF(F757&lt;=0,0,K757/F757)</f>
        <v>31.8214285714286</v>
      </c>
      <c r="N757" s="40" t="n">
        <v>33</v>
      </c>
      <c r="O757" s="44" t="n">
        <v>1.3</v>
      </c>
      <c r="P757" s="43" t="n">
        <f aca="false">O757*'Price Groups'!$B$5</f>
        <v>29.25</v>
      </c>
      <c r="Q757" s="45" t="n">
        <f aca="false">IF(OR(N757="",P757=""),"",(N757-P757)/N757)</f>
        <v>0.113636363636364</v>
      </c>
      <c r="R757" s="46" t="n">
        <v>1</v>
      </c>
      <c r="S757" s="47" t="n">
        <f aca="false">IF(R757="-",0,IFERROR(VLOOKUP(R757,'Price Groups'!$A$13:$C$17,3,FALSE()),0))</f>
        <v>0.22</v>
      </c>
      <c r="T757" s="41" t="n">
        <f aca="false">IF(OR(N757="",R757="-"),"",CEILING(ROUND(N757*(1+S757),2),IF(N757*(1+S757)&lt;100,0.5,IF(N757*(1+S757)&lt;1000,1,5))))</f>
        <v>40.5</v>
      </c>
      <c r="U757" s="45" t="n">
        <f aca="false">IF(OR(T757="",P757=""),"",(T757-P757)/T757)</f>
        <v>0.277777777777778</v>
      </c>
      <c r="V757" s="45" t="n">
        <f aca="false">IF(T757="",0,T757/N757-1)</f>
        <v>0.227272727272727</v>
      </c>
      <c r="W757" s="38" t="s">
        <v>925</v>
      </c>
    </row>
    <row r="758" customFormat="false" ht="15" hidden="false" customHeight="false" outlineLevel="0" collapsed="false">
      <c r="A758" s="19" t="n">
        <v>707</v>
      </c>
      <c r="B758" s="19" t="s">
        <v>926</v>
      </c>
      <c r="C758" s="19" t="s">
        <v>57</v>
      </c>
      <c r="D758" s="19"/>
      <c r="E758" s="19" t="s">
        <v>58</v>
      </c>
      <c r="F758" s="20" t="n">
        <v>14</v>
      </c>
      <c r="G758" s="20" t="n">
        <v>15</v>
      </c>
      <c r="H758" s="21" t="n">
        <v>9611.85</v>
      </c>
      <c r="I758" s="21" t="n">
        <v>-44.81</v>
      </c>
      <c r="J758" s="21" t="n">
        <v>-499.99</v>
      </c>
      <c r="K758" s="22" t="n">
        <f aca="false">H758+I758+J758</f>
        <v>9067.05</v>
      </c>
      <c r="L758" s="23" t="n">
        <f aca="false">IF($K$1282=0,0,K758/$K$1282)</f>
        <v>0.000751100256816387</v>
      </c>
      <c r="M758" s="24" t="n">
        <f aca="false">IF(F758&lt;=0,0,K758/F758)</f>
        <v>647.646428571429</v>
      </c>
      <c r="N758" s="21" t="n">
        <v>499.99</v>
      </c>
      <c r="O758" s="49" t="n">
        <v>8.5</v>
      </c>
      <c r="P758" s="24" t="n">
        <f aca="false">O758*'Price Groups'!$B$5</f>
        <v>191.25</v>
      </c>
      <c r="Q758" s="26" t="n">
        <f aca="false">IF(OR(N758="",P758=""),"",(N758-P758)/N758)</f>
        <v>0.617492349846997</v>
      </c>
      <c r="R758" s="27" t="n">
        <v>1</v>
      </c>
      <c r="S758" s="28" t="n">
        <f aca="false">IF(R758="-",0,IFERROR(VLOOKUP(R758,'Price Groups'!$A$13:$C$17,3,FALSE()),0))</f>
        <v>0.22</v>
      </c>
      <c r="T758" s="22" t="n">
        <f aca="false">IF(OR(N758="",R758="-"),"",CEILING(ROUND(N758*(1+S758),2),IF(N758*(1+S758)&lt;100,0.5,IF(N758*(1+S758)&lt;1000,1,5))))</f>
        <v>610</v>
      </c>
      <c r="U758" s="26" t="n">
        <f aca="false">IF(OR(T758="",P758=""),"",(T758-P758)/T758)</f>
        <v>0.686475409836066</v>
      </c>
      <c r="V758" s="26" t="n">
        <f aca="false">IF(T758="",0,T758/N758-1)</f>
        <v>0.22002440048801</v>
      </c>
      <c r="W758" s="19" t="s">
        <v>94</v>
      </c>
    </row>
    <row r="759" customFormat="false" ht="15" hidden="false" customHeight="false" outlineLevel="0" collapsed="false">
      <c r="A759" s="38" t="n">
        <v>708</v>
      </c>
      <c r="B759" s="38" t="s">
        <v>177</v>
      </c>
      <c r="C759" s="38" t="s">
        <v>307</v>
      </c>
      <c r="D759" s="38" t="s">
        <v>176</v>
      </c>
      <c r="E759" s="38" t="s">
        <v>58</v>
      </c>
      <c r="F759" s="39" t="n">
        <v>14</v>
      </c>
      <c r="G759" s="39" t="n">
        <v>14</v>
      </c>
      <c r="H759" s="40" t="n">
        <v>8650</v>
      </c>
      <c r="I759" s="40" t="n">
        <v>0</v>
      </c>
      <c r="J759" s="40" t="n">
        <v>-1500</v>
      </c>
      <c r="K759" s="41" t="n">
        <f aca="false">H759+I759+J759</f>
        <v>7150</v>
      </c>
      <c r="L759" s="42" t="n">
        <f aca="false">IF($K$1282=0,0,K759/$K$1282)</f>
        <v>0.000592294829766812</v>
      </c>
      <c r="M759" s="43" t="n">
        <f aca="false">IF(F759&lt;=0,0,K759/F759)</f>
        <v>510.714285714286</v>
      </c>
      <c r="N759" s="40" t="n">
        <v>625</v>
      </c>
      <c r="O759" s="44" t="n">
        <v>23.52</v>
      </c>
      <c r="P759" s="43" t="n">
        <f aca="false">O759*'Price Groups'!$B$5</f>
        <v>529.2</v>
      </c>
      <c r="Q759" s="45" t="n">
        <f aca="false">IF(OR(N759="",P759=""),"",(N759-P759)/N759)</f>
        <v>0.15328</v>
      </c>
      <c r="R759" s="46" t="n">
        <v>1</v>
      </c>
      <c r="S759" s="47" t="n">
        <f aca="false">IF(R759="-",0,IFERROR(VLOOKUP(R759,'Price Groups'!$A$13:$C$17,3,FALSE()),0))</f>
        <v>0.22</v>
      </c>
      <c r="T759" s="41" t="n">
        <f aca="false">IF(OR(N759="",R759="-"),"",CEILING(ROUND(N759*(1+S759),2),IF(N759*(1+S759)&lt;100,0.5,IF(N759*(1+S759)&lt;1000,1,5))))</f>
        <v>763</v>
      </c>
      <c r="U759" s="45" t="n">
        <f aca="false">IF(OR(T759="",P759=""),"",(T759-P759)/T759)</f>
        <v>0.306422018348624</v>
      </c>
      <c r="V759" s="45" t="n">
        <f aca="false">IF(T759="",0,T759/N759-1)</f>
        <v>0.2208</v>
      </c>
      <c r="W759" s="38" t="s">
        <v>927</v>
      </c>
    </row>
    <row r="760" customFormat="false" ht="15" hidden="false" customHeight="false" outlineLevel="0" collapsed="false">
      <c r="A760" s="19" t="n">
        <v>709</v>
      </c>
      <c r="B760" s="19" t="s">
        <v>928</v>
      </c>
      <c r="C760" s="19" t="s">
        <v>57</v>
      </c>
      <c r="D760" s="19"/>
      <c r="E760" s="19" t="s">
        <v>58</v>
      </c>
      <c r="F760" s="20" t="n">
        <v>14</v>
      </c>
      <c r="G760" s="20" t="n">
        <v>14</v>
      </c>
      <c r="H760" s="21" t="n">
        <v>10342</v>
      </c>
      <c r="I760" s="21" t="n">
        <v>-125.2</v>
      </c>
      <c r="J760" s="21" t="n">
        <v>-700</v>
      </c>
      <c r="K760" s="22" t="n">
        <f aca="false">H760+I760+J760</f>
        <v>9516.8</v>
      </c>
      <c r="L760" s="23" t="n">
        <f aca="false">IF($K$1282=0,0,K760/$K$1282)</f>
        <v>0.000788356844185286</v>
      </c>
      <c r="M760" s="24" t="n">
        <f aca="false">IF(F760&lt;=0,0,K760/F760)</f>
        <v>679.771428571429</v>
      </c>
      <c r="N760" s="21" t="n">
        <v>400</v>
      </c>
      <c r="O760" s="49" t="n">
        <v>18.5</v>
      </c>
      <c r="P760" s="24" t="n">
        <f aca="false">O760*'Price Groups'!$B$5</f>
        <v>416.25</v>
      </c>
      <c r="Q760" s="26" t="n">
        <f aca="false">IF(OR(N760="",P760=""),"",(N760-P760)/N760)</f>
        <v>-0.040625</v>
      </c>
      <c r="R760" s="27" t="n">
        <v>1</v>
      </c>
      <c r="S760" s="28" t="n">
        <f aca="false">IF(R760="-",0,IFERROR(VLOOKUP(R760,'Price Groups'!$A$13:$C$17,3,FALSE()),0))</f>
        <v>0.22</v>
      </c>
      <c r="T760" s="22" t="n">
        <f aca="false">IF(OR(N760="",R760="-"),"",CEILING(ROUND(N760*(1+S760),2),IF(N760*(1+S760)&lt;100,0.5,IF(N760*(1+S760)&lt;1000,1,5))))</f>
        <v>488</v>
      </c>
      <c r="U760" s="26" t="n">
        <f aca="false">IF(OR(T760="",P760=""),"",(T760-P760)/T760)</f>
        <v>0.14702868852459</v>
      </c>
      <c r="V760" s="26" t="n">
        <f aca="false">IF(T760="",0,T760/N760-1)</f>
        <v>0.22</v>
      </c>
      <c r="W760" s="19" t="s">
        <v>929</v>
      </c>
    </row>
    <row r="761" customFormat="false" ht="15" hidden="false" customHeight="false" outlineLevel="0" collapsed="false">
      <c r="A761" s="38" t="n">
        <v>710</v>
      </c>
      <c r="B761" s="38" t="s">
        <v>930</v>
      </c>
      <c r="C761" s="38" t="s">
        <v>57</v>
      </c>
      <c r="D761" s="38"/>
      <c r="E761" s="38" t="s">
        <v>58</v>
      </c>
      <c r="F761" s="39" t="n">
        <v>14</v>
      </c>
      <c r="G761" s="39" t="n">
        <v>14</v>
      </c>
      <c r="H761" s="40" t="n">
        <v>171</v>
      </c>
      <c r="I761" s="40" t="n">
        <v>-0.9</v>
      </c>
      <c r="J761" s="40" t="n">
        <v>-45</v>
      </c>
      <c r="K761" s="41" t="n">
        <f aca="false">H761+I761+J761</f>
        <v>125.1</v>
      </c>
      <c r="L761" s="42" t="n">
        <f aca="false">IF($K$1282=0,0,K761/$K$1282)</f>
        <v>1.0363088559976E-005</v>
      </c>
      <c r="M761" s="43" t="n">
        <f aca="false">IF(F761&lt;=0,0,K761/F761)</f>
        <v>8.93571428571429</v>
      </c>
      <c r="N761" s="40" t="n">
        <v>9</v>
      </c>
      <c r="O761" s="44" t="n">
        <v>0.22</v>
      </c>
      <c r="P761" s="43" t="n">
        <f aca="false">O761*'Price Groups'!$B$5</f>
        <v>4.95</v>
      </c>
      <c r="Q761" s="45" t="n">
        <f aca="false">IF(OR(N761="",P761=""),"",(N761-P761)/N761)</f>
        <v>0.45</v>
      </c>
      <c r="R761" s="46" t="n">
        <v>1</v>
      </c>
      <c r="S761" s="47" t="n">
        <f aca="false">IF(R761="-",0,IFERROR(VLOOKUP(R761,'Price Groups'!$A$13:$C$17,3,FALSE()),0))</f>
        <v>0.22</v>
      </c>
      <c r="T761" s="41" t="n">
        <f aca="false">IF(OR(N761="",R761="-"),"",CEILING(ROUND(N761*(1+S761),2),IF(N761*(1+S761)&lt;100,0.5,IF(N761*(1+S761)&lt;1000,1,5))))</f>
        <v>11</v>
      </c>
      <c r="U761" s="45" t="n">
        <f aca="false">IF(OR(T761="",P761=""),"",(T761-P761)/T761)</f>
        <v>0.55</v>
      </c>
      <c r="V761" s="45" t="n">
        <f aca="false">IF(T761="",0,T761/N761-1)</f>
        <v>0.222222222222222</v>
      </c>
      <c r="W761" s="38" t="s">
        <v>94</v>
      </c>
    </row>
    <row r="762" customFormat="false" ht="15" hidden="false" customHeight="false" outlineLevel="0" collapsed="false">
      <c r="A762" s="19" t="n">
        <v>711</v>
      </c>
      <c r="B762" s="19" t="s">
        <v>931</v>
      </c>
      <c r="C762" s="19" t="s">
        <v>57</v>
      </c>
      <c r="D762" s="19"/>
      <c r="E762" s="19" t="s">
        <v>58</v>
      </c>
      <c r="F762" s="20" t="n">
        <v>14</v>
      </c>
      <c r="G762" s="20" t="n">
        <v>10</v>
      </c>
      <c r="H762" s="21" t="n">
        <v>603</v>
      </c>
      <c r="I762" s="21" t="n">
        <v>0</v>
      </c>
      <c r="J762" s="21" t="n">
        <v>0</v>
      </c>
      <c r="K762" s="22" t="n">
        <f aca="false">H762+I762+J762</f>
        <v>603</v>
      </c>
      <c r="L762" s="23" t="n">
        <f aca="false">IF($K$1282=0,0,K762/$K$1282)</f>
        <v>4.99515779509633E-005</v>
      </c>
      <c r="M762" s="24" t="n">
        <f aca="false">IF(F762&lt;=0,0,K762/F762)</f>
        <v>43.0714285714286</v>
      </c>
      <c r="N762" s="21" t="n">
        <v>42.75</v>
      </c>
      <c r="O762" s="49" t="n">
        <v>0.88</v>
      </c>
      <c r="P762" s="24" t="n">
        <f aca="false">O762*'Price Groups'!$B$5</f>
        <v>19.8</v>
      </c>
      <c r="Q762" s="26" t="n">
        <f aca="false">IF(OR(N762="",P762=""),"",(N762-P762)/N762)</f>
        <v>0.536842105263158</v>
      </c>
      <c r="R762" s="27" t="n">
        <v>1</v>
      </c>
      <c r="S762" s="28" t="n">
        <f aca="false">IF(R762="-",0,IFERROR(VLOOKUP(R762,'Price Groups'!$A$13:$C$17,3,FALSE()),0))</f>
        <v>0.22</v>
      </c>
      <c r="T762" s="22" t="n">
        <f aca="false">IF(OR(N762="",R762="-"),"",CEILING(ROUND(N762*(1+S762),2),IF(N762*(1+S762)&lt;100,0.5,IF(N762*(1+S762)&lt;1000,1,5))))</f>
        <v>52.5</v>
      </c>
      <c r="U762" s="26" t="n">
        <f aca="false">IF(OR(T762="",P762=""),"",(T762-P762)/T762)</f>
        <v>0.622857142857143</v>
      </c>
      <c r="V762" s="26" t="n">
        <f aca="false">IF(T762="",0,T762/N762-1)</f>
        <v>0.228070175438597</v>
      </c>
      <c r="W762" s="19" t="s">
        <v>94</v>
      </c>
    </row>
    <row r="763" customFormat="false" ht="15" hidden="false" customHeight="false" outlineLevel="0" collapsed="false">
      <c r="A763" s="38" t="n">
        <v>712</v>
      </c>
      <c r="B763" s="38" t="s">
        <v>932</v>
      </c>
      <c r="C763" s="38" t="s">
        <v>57</v>
      </c>
      <c r="D763" s="38"/>
      <c r="E763" s="38" t="s">
        <v>58</v>
      </c>
      <c r="F763" s="39" t="n">
        <v>14</v>
      </c>
      <c r="G763" s="39" t="n">
        <v>13</v>
      </c>
      <c r="H763" s="40" t="n">
        <v>4046</v>
      </c>
      <c r="I763" s="40" t="n">
        <v>-58.67</v>
      </c>
      <c r="J763" s="40" t="n">
        <v>0</v>
      </c>
      <c r="K763" s="41" t="n">
        <f aca="false">H763+I763+J763</f>
        <v>3987.33</v>
      </c>
      <c r="L763" s="42" t="n">
        <f aca="false">IF($K$1282=0,0,K763/$K$1282)</f>
        <v>0.000330304187912462</v>
      </c>
      <c r="M763" s="43" t="n">
        <f aca="false">IF(F763&lt;=0,0,K763/F763)</f>
        <v>284.809285714286</v>
      </c>
      <c r="N763" s="40" t="n">
        <v>289</v>
      </c>
      <c r="O763" s="44" t="n">
        <v>6.33</v>
      </c>
      <c r="P763" s="43" t="n">
        <f aca="false">O763*'Price Groups'!$B$5</f>
        <v>142.425</v>
      </c>
      <c r="Q763" s="45" t="n">
        <f aca="false">IF(OR(N763="",P763=""),"",(N763-P763)/N763)</f>
        <v>0.507179930795848</v>
      </c>
      <c r="R763" s="46" t="n">
        <v>1</v>
      </c>
      <c r="S763" s="47" t="n">
        <f aca="false">IF(R763="-",0,IFERROR(VLOOKUP(R763,'Price Groups'!$A$13:$C$17,3,FALSE()),0))</f>
        <v>0.22</v>
      </c>
      <c r="T763" s="41" t="n">
        <f aca="false">IF(OR(N763="",R763="-"),"",CEILING(ROUND(N763*(1+S763),2),IF(N763*(1+S763)&lt;100,0.5,IF(N763*(1+S763)&lt;1000,1,5))))</f>
        <v>353</v>
      </c>
      <c r="U763" s="45" t="n">
        <f aca="false">IF(OR(T763="",P763=""),"",(T763-P763)/T763)</f>
        <v>0.596529745042493</v>
      </c>
      <c r="V763" s="45" t="n">
        <f aca="false">IF(T763="",0,T763/N763-1)</f>
        <v>0.221453287197232</v>
      </c>
      <c r="W763" s="38" t="s">
        <v>94</v>
      </c>
    </row>
    <row r="764" customFormat="false" ht="15" hidden="false" customHeight="false" outlineLevel="0" collapsed="false">
      <c r="A764" s="19" t="n">
        <v>713</v>
      </c>
      <c r="B764" s="19" t="s">
        <v>933</v>
      </c>
      <c r="C764" s="19" t="s">
        <v>57</v>
      </c>
      <c r="D764" s="19"/>
      <c r="E764" s="19" t="s">
        <v>58</v>
      </c>
      <c r="F764" s="20" t="n">
        <v>14</v>
      </c>
      <c r="G764" s="20" t="n">
        <v>22</v>
      </c>
      <c r="H764" s="21" t="n">
        <v>7677.37</v>
      </c>
      <c r="I764" s="21" t="n">
        <v>-74.97</v>
      </c>
      <c r="J764" s="21" t="n">
        <v>-4249.83</v>
      </c>
      <c r="K764" s="22" t="n">
        <f aca="false">H764+I764+J764</f>
        <v>3352.57</v>
      </c>
      <c r="L764" s="23" t="n">
        <f aca="false">IF($K$1282=0,0,K764/$K$1282)</f>
        <v>0.000277721661179206</v>
      </c>
      <c r="M764" s="24" t="n">
        <f aca="false">IF(F764&lt;=0,0,K764/F764)</f>
        <v>239.469285714286</v>
      </c>
      <c r="N764" s="21" t="n">
        <v>249.99</v>
      </c>
      <c r="O764" s="49" t="n">
        <v>7.84</v>
      </c>
      <c r="P764" s="24" t="n">
        <f aca="false">O764*'Price Groups'!$B$5</f>
        <v>176.4</v>
      </c>
      <c r="Q764" s="26" t="n">
        <f aca="false">IF(OR(N764="",P764=""),"",(N764-P764)/N764)</f>
        <v>0.294371774870995</v>
      </c>
      <c r="R764" s="27" t="n">
        <v>1</v>
      </c>
      <c r="S764" s="28" t="n">
        <f aca="false">IF(R764="-",0,IFERROR(VLOOKUP(R764,'Price Groups'!$A$13:$C$17,3,FALSE()),0))</f>
        <v>0.22</v>
      </c>
      <c r="T764" s="22" t="n">
        <f aca="false">IF(OR(N764="",R764="-"),"",CEILING(ROUND(N764*(1+S764),2),IF(N764*(1+S764)&lt;100,0.5,IF(N764*(1+S764)&lt;1000,1,5))))</f>
        <v>305</v>
      </c>
      <c r="U764" s="26" t="n">
        <f aca="false">IF(OR(T764="",P764=""),"",(T764-P764)/T764)</f>
        <v>0.421639344262295</v>
      </c>
      <c r="V764" s="26" t="n">
        <f aca="false">IF(T764="",0,T764/N764-1)</f>
        <v>0.220048801952078</v>
      </c>
      <c r="W764" s="19" t="s">
        <v>94</v>
      </c>
    </row>
    <row r="765" customFormat="false" ht="15" hidden="false" customHeight="false" outlineLevel="0" collapsed="false">
      <c r="A765" s="38" t="n">
        <v>714</v>
      </c>
      <c r="B765" s="38" t="s">
        <v>934</v>
      </c>
      <c r="C765" s="38" t="s">
        <v>57</v>
      </c>
      <c r="D765" s="38"/>
      <c r="E765" s="38" t="s">
        <v>58</v>
      </c>
      <c r="F765" s="39" t="n">
        <v>14</v>
      </c>
      <c r="G765" s="39" t="n">
        <v>16</v>
      </c>
      <c r="H765" s="40" t="n">
        <v>1699.83</v>
      </c>
      <c r="I765" s="40" t="n">
        <v>-9.99</v>
      </c>
      <c r="J765" s="40" t="n">
        <v>-299.97</v>
      </c>
      <c r="K765" s="41" t="n">
        <f aca="false">H765+I765+J765</f>
        <v>1389.87</v>
      </c>
      <c r="L765" s="42" t="n">
        <f aca="false">IF($K$1282=0,0,K765/$K$1282)</f>
        <v>0.000115134659447273</v>
      </c>
      <c r="M765" s="43" t="n">
        <f aca="false">IF(F765&lt;=0,0,K765/F765)</f>
        <v>99.2764285714286</v>
      </c>
      <c r="N765" s="40" t="n">
        <v>99.99</v>
      </c>
      <c r="O765" s="44" t="n">
        <v>2.26</v>
      </c>
      <c r="P765" s="43" t="n">
        <f aca="false">O765*'Price Groups'!$B$5</f>
        <v>50.85</v>
      </c>
      <c r="Q765" s="45" t="n">
        <f aca="false">IF(OR(N765="",P765=""),"",(N765-P765)/N765)</f>
        <v>0.491449144914492</v>
      </c>
      <c r="R765" s="46" t="n">
        <v>1</v>
      </c>
      <c r="S765" s="47" t="n">
        <f aca="false">IF(R765="-",0,IFERROR(VLOOKUP(R765,'Price Groups'!$A$13:$C$17,3,FALSE()),0))</f>
        <v>0.22</v>
      </c>
      <c r="T765" s="41" t="n">
        <f aca="false">IF(OR(N765="",R765="-"),"",CEILING(ROUND(N765*(1+S765),2),IF(N765*(1+S765)&lt;100,0.5,IF(N765*(1+S765)&lt;1000,1,5))))</f>
        <v>122</v>
      </c>
      <c r="U765" s="45" t="n">
        <f aca="false">IF(OR(T765="",P765=""),"",(T765-P765)/T765)</f>
        <v>0.583196721311476</v>
      </c>
      <c r="V765" s="45" t="n">
        <f aca="false">IF(T765="",0,T765/N765-1)</f>
        <v>0.22012201220122</v>
      </c>
      <c r="W765" s="38" t="s">
        <v>94</v>
      </c>
    </row>
    <row r="766" customFormat="false" ht="15" hidden="false" customHeight="false" outlineLevel="0" collapsed="false">
      <c r="A766" s="19" t="n">
        <v>715</v>
      </c>
      <c r="B766" s="19" t="s">
        <v>935</v>
      </c>
      <c r="C766" s="19" t="s">
        <v>57</v>
      </c>
      <c r="D766" s="19"/>
      <c r="E766" s="19" t="s">
        <v>58</v>
      </c>
      <c r="F766" s="20" t="n">
        <v>14</v>
      </c>
      <c r="G766" s="20" t="n">
        <v>17</v>
      </c>
      <c r="H766" s="21" t="n">
        <v>6649.81</v>
      </c>
      <c r="I766" s="21" t="n">
        <v>0</v>
      </c>
      <c r="J766" s="21" t="n">
        <v>-1749.95</v>
      </c>
      <c r="K766" s="22" t="n">
        <f aca="false">H766+I766+J766</f>
        <v>4899.86</v>
      </c>
      <c r="L766" s="23" t="n">
        <f aca="false">IF($K$1282=0,0,K766/$K$1282)</f>
        <v>0.000405896747493876</v>
      </c>
      <c r="M766" s="24" t="n">
        <f aca="false">IF(F766&lt;=0,0,K766/F766)</f>
        <v>349.99</v>
      </c>
      <c r="N766" s="21" t="n">
        <v>349.99</v>
      </c>
      <c r="O766" s="49" t="n">
        <v>11</v>
      </c>
      <c r="P766" s="24" t="n">
        <f aca="false">O766*'Price Groups'!$B$5</f>
        <v>247.5</v>
      </c>
      <c r="Q766" s="26" t="n">
        <f aca="false">IF(OR(N766="",P766=""),"",(N766-P766)/N766)</f>
        <v>0.292836938198234</v>
      </c>
      <c r="R766" s="27" t="n">
        <v>1</v>
      </c>
      <c r="S766" s="28" t="n">
        <f aca="false">IF(R766="-",0,IFERROR(VLOOKUP(R766,'Price Groups'!$A$13:$C$17,3,FALSE()),0))</f>
        <v>0.22</v>
      </c>
      <c r="T766" s="22" t="n">
        <f aca="false">IF(OR(N766="",R766="-"),"",CEILING(ROUND(N766*(1+S766),2),IF(N766*(1+S766)&lt;100,0.5,IF(N766*(1+S766)&lt;1000,1,5))))</f>
        <v>427</v>
      </c>
      <c r="U766" s="26" t="n">
        <f aca="false">IF(OR(T766="",P766=""),"",(T766-P766)/T766)</f>
        <v>0.420374707259953</v>
      </c>
      <c r="V766" s="26" t="n">
        <f aca="false">IF(T766="",0,T766/N766-1)</f>
        <v>0.220034858138804</v>
      </c>
      <c r="W766" s="19" t="s">
        <v>94</v>
      </c>
    </row>
    <row r="767" customFormat="false" ht="15" hidden="false" customHeight="false" outlineLevel="0" collapsed="false">
      <c r="A767" s="38" t="n">
        <v>716</v>
      </c>
      <c r="B767" s="38" t="s">
        <v>936</v>
      </c>
      <c r="C767" s="38" t="s">
        <v>57</v>
      </c>
      <c r="D767" s="38"/>
      <c r="E767" s="38" t="s">
        <v>58</v>
      </c>
      <c r="F767" s="39" t="n">
        <v>14</v>
      </c>
      <c r="G767" s="39" t="n">
        <v>14</v>
      </c>
      <c r="H767" s="40" t="n">
        <v>2302.31</v>
      </c>
      <c r="I767" s="40" t="n">
        <v>-17.9</v>
      </c>
      <c r="J767" s="40" t="n">
        <v>-124.33</v>
      </c>
      <c r="K767" s="41" t="n">
        <f aca="false">H767+I767+J767</f>
        <v>2160.08</v>
      </c>
      <c r="L767" s="42" t="n">
        <f aca="false">IF($K$1282=0,0,K767/$K$1282)</f>
        <v>0.000178937652571006</v>
      </c>
      <c r="M767" s="43" t="n">
        <f aca="false">IF(F767&lt;=0,0,K767/F767)</f>
        <v>154.291428571429</v>
      </c>
      <c r="N767" s="40" t="n">
        <v>124.33</v>
      </c>
      <c r="O767" s="44" t="n">
        <v>3.88</v>
      </c>
      <c r="P767" s="43" t="n">
        <f aca="false">O767*'Price Groups'!$B$5</f>
        <v>87.3</v>
      </c>
      <c r="Q767" s="45" t="n">
        <f aca="false">IF(OR(N767="",P767=""),"",(N767-P767)/N767)</f>
        <v>0.297836403120727</v>
      </c>
      <c r="R767" s="46" t="n">
        <v>1</v>
      </c>
      <c r="S767" s="47" t="n">
        <f aca="false">IF(R767="-",0,IFERROR(VLOOKUP(R767,'Price Groups'!$A$13:$C$17,3,FALSE()),0))</f>
        <v>0.22</v>
      </c>
      <c r="T767" s="41" t="n">
        <f aca="false">IF(OR(N767="",R767="-"),"",CEILING(ROUND(N767*(1+S767),2),IF(N767*(1+S767)&lt;100,0.5,IF(N767*(1+S767)&lt;1000,1,5))))</f>
        <v>152</v>
      </c>
      <c r="U767" s="45" t="n">
        <f aca="false">IF(OR(T767="",P767=""),"",(T767-P767)/T767)</f>
        <v>0.425657894736842</v>
      </c>
      <c r="V767" s="45" t="n">
        <f aca="false">IF(T767="",0,T767/N767-1)</f>
        <v>0.222552883455321</v>
      </c>
      <c r="W767" s="38" t="s">
        <v>94</v>
      </c>
    </row>
    <row r="768" customFormat="false" ht="15" hidden="false" customHeight="false" outlineLevel="0" collapsed="false">
      <c r="A768" s="19" t="n">
        <v>717</v>
      </c>
      <c r="B768" s="19" t="s">
        <v>937</v>
      </c>
      <c r="C768" s="19" t="s">
        <v>57</v>
      </c>
      <c r="D768" s="19"/>
      <c r="E768" s="19" t="s">
        <v>58</v>
      </c>
      <c r="F768" s="20" t="n">
        <v>14</v>
      </c>
      <c r="G768" s="20" t="n">
        <v>13</v>
      </c>
      <c r="H768" s="21" t="n">
        <v>3375</v>
      </c>
      <c r="I768" s="21" t="n">
        <v>-22.5</v>
      </c>
      <c r="J768" s="21" t="n">
        <v>-225</v>
      </c>
      <c r="K768" s="22" t="n">
        <f aca="false">H768+I768+J768</f>
        <v>3127.5</v>
      </c>
      <c r="L768" s="23" t="n">
        <f aca="false">IF($K$1282=0,0,K768/$K$1282)</f>
        <v>0.000259077213999399</v>
      </c>
      <c r="M768" s="24" t="n">
        <f aca="false">IF(F768&lt;=0,0,K768/F768)</f>
        <v>223.392857142857</v>
      </c>
      <c r="N768" s="21" t="n">
        <v>225</v>
      </c>
      <c r="O768" s="49" t="n">
        <v>4.36</v>
      </c>
      <c r="P768" s="24" t="n">
        <f aca="false">O768*'Price Groups'!$B$5</f>
        <v>98.1</v>
      </c>
      <c r="Q768" s="26" t="n">
        <f aca="false">IF(OR(N768="",P768=""),"",(N768-P768)/N768)</f>
        <v>0.564</v>
      </c>
      <c r="R768" s="27" t="n">
        <v>1</v>
      </c>
      <c r="S768" s="28" t="n">
        <f aca="false">IF(R768="-",0,IFERROR(VLOOKUP(R768,'Price Groups'!$A$13:$C$17,3,FALSE()),0))</f>
        <v>0.22</v>
      </c>
      <c r="T768" s="22" t="n">
        <f aca="false">IF(OR(N768="",R768="-"),"",CEILING(ROUND(N768*(1+S768),2),IF(N768*(1+S768)&lt;100,0.5,IF(N768*(1+S768)&lt;1000,1,5))))</f>
        <v>275</v>
      </c>
      <c r="U768" s="26" t="n">
        <f aca="false">IF(OR(T768="",P768=""),"",(T768-P768)/T768)</f>
        <v>0.643272727272727</v>
      </c>
      <c r="V768" s="26" t="n">
        <f aca="false">IF(T768="",0,T768/N768-1)</f>
        <v>0.222222222222222</v>
      </c>
      <c r="W768" s="19" t="s">
        <v>94</v>
      </c>
    </row>
    <row r="769" customFormat="false" ht="15" hidden="false" customHeight="false" outlineLevel="0" collapsed="false">
      <c r="A769" s="38" t="n">
        <v>718</v>
      </c>
      <c r="B769" s="38" t="s">
        <v>938</v>
      </c>
      <c r="C769" s="38" t="s">
        <v>57</v>
      </c>
      <c r="D769" s="38"/>
      <c r="E769" s="38" t="s">
        <v>58</v>
      </c>
      <c r="F769" s="39" t="n">
        <v>14</v>
      </c>
      <c r="G769" s="39" t="n">
        <v>13</v>
      </c>
      <c r="H769" s="40" t="n">
        <v>3299.85</v>
      </c>
      <c r="I769" s="40" t="n">
        <v>-12.86</v>
      </c>
      <c r="J769" s="40" t="n">
        <v>-219.99</v>
      </c>
      <c r="K769" s="41" t="n">
        <f aca="false">H769+I769+J769</f>
        <v>3067</v>
      </c>
      <c r="L769" s="42" t="n">
        <f aca="false">IF($K$1282=0,0,K769/$K$1282)</f>
        <v>0.000254065488516757</v>
      </c>
      <c r="M769" s="43" t="n">
        <f aca="false">IF(F769&lt;=0,0,K769/F769)</f>
        <v>219.071428571429</v>
      </c>
      <c r="N769" s="40" t="n">
        <v>219.99</v>
      </c>
      <c r="O769" s="44" t="n">
        <v>4.17</v>
      </c>
      <c r="P769" s="43" t="n">
        <f aca="false">O769*'Price Groups'!$B$5</f>
        <v>93.825</v>
      </c>
      <c r="Q769" s="45" t="n">
        <f aca="false">IF(OR(N769="",P769=""),"",(N769-P769)/N769)</f>
        <v>0.573503341060957</v>
      </c>
      <c r="R769" s="46" t="n">
        <v>1</v>
      </c>
      <c r="S769" s="47" t="n">
        <f aca="false">IF(R769="-",0,IFERROR(VLOOKUP(R769,'Price Groups'!$A$13:$C$17,3,FALSE()),0))</f>
        <v>0.22</v>
      </c>
      <c r="T769" s="41" t="n">
        <f aca="false">IF(OR(N769="",R769="-"),"",CEILING(ROUND(N769*(1+S769),2),IF(N769*(1+S769)&lt;100,0.5,IF(N769*(1+S769)&lt;1000,1,5))))</f>
        <v>269</v>
      </c>
      <c r="U769" s="45" t="n">
        <f aca="false">IF(OR(T769="",P769=""),"",(T769-P769)/T769)</f>
        <v>0.651208178438662</v>
      </c>
      <c r="V769" s="45" t="n">
        <f aca="false">IF(T769="",0,T769/N769-1)</f>
        <v>0.22278285376608</v>
      </c>
      <c r="W769" s="38" t="s">
        <v>94</v>
      </c>
    </row>
    <row r="770" customFormat="false" ht="15" hidden="false" customHeight="false" outlineLevel="0" collapsed="false">
      <c r="A770" s="19" t="n">
        <v>719</v>
      </c>
      <c r="B770" s="19" t="s">
        <v>939</v>
      </c>
      <c r="C770" s="19" t="s">
        <v>57</v>
      </c>
      <c r="D770" s="19"/>
      <c r="E770" s="19" t="s">
        <v>58</v>
      </c>
      <c r="F770" s="20" t="n">
        <v>14</v>
      </c>
      <c r="G770" s="20" t="n">
        <v>9</v>
      </c>
      <c r="H770" s="21" t="n">
        <v>506</v>
      </c>
      <c r="I770" s="21" t="n">
        <v>-0.26</v>
      </c>
      <c r="J770" s="21" t="n">
        <v>-184</v>
      </c>
      <c r="K770" s="22" t="n">
        <f aca="false">H770+I770+J770</f>
        <v>321.74</v>
      </c>
      <c r="L770" s="23" t="n">
        <f aca="false">IF($K$1282=0,0,K770/$K$1282)</f>
        <v>2.66524389551292E-005</v>
      </c>
      <c r="M770" s="24" t="n">
        <f aca="false">IF(F770&lt;=0,0,K770/F770)</f>
        <v>22.9814285714286</v>
      </c>
      <c r="N770" s="21" t="n">
        <v>23</v>
      </c>
      <c r="O770" s="49" t="n">
        <v>0.52</v>
      </c>
      <c r="P770" s="24" t="n">
        <f aca="false">O770*'Price Groups'!$B$5</f>
        <v>11.7</v>
      </c>
      <c r="Q770" s="26" t="n">
        <f aca="false">IF(OR(N770="",P770=""),"",(N770-P770)/N770)</f>
        <v>0.491304347826087</v>
      </c>
      <c r="R770" s="27" t="n">
        <v>1</v>
      </c>
      <c r="S770" s="28" t="n">
        <f aca="false">IF(R770="-",0,IFERROR(VLOOKUP(R770,'Price Groups'!$A$13:$C$17,3,FALSE()),0))</f>
        <v>0.22</v>
      </c>
      <c r="T770" s="22" t="n">
        <f aca="false">IF(OR(N770="",R770="-"),"",CEILING(ROUND(N770*(1+S770),2),IF(N770*(1+S770)&lt;100,0.5,IF(N770*(1+S770)&lt;1000,1,5))))</f>
        <v>28.5</v>
      </c>
      <c r="U770" s="26" t="n">
        <f aca="false">IF(OR(T770="",P770=""),"",(T770-P770)/T770)</f>
        <v>0.589473684210526</v>
      </c>
      <c r="V770" s="26" t="n">
        <f aca="false">IF(T770="",0,T770/N770-1)</f>
        <v>0.239130434782609</v>
      </c>
      <c r="W770" s="19" t="s">
        <v>94</v>
      </c>
    </row>
    <row r="771" customFormat="false" ht="15" hidden="false" customHeight="false" outlineLevel="0" collapsed="false">
      <c r="A771" s="38" t="n">
        <v>720</v>
      </c>
      <c r="B771" s="38" t="s">
        <v>940</v>
      </c>
      <c r="C771" s="38" t="s">
        <v>57</v>
      </c>
      <c r="D771" s="38"/>
      <c r="E771" s="38" t="s">
        <v>58</v>
      </c>
      <c r="F771" s="39" t="n">
        <v>13</v>
      </c>
      <c r="G771" s="39" t="n">
        <v>11</v>
      </c>
      <c r="H771" s="40" t="n">
        <v>5849.87</v>
      </c>
      <c r="I771" s="40" t="n">
        <v>-44.99</v>
      </c>
      <c r="J771" s="40" t="n">
        <v>0</v>
      </c>
      <c r="K771" s="41" t="n">
        <f aca="false">H771+I771+J771</f>
        <v>5804.88</v>
      </c>
      <c r="L771" s="42" t="n">
        <f aca="false">IF($K$1282=0,0,K771/$K$1282)</f>
        <v>0.00048086719040794</v>
      </c>
      <c r="M771" s="43" t="n">
        <f aca="false">IF(F771&lt;=0,0,K771/F771)</f>
        <v>446.529230769231</v>
      </c>
      <c r="N771" s="40" t="n">
        <v>449.99</v>
      </c>
      <c r="O771" s="44" t="n">
        <v>10.14</v>
      </c>
      <c r="P771" s="43" t="n">
        <f aca="false">O771*'Price Groups'!$B$5</f>
        <v>228.15</v>
      </c>
      <c r="Q771" s="45" t="n">
        <f aca="false">IF(OR(N771="",P771=""),"",(N771-P771)/N771)</f>
        <v>0.492988733082957</v>
      </c>
      <c r="R771" s="46" t="n">
        <v>1</v>
      </c>
      <c r="S771" s="47" t="n">
        <f aca="false">IF(R771="-",0,IFERROR(VLOOKUP(R771,'Price Groups'!$A$13:$C$17,3,FALSE()),0))</f>
        <v>0.22</v>
      </c>
      <c r="T771" s="41" t="n">
        <f aca="false">IF(OR(N771="",R771="-"),"",CEILING(ROUND(N771*(1+S771),2),IF(N771*(1+S771)&lt;100,0.5,IF(N771*(1+S771)&lt;1000,1,5))))</f>
        <v>549</v>
      </c>
      <c r="U771" s="45" t="n">
        <f aca="false">IF(OR(T771="",P771=""),"",(T771-P771)/T771)</f>
        <v>0.584426229508197</v>
      </c>
      <c r="V771" s="45" t="n">
        <f aca="false">IF(T771="",0,T771/N771-1)</f>
        <v>0.220027111713594</v>
      </c>
      <c r="W771" s="38" t="s">
        <v>94</v>
      </c>
    </row>
    <row r="772" customFormat="false" ht="15" hidden="false" customHeight="false" outlineLevel="0" collapsed="false">
      <c r="A772" s="19" t="n">
        <v>721</v>
      </c>
      <c r="B772" s="19" t="s">
        <v>322</v>
      </c>
      <c r="C772" s="19" t="s">
        <v>307</v>
      </c>
      <c r="D772" s="19" t="s">
        <v>321</v>
      </c>
      <c r="E772" s="19" t="s">
        <v>58</v>
      </c>
      <c r="F772" s="20" t="n">
        <v>13</v>
      </c>
      <c r="G772" s="20" t="n">
        <v>9</v>
      </c>
      <c r="H772" s="21" t="n">
        <v>6289.91</v>
      </c>
      <c r="I772" s="21" t="n">
        <v>0</v>
      </c>
      <c r="J772" s="21" t="n">
        <v>0</v>
      </c>
      <c r="K772" s="22" t="n">
        <f aca="false">H772+I772+J772</f>
        <v>6289.91</v>
      </c>
      <c r="L772" s="23" t="n">
        <f aca="false">IF($K$1282=0,0,K772/$K$1282)</f>
        <v>0.000521046317859939</v>
      </c>
      <c r="M772" s="24" t="n">
        <f aca="false">IF(F772&lt;=0,0,K772/F772)</f>
        <v>483.839230769231</v>
      </c>
      <c r="N772" s="21" t="n">
        <v>560</v>
      </c>
      <c r="O772" s="49" t="n">
        <v>11.5</v>
      </c>
      <c r="P772" s="24" t="n">
        <f aca="false">O772*'Price Groups'!$B$5</f>
        <v>258.75</v>
      </c>
      <c r="Q772" s="26" t="n">
        <f aca="false">IF(OR(N772="",P772=""),"",(N772-P772)/N772)</f>
        <v>0.537946428571429</v>
      </c>
      <c r="R772" s="27" t="n">
        <v>3</v>
      </c>
      <c r="S772" s="28" t="n">
        <f aca="false">IF(R772="-",0,IFERROR(VLOOKUP(R772,'Price Groups'!$A$13:$C$17,3,FALSE()),0))</f>
        <v>0.16</v>
      </c>
      <c r="T772" s="22" t="n">
        <f aca="false">IF(OR(N772="",R772="-"),"",CEILING(ROUND(N772*(1+S772),2),IF(N772*(1+S772)&lt;100,0.5,IF(N772*(1+S772)&lt;1000,1,5))))</f>
        <v>650</v>
      </c>
      <c r="U772" s="26" t="n">
        <f aca="false">IF(OR(T772="",P772=""),"",(T772-P772)/T772)</f>
        <v>0.601923076923077</v>
      </c>
      <c r="V772" s="26" t="n">
        <f aca="false">IF(T772="",0,T772/N772-1)</f>
        <v>0.160714285714286</v>
      </c>
      <c r="W772" s="19" t="s">
        <v>941</v>
      </c>
    </row>
    <row r="773" customFormat="false" ht="15" hidden="false" customHeight="false" outlineLevel="0" collapsed="false">
      <c r="A773" s="38" t="n">
        <v>722</v>
      </c>
      <c r="B773" s="38" t="s">
        <v>942</v>
      </c>
      <c r="C773" s="38" t="s">
        <v>57</v>
      </c>
      <c r="D773" s="38"/>
      <c r="E773" s="38" t="s">
        <v>58</v>
      </c>
      <c r="F773" s="39" t="n">
        <v>13</v>
      </c>
      <c r="G773" s="39" t="n">
        <v>14</v>
      </c>
      <c r="H773" s="40" t="n">
        <v>597.99</v>
      </c>
      <c r="I773" s="40" t="n">
        <v>0</v>
      </c>
      <c r="J773" s="40" t="n">
        <v>-42.75</v>
      </c>
      <c r="K773" s="41" t="n">
        <f aca="false">H773+I773+J773</f>
        <v>555.24</v>
      </c>
      <c r="L773" s="42" t="n">
        <f aca="false">IF($K$1282=0,0,K773/$K$1282)</f>
        <v>4.59952141649964E-005</v>
      </c>
      <c r="M773" s="43" t="n">
        <f aca="false">IF(F773&lt;=0,0,K773/F773)</f>
        <v>42.7107692307692</v>
      </c>
      <c r="N773" s="40" t="n">
        <v>39.99</v>
      </c>
      <c r="O773" s="44" t="n">
        <v>0.88</v>
      </c>
      <c r="P773" s="43" t="n">
        <f aca="false">O773*'Price Groups'!$B$5</f>
        <v>19.8</v>
      </c>
      <c r="Q773" s="45" t="n">
        <f aca="false">IF(OR(N773="",P773=""),"",(N773-P773)/N773)</f>
        <v>0.504876219054764</v>
      </c>
      <c r="R773" s="46" t="n">
        <v>1</v>
      </c>
      <c r="S773" s="47" t="n">
        <f aca="false">IF(R773="-",0,IFERROR(VLOOKUP(R773,'Price Groups'!$A$13:$C$17,3,FALSE()),0))</f>
        <v>0.22</v>
      </c>
      <c r="T773" s="41" t="n">
        <f aca="false">IF(OR(N773="",R773="-"),"",CEILING(ROUND(N773*(1+S773),2),IF(N773*(1+S773)&lt;100,0.5,IF(N773*(1+S773)&lt;1000,1,5))))</f>
        <v>49</v>
      </c>
      <c r="U773" s="45" t="n">
        <f aca="false">IF(OR(T773="",P773=""),"",(T773-P773)/T773)</f>
        <v>0.595918367346939</v>
      </c>
      <c r="V773" s="45" t="n">
        <f aca="false">IF(T773="",0,T773/N773-1)</f>
        <v>0.225306326581645</v>
      </c>
      <c r="W773" s="38" t="s">
        <v>94</v>
      </c>
    </row>
    <row r="774" customFormat="false" ht="15" hidden="false" customHeight="false" outlineLevel="0" collapsed="false">
      <c r="A774" s="19" t="n">
        <v>723</v>
      </c>
      <c r="B774" s="19" t="s">
        <v>943</v>
      </c>
      <c r="C774" s="19" t="s">
        <v>57</v>
      </c>
      <c r="D774" s="19"/>
      <c r="E774" s="19" t="s">
        <v>58</v>
      </c>
      <c r="F774" s="20" t="n">
        <v>13</v>
      </c>
      <c r="G774" s="20" t="n">
        <v>11</v>
      </c>
      <c r="H774" s="21" t="n">
        <v>1499.85</v>
      </c>
      <c r="I774" s="21" t="n">
        <v>0</v>
      </c>
      <c r="J774" s="21" t="n">
        <v>-199.98</v>
      </c>
      <c r="K774" s="22" t="n">
        <f aca="false">H774+I774+J774</f>
        <v>1299.87</v>
      </c>
      <c r="L774" s="23" t="n">
        <f aca="false">IF($K$1282=0,0,K774/$K$1282)</f>
        <v>0.000107679200051606</v>
      </c>
      <c r="M774" s="24" t="n">
        <f aca="false">IF(F774&lt;=0,0,K774/F774)</f>
        <v>99.99</v>
      </c>
      <c r="N774" s="21" t="n">
        <v>99.99</v>
      </c>
      <c r="O774" s="49" t="n">
        <v>2.1</v>
      </c>
      <c r="P774" s="24" t="n">
        <f aca="false">O774*'Price Groups'!$B$5</f>
        <v>47.25</v>
      </c>
      <c r="Q774" s="26" t="n">
        <f aca="false">IF(OR(N774="",P774=""),"",(N774-P774)/N774)</f>
        <v>0.527452745274528</v>
      </c>
      <c r="R774" s="27" t="n">
        <v>1</v>
      </c>
      <c r="S774" s="28" t="n">
        <f aca="false">IF(R774="-",0,IFERROR(VLOOKUP(R774,'Price Groups'!$A$13:$C$17,3,FALSE()),0))</f>
        <v>0.22</v>
      </c>
      <c r="T774" s="22" t="n">
        <f aca="false">IF(OR(N774="",R774="-"),"",CEILING(ROUND(N774*(1+S774),2),IF(N774*(1+S774)&lt;100,0.5,IF(N774*(1+S774)&lt;1000,1,5))))</f>
        <v>122</v>
      </c>
      <c r="U774" s="26" t="n">
        <f aca="false">IF(OR(T774="",P774=""),"",(T774-P774)/T774)</f>
        <v>0.612704918032787</v>
      </c>
      <c r="V774" s="26" t="n">
        <f aca="false">IF(T774="",0,T774/N774-1)</f>
        <v>0.22012201220122</v>
      </c>
      <c r="W774" s="19" t="s">
        <v>94</v>
      </c>
    </row>
    <row r="775" customFormat="false" ht="15" hidden="false" customHeight="false" outlineLevel="0" collapsed="false">
      <c r="A775" s="38" t="n">
        <v>724</v>
      </c>
      <c r="B775" s="38" t="s">
        <v>944</v>
      </c>
      <c r="C775" s="38" t="s">
        <v>57</v>
      </c>
      <c r="D775" s="38"/>
      <c r="E775" s="38" t="s">
        <v>58</v>
      </c>
      <c r="F775" s="39" t="n">
        <v>13</v>
      </c>
      <c r="G775" s="39" t="n">
        <v>7</v>
      </c>
      <c r="H775" s="40" t="n">
        <v>389.87</v>
      </c>
      <c r="I775" s="40" t="n">
        <v>-2.99</v>
      </c>
      <c r="J775" s="40" t="n">
        <v>0</v>
      </c>
      <c r="K775" s="41" t="n">
        <f aca="false">H775+I775+J775</f>
        <v>386.88</v>
      </c>
      <c r="L775" s="42" t="n">
        <f aca="false">IF($K$1282=0,0,K775/$K$1282)</f>
        <v>3.20485347888369E-005</v>
      </c>
      <c r="M775" s="43" t="n">
        <f aca="false">IF(F775&lt;=0,0,K775/F775)</f>
        <v>29.76</v>
      </c>
      <c r="N775" s="40" t="n">
        <v>29.99</v>
      </c>
      <c r="O775" s="44" t="n">
        <v>0.66</v>
      </c>
      <c r="P775" s="43" t="n">
        <f aca="false">O775*'Price Groups'!$B$5</f>
        <v>14.85</v>
      </c>
      <c r="Q775" s="45" t="n">
        <f aca="false">IF(OR(N775="",P775=""),"",(N775-P775)/N775)</f>
        <v>0.504834944981661</v>
      </c>
      <c r="R775" s="46" t="n">
        <v>1</v>
      </c>
      <c r="S775" s="47" t="n">
        <f aca="false">IF(R775="-",0,IFERROR(VLOOKUP(R775,'Price Groups'!$A$13:$C$17,3,FALSE()),0))</f>
        <v>0.22</v>
      </c>
      <c r="T775" s="41" t="n">
        <f aca="false">IF(OR(N775="",R775="-"),"",CEILING(ROUND(N775*(1+S775),2),IF(N775*(1+S775)&lt;100,0.5,IF(N775*(1+S775)&lt;1000,1,5))))</f>
        <v>37</v>
      </c>
      <c r="U775" s="45" t="n">
        <f aca="false">IF(OR(T775="",P775=""),"",(T775-P775)/T775)</f>
        <v>0.598648648648649</v>
      </c>
      <c r="V775" s="45" t="n">
        <f aca="false">IF(T775="",0,T775/N775-1)</f>
        <v>0.233744581527176</v>
      </c>
      <c r="W775" s="38" t="s">
        <v>94</v>
      </c>
    </row>
    <row r="776" customFormat="false" ht="15" hidden="false" customHeight="false" outlineLevel="0" collapsed="false">
      <c r="A776" s="19" t="n">
        <v>725</v>
      </c>
      <c r="B776" s="19" t="s">
        <v>945</v>
      </c>
      <c r="C776" s="19" t="s">
        <v>57</v>
      </c>
      <c r="D776" s="19"/>
      <c r="E776" s="19" t="s">
        <v>58</v>
      </c>
      <c r="F776" s="20" t="n">
        <v>13</v>
      </c>
      <c r="G776" s="20" t="n">
        <v>17</v>
      </c>
      <c r="H776" s="21" t="n">
        <v>17846</v>
      </c>
      <c r="I776" s="21" t="n">
        <v>-107.99</v>
      </c>
      <c r="J776" s="21" t="n">
        <v>-5716</v>
      </c>
      <c r="K776" s="22" t="n">
        <f aca="false">H776+I776+J776</f>
        <v>12022.01</v>
      </c>
      <c r="L776" s="23" t="n">
        <f aca="false">IF($K$1282=0,0,K776/$K$1282)</f>
        <v>0.000995884526769917</v>
      </c>
      <c r="M776" s="24" t="n">
        <f aca="false">IF(F776&lt;=0,0,K776/F776)</f>
        <v>924.77</v>
      </c>
      <c r="N776" s="21" t="n">
        <v>1280</v>
      </c>
      <c r="O776" s="49" t="n">
        <v>24.4</v>
      </c>
      <c r="P776" s="24" t="n">
        <f aca="false">O776*'Price Groups'!$B$5</f>
        <v>549</v>
      </c>
      <c r="Q776" s="26" t="n">
        <f aca="false">IF(OR(N776="",P776=""),"",(N776-P776)/N776)</f>
        <v>0.57109375</v>
      </c>
      <c r="R776" s="27" t="n">
        <v>3</v>
      </c>
      <c r="S776" s="28" t="n">
        <f aca="false">IF(R776="-",0,IFERROR(VLOOKUP(R776,'Price Groups'!$A$13:$C$17,3,FALSE()),0))</f>
        <v>0.16</v>
      </c>
      <c r="T776" s="22" t="n">
        <f aca="false">IF(OR(N776="",R776="-"),"",CEILING(ROUND(N776*(1+S776),2),IF(N776*(1+S776)&lt;100,0.5,IF(N776*(1+S776)&lt;1000,1,5))))</f>
        <v>1485</v>
      </c>
      <c r="U776" s="26" t="n">
        <f aca="false">IF(OR(T776="",P776=""),"",(T776-P776)/T776)</f>
        <v>0.63030303030303</v>
      </c>
      <c r="V776" s="26" t="n">
        <f aca="false">IF(T776="",0,T776/N776-1)</f>
        <v>0.16015625</v>
      </c>
      <c r="W776" s="19" t="s">
        <v>107</v>
      </c>
    </row>
    <row r="777" customFormat="false" ht="15" hidden="false" customHeight="false" outlineLevel="0" collapsed="false">
      <c r="A777" s="38" t="n">
        <v>726</v>
      </c>
      <c r="B777" s="38" t="s">
        <v>946</v>
      </c>
      <c r="C777" s="38" t="s">
        <v>57</v>
      </c>
      <c r="D777" s="38"/>
      <c r="E777" s="38" t="s">
        <v>58</v>
      </c>
      <c r="F777" s="39" t="n">
        <v>13</v>
      </c>
      <c r="G777" s="39" t="n">
        <v>15</v>
      </c>
      <c r="H777" s="40" t="n">
        <v>2483.32</v>
      </c>
      <c r="I777" s="40" t="n">
        <v>-33.98</v>
      </c>
      <c r="J777" s="40" t="n">
        <v>-643.45</v>
      </c>
      <c r="K777" s="41" t="n">
        <f aca="false">H777+I777+J777</f>
        <v>1805.89</v>
      </c>
      <c r="L777" s="42" t="n">
        <f aca="false">IF($K$1282=0,0,K777/$K$1282)</f>
        <v>0.000149597106311551</v>
      </c>
      <c r="M777" s="43" t="n">
        <f aca="false">IF(F777&lt;=0,0,K777/F777)</f>
        <v>138.914615384615</v>
      </c>
      <c r="N777" s="40" t="n">
        <v>119.99</v>
      </c>
      <c r="O777" s="44" t="n">
        <v>4.46</v>
      </c>
      <c r="P777" s="43" t="n">
        <f aca="false">O777*'Price Groups'!$B$5</f>
        <v>100.35</v>
      </c>
      <c r="Q777" s="45" t="n">
        <f aca="false">IF(OR(N777="",P777=""),"",(N777-P777)/N777)</f>
        <v>0.163680306692224</v>
      </c>
      <c r="R777" s="46" t="n">
        <v>1</v>
      </c>
      <c r="S777" s="47" t="n">
        <f aca="false">IF(R777="-",0,IFERROR(VLOOKUP(R777,'Price Groups'!$A$13:$C$17,3,FALSE()),0))</f>
        <v>0.22</v>
      </c>
      <c r="T777" s="41" t="n">
        <f aca="false">IF(OR(N777="",R777="-"),"",CEILING(ROUND(N777*(1+S777),2),IF(N777*(1+S777)&lt;100,0.5,IF(N777*(1+S777)&lt;1000,1,5))))</f>
        <v>147</v>
      </c>
      <c r="U777" s="45" t="n">
        <f aca="false">IF(OR(T777="",P777=""),"",(T777-P777)/T777)</f>
        <v>0.31734693877551</v>
      </c>
      <c r="V777" s="45" t="n">
        <f aca="false">IF(T777="",0,T777/N777-1)</f>
        <v>0.225102091840987</v>
      </c>
      <c r="W777" s="38" t="s">
        <v>690</v>
      </c>
    </row>
    <row r="778" customFormat="false" ht="15" hidden="false" customHeight="false" outlineLevel="0" collapsed="false">
      <c r="A778" s="19" t="n">
        <v>727</v>
      </c>
      <c r="B778" s="19" t="s">
        <v>947</v>
      </c>
      <c r="C778" s="19" t="s">
        <v>57</v>
      </c>
      <c r="D778" s="19"/>
      <c r="E778" s="19" t="s">
        <v>58</v>
      </c>
      <c r="F778" s="20" t="n">
        <v>13</v>
      </c>
      <c r="G778" s="20" t="n">
        <v>8</v>
      </c>
      <c r="H778" s="21" t="n">
        <v>324.87</v>
      </c>
      <c r="I778" s="21" t="n">
        <v>-2.49</v>
      </c>
      <c r="J778" s="21" t="n">
        <v>0</v>
      </c>
      <c r="K778" s="22" t="n">
        <f aca="false">H778+I778+J778</f>
        <v>322.38</v>
      </c>
      <c r="L778" s="23" t="n">
        <f aca="false">IF($K$1282=0,0,K778/$K$1282)</f>
        <v>2.67054555552762E-005</v>
      </c>
      <c r="M778" s="24" t="n">
        <f aca="false">IF(F778&lt;=0,0,K778/F778)</f>
        <v>24.7984615384615</v>
      </c>
      <c r="N778" s="21" t="n">
        <v>24.99</v>
      </c>
      <c r="O778" s="49" t="n">
        <v>0.54</v>
      </c>
      <c r="P778" s="24" t="n">
        <f aca="false">O778*'Price Groups'!$B$5</f>
        <v>12.15</v>
      </c>
      <c r="Q778" s="26" t="n">
        <f aca="false">IF(OR(N778="",P778=""),"",(N778-P778)/N778)</f>
        <v>0.513805522208884</v>
      </c>
      <c r="R778" s="27" t="n">
        <v>1</v>
      </c>
      <c r="S778" s="28" t="n">
        <f aca="false">IF(R778="-",0,IFERROR(VLOOKUP(R778,'Price Groups'!$A$13:$C$17,3,FALSE()),0))</f>
        <v>0.22</v>
      </c>
      <c r="T778" s="22" t="n">
        <f aca="false">IF(OR(N778="",R778="-"),"",CEILING(ROUND(N778*(1+S778),2),IF(N778*(1+S778)&lt;100,0.5,IF(N778*(1+S778)&lt;1000,1,5))))</f>
        <v>30.5</v>
      </c>
      <c r="U778" s="26" t="n">
        <f aca="false">IF(OR(T778="",P778=""),"",(T778-P778)/T778)</f>
        <v>0.601639344262295</v>
      </c>
      <c r="V778" s="26" t="n">
        <f aca="false">IF(T778="",0,T778/N778-1)</f>
        <v>0.220488195278111</v>
      </c>
      <c r="W778" s="19" t="s">
        <v>94</v>
      </c>
    </row>
    <row r="779" customFormat="false" ht="15" hidden="false" customHeight="false" outlineLevel="0" collapsed="false">
      <c r="A779" s="38" t="n">
        <v>728</v>
      </c>
      <c r="B779" s="38" t="s">
        <v>948</v>
      </c>
      <c r="C779" s="38" t="s">
        <v>57</v>
      </c>
      <c r="D779" s="38"/>
      <c r="E779" s="38" t="s">
        <v>58</v>
      </c>
      <c r="F779" s="39" t="n">
        <v>13</v>
      </c>
      <c r="G779" s="39" t="n">
        <v>7</v>
      </c>
      <c r="H779" s="40" t="n">
        <v>9099.87</v>
      </c>
      <c r="I779" s="40" t="n">
        <v>-77.45</v>
      </c>
      <c r="J779" s="40" t="n">
        <v>0</v>
      </c>
      <c r="K779" s="41" t="n">
        <f aca="false">H779+I779+J779</f>
        <v>9022.42</v>
      </c>
      <c r="L779" s="42" t="n">
        <f aca="false">IF($K$1282=0,0,K779/$K$1282)</f>
        <v>0.000747403177340514</v>
      </c>
      <c r="M779" s="43" t="n">
        <f aca="false">IF(F779&lt;=0,0,K779/F779)</f>
        <v>694.032307692308</v>
      </c>
      <c r="N779" s="40" t="n">
        <v>699.99</v>
      </c>
      <c r="O779" s="44" t="n">
        <v>16.22</v>
      </c>
      <c r="P779" s="43" t="n">
        <f aca="false">O779*'Price Groups'!$B$5</f>
        <v>364.95</v>
      </c>
      <c r="Q779" s="45" t="n">
        <f aca="false">IF(OR(N779="",P779=""),"",(N779-P779)/N779)</f>
        <v>0.478635409077273</v>
      </c>
      <c r="R779" s="46" t="n">
        <v>1</v>
      </c>
      <c r="S779" s="47" t="n">
        <f aca="false">IF(R779="-",0,IFERROR(VLOOKUP(R779,'Price Groups'!$A$13:$C$17,3,FALSE()),0))</f>
        <v>0.22</v>
      </c>
      <c r="T779" s="41" t="n">
        <f aca="false">IF(OR(N779="",R779="-"),"",CEILING(ROUND(N779*(1+S779),2),IF(N779*(1+S779)&lt;100,0.5,IF(N779*(1+S779)&lt;1000,1,5))))</f>
        <v>854</v>
      </c>
      <c r="U779" s="45" t="n">
        <f aca="false">IF(OR(T779="",P779=""),"",(T779-P779)/T779)</f>
        <v>0.572658079625293</v>
      </c>
      <c r="V779" s="45" t="n">
        <f aca="false">IF(T779="",0,T779/N779-1)</f>
        <v>0.220017428820412</v>
      </c>
      <c r="W779" s="38" t="s">
        <v>94</v>
      </c>
    </row>
    <row r="780" customFormat="false" ht="15" hidden="false" customHeight="false" outlineLevel="0" collapsed="false">
      <c r="A780" s="19" t="n">
        <v>729</v>
      </c>
      <c r="B780" s="19" t="s">
        <v>949</v>
      </c>
      <c r="C780" s="19" t="s">
        <v>57</v>
      </c>
      <c r="D780" s="19"/>
      <c r="E780" s="19" t="s">
        <v>58</v>
      </c>
      <c r="F780" s="20" t="n">
        <v>13</v>
      </c>
      <c r="G780" s="20" t="n">
        <v>14</v>
      </c>
      <c r="H780" s="21" t="n">
        <v>6449.85</v>
      </c>
      <c r="I780" s="21" t="n">
        <v>-85.98</v>
      </c>
      <c r="J780" s="21" t="n">
        <v>-859.98</v>
      </c>
      <c r="K780" s="22" t="n">
        <f aca="false">H780+I780+J780</f>
        <v>5503.89</v>
      </c>
      <c r="L780" s="23" t="n">
        <f aca="false">IF($K$1282=0,0,K780/$K$1282)</f>
        <v>0.0004559336490357</v>
      </c>
      <c r="M780" s="24" t="n">
        <f aca="false">IF(F780&lt;=0,0,K780/F780)</f>
        <v>423.376153846154</v>
      </c>
      <c r="N780" s="21" t="n">
        <v>399.99</v>
      </c>
      <c r="O780" s="49" t="n">
        <v>12.63</v>
      </c>
      <c r="P780" s="24" t="n">
        <f aca="false">O780*'Price Groups'!$B$5</f>
        <v>284.175</v>
      </c>
      <c r="Q780" s="26" t="n">
        <f aca="false">IF(OR(N780="",P780=""),"",(N780-P780)/N780)</f>
        <v>0.289544738618465</v>
      </c>
      <c r="R780" s="27" t="n">
        <v>1</v>
      </c>
      <c r="S780" s="28" t="n">
        <f aca="false">IF(R780="-",0,IFERROR(VLOOKUP(R780,'Price Groups'!$A$13:$C$17,3,FALSE()),0))</f>
        <v>0.22</v>
      </c>
      <c r="T780" s="22" t="n">
        <f aca="false">IF(OR(N780="",R780="-"),"",CEILING(ROUND(N780*(1+S780),2),IF(N780*(1+S780)&lt;100,0.5,IF(N780*(1+S780)&lt;1000,1,5))))</f>
        <v>488</v>
      </c>
      <c r="U780" s="26" t="n">
        <f aca="false">IF(OR(T780="",P780=""),"",(T780-P780)/T780)</f>
        <v>0.417674180327869</v>
      </c>
      <c r="V780" s="26" t="n">
        <f aca="false">IF(T780="",0,T780/N780-1)</f>
        <v>0.220030500762519</v>
      </c>
      <c r="W780" s="19" t="s">
        <v>94</v>
      </c>
    </row>
    <row r="781" customFormat="false" ht="15" hidden="false" customHeight="false" outlineLevel="0" collapsed="false">
      <c r="A781" s="38" t="n">
        <v>730</v>
      </c>
      <c r="B781" s="38" t="s">
        <v>950</v>
      </c>
      <c r="C781" s="38" t="s">
        <v>57</v>
      </c>
      <c r="D781" s="38"/>
      <c r="E781" s="38" t="s">
        <v>58</v>
      </c>
      <c r="F781" s="39" t="n">
        <v>13</v>
      </c>
      <c r="G781" s="39" t="n">
        <v>11</v>
      </c>
      <c r="H781" s="40" t="n">
        <v>892.89</v>
      </c>
      <c r="I781" s="40" t="n">
        <v>-0.3</v>
      </c>
      <c r="J781" s="40" t="n">
        <v>-41</v>
      </c>
      <c r="K781" s="41" t="n">
        <f aca="false">H781+I781+J781</f>
        <v>851.59</v>
      </c>
      <c r="L781" s="42" t="n">
        <f aca="false">IF($K$1282=0,0,K781/$K$1282)</f>
        <v>7.05443851861705E-005</v>
      </c>
      <c r="M781" s="43" t="n">
        <f aca="false">IF(F781&lt;=0,0,K781/F781)</f>
        <v>65.5069230769231</v>
      </c>
      <c r="N781" s="40" t="n">
        <v>149.99</v>
      </c>
      <c r="O781" s="44" t="n">
        <v>3.04</v>
      </c>
      <c r="P781" s="43" t="n">
        <f aca="false">O781*'Price Groups'!$B$5</f>
        <v>68.4</v>
      </c>
      <c r="Q781" s="45" t="n">
        <f aca="false">IF(OR(N781="",P781=""),"",(N781-P781)/N781)</f>
        <v>0.543969597973198</v>
      </c>
      <c r="R781" s="46" t="n">
        <v>1</v>
      </c>
      <c r="S781" s="47" t="n">
        <f aca="false">IF(R781="-",0,IFERROR(VLOOKUP(R781,'Price Groups'!$A$13:$C$17,3,FALSE()),0))</f>
        <v>0.22</v>
      </c>
      <c r="T781" s="41" t="n">
        <f aca="false">IF(OR(N781="",R781="-"),"",CEILING(ROUND(N781*(1+S781),2),IF(N781*(1+S781)&lt;100,0.5,IF(N781*(1+S781)&lt;1000,1,5))))</f>
        <v>183</v>
      </c>
      <c r="U781" s="45" t="n">
        <f aca="false">IF(OR(T781="",P781=""),"",(T781-P781)/T781)</f>
        <v>0.626229508196721</v>
      </c>
      <c r="V781" s="45" t="n">
        <f aca="false">IF(T781="",0,T781/N781-1)</f>
        <v>0.220081338755917</v>
      </c>
      <c r="W781" s="38" t="s">
        <v>94</v>
      </c>
    </row>
    <row r="782" customFormat="false" ht="15" hidden="false" customHeight="false" outlineLevel="0" collapsed="false">
      <c r="A782" s="19" t="n">
        <v>731</v>
      </c>
      <c r="B782" s="19" t="s">
        <v>951</v>
      </c>
      <c r="C782" s="19" t="s">
        <v>57</v>
      </c>
      <c r="D782" s="19"/>
      <c r="E782" s="19" t="s">
        <v>58</v>
      </c>
      <c r="F782" s="20" t="n">
        <v>13</v>
      </c>
      <c r="G782" s="20" t="n">
        <v>9</v>
      </c>
      <c r="H782" s="21" t="n">
        <v>268.98</v>
      </c>
      <c r="I782" s="21" t="n">
        <v>0</v>
      </c>
      <c r="J782" s="21" t="n">
        <v>0</v>
      </c>
      <c r="K782" s="22" t="n">
        <f aca="false">H782+I782+J782</f>
        <v>268.98</v>
      </c>
      <c r="L782" s="23" t="n">
        <f aca="false">IF($K$1282=0,0,K782/$K$1282)</f>
        <v>2.22818829805143E-005</v>
      </c>
      <c r="M782" s="24" t="n">
        <f aca="false">IF(F782&lt;=0,0,K782/F782)</f>
        <v>20.6907692307692</v>
      </c>
      <c r="N782" s="21" t="n">
        <v>29.99</v>
      </c>
      <c r="O782" s="49" t="n">
        <v>0.43</v>
      </c>
      <c r="P782" s="24" t="n">
        <f aca="false">O782*'Price Groups'!$B$5</f>
        <v>9.675</v>
      </c>
      <c r="Q782" s="26" t="n">
        <f aca="false">IF(OR(N782="",P782=""),"",(N782-P782)/N782)</f>
        <v>0.677392464154718</v>
      </c>
      <c r="R782" s="27" t="n">
        <v>1</v>
      </c>
      <c r="S782" s="28" t="n">
        <f aca="false">IF(R782="-",0,IFERROR(VLOOKUP(R782,'Price Groups'!$A$13:$C$17,3,FALSE()),0))</f>
        <v>0.22</v>
      </c>
      <c r="T782" s="22" t="n">
        <f aca="false">IF(OR(N782="",R782="-"),"",CEILING(ROUND(N782*(1+S782),2),IF(N782*(1+S782)&lt;100,0.5,IF(N782*(1+S782)&lt;1000,1,5))))</f>
        <v>37</v>
      </c>
      <c r="U782" s="26" t="n">
        <f aca="false">IF(OR(T782="",P782=""),"",(T782-P782)/T782)</f>
        <v>0.738513513513514</v>
      </c>
      <c r="V782" s="26" t="n">
        <f aca="false">IF(T782="",0,T782/N782-1)</f>
        <v>0.233744581527176</v>
      </c>
      <c r="W782" s="19" t="s">
        <v>94</v>
      </c>
    </row>
    <row r="783" customFormat="false" ht="15" hidden="false" customHeight="false" outlineLevel="0" collapsed="false">
      <c r="A783" s="38" t="n">
        <v>732</v>
      </c>
      <c r="B783" s="38" t="s">
        <v>952</v>
      </c>
      <c r="C783" s="38" t="s">
        <v>57</v>
      </c>
      <c r="D783" s="38"/>
      <c r="E783" s="38" t="s">
        <v>58</v>
      </c>
      <c r="F783" s="39" t="n">
        <v>13</v>
      </c>
      <c r="G783" s="39" t="n">
        <v>10</v>
      </c>
      <c r="H783" s="40" t="n">
        <v>10590.38</v>
      </c>
      <c r="I783" s="40" t="n">
        <v>-106.47</v>
      </c>
      <c r="J783" s="40" t="n">
        <v>-1361.54</v>
      </c>
      <c r="K783" s="41" t="n">
        <f aca="false">H783+I783+J783</f>
        <v>9122.37</v>
      </c>
      <c r="L783" s="42" t="n">
        <f aca="false">IF($K$1282=0,0,K783/$K$1282)</f>
        <v>0.00075568287919159</v>
      </c>
      <c r="M783" s="43" t="n">
        <f aca="false">IF(F783&lt;=0,0,K783/F783)</f>
        <v>701.720769230769</v>
      </c>
      <c r="N783" s="40" t="n">
        <v>700</v>
      </c>
      <c r="O783" s="44" t="n">
        <v>19.64</v>
      </c>
      <c r="P783" s="43" t="n">
        <f aca="false">O783*'Price Groups'!$B$5</f>
        <v>441.9</v>
      </c>
      <c r="Q783" s="45" t="n">
        <f aca="false">IF(OR(N783="",P783=""),"",(N783-P783)/N783)</f>
        <v>0.368714285714286</v>
      </c>
      <c r="R783" s="46" t="n">
        <v>1</v>
      </c>
      <c r="S783" s="47" t="n">
        <f aca="false">IF(R783="-",0,IFERROR(VLOOKUP(R783,'Price Groups'!$A$13:$C$17,3,FALSE()),0))</f>
        <v>0.22</v>
      </c>
      <c r="T783" s="41" t="n">
        <f aca="false">IF(OR(N783="",R783="-"),"",CEILING(ROUND(N783*(1+S783),2),IF(N783*(1+S783)&lt;100,0.5,IF(N783*(1+S783)&lt;1000,1,5))))</f>
        <v>854</v>
      </c>
      <c r="U783" s="45" t="n">
        <f aca="false">IF(OR(T783="",P783=""),"",(T783-P783)/T783)</f>
        <v>0.482552693208431</v>
      </c>
      <c r="V783" s="45" t="n">
        <f aca="false">IF(T783="",0,T783/N783-1)</f>
        <v>0.22</v>
      </c>
      <c r="W783" s="38" t="s">
        <v>94</v>
      </c>
    </row>
    <row r="784" customFormat="false" ht="15" hidden="false" customHeight="false" outlineLevel="0" collapsed="false">
      <c r="A784" s="19" t="n">
        <v>733</v>
      </c>
      <c r="B784" s="19" t="s">
        <v>953</v>
      </c>
      <c r="C784" s="19" t="s">
        <v>57</v>
      </c>
      <c r="D784" s="19"/>
      <c r="E784" s="19" t="s">
        <v>58</v>
      </c>
      <c r="F784" s="20" t="n">
        <v>13</v>
      </c>
      <c r="G784" s="20" t="n">
        <v>10</v>
      </c>
      <c r="H784" s="21" t="n">
        <v>324.87</v>
      </c>
      <c r="I784" s="21" t="n">
        <v>-5.09</v>
      </c>
      <c r="J784" s="21" t="n">
        <v>0</v>
      </c>
      <c r="K784" s="22" t="n">
        <f aca="false">H784+I784+J784</f>
        <v>319.78</v>
      </c>
      <c r="L784" s="23" t="n">
        <f aca="false">IF($K$1282=0,0,K784/$K$1282)</f>
        <v>2.64900756171792E-005</v>
      </c>
      <c r="M784" s="24" t="n">
        <f aca="false">IF(F784&lt;=0,0,K784/F784)</f>
        <v>24.5984615384615</v>
      </c>
      <c r="N784" s="21" t="n">
        <v>24.99</v>
      </c>
      <c r="O784" s="49" t="n">
        <v>0.48</v>
      </c>
      <c r="P784" s="24" t="n">
        <f aca="false">O784*'Price Groups'!$B$5</f>
        <v>10.8</v>
      </c>
      <c r="Q784" s="26" t="n">
        <f aca="false">IF(OR(N784="",P784=""),"",(N784-P784)/N784)</f>
        <v>0.567827130852341</v>
      </c>
      <c r="R784" s="27" t="n">
        <v>1</v>
      </c>
      <c r="S784" s="28" t="n">
        <f aca="false">IF(R784="-",0,IFERROR(VLOOKUP(R784,'Price Groups'!$A$13:$C$17,3,FALSE()),0))</f>
        <v>0.22</v>
      </c>
      <c r="T784" s="22" t="n">
        <f aca="false">IF(OR(N784="",R784="-"),"",CEILING(ROUND(N784*(1+S784),2),IF(N784*(1+S784)&lt;100,0.5,IF(N784*(1+S784)&lt;1000,1,5))))</f>
        <v>30.5</v>
      </c>
      <c r="U784" s="26" t="n">
        <f aca="false">IF(OR(T784="",P784=""),"",(T784-P784)/T784)</f>
        <v>0.645901639344262</v>
      </c>
      <c r="V784" s="26" t="n">
        <f aca="false">IF(T784="",0,T784/N784-1)</f>
        <v>0.220488195278111</v>
      </c>
      <c r="W784" s="19" t="s">
        <v>94</v>
      </c>
    </row>
    <row r="785" customFormat="false" ht="15" hidden="false" customHeight="false" outlineLevel="0" collapsed="false">
      <c r="A785" s="38" t="n">
        <v>734</v>
      </c>
      <c r="B785" s="38" t="s">
        <v>954</v>
      </c>
      <c r="C785" s="38" t="s">
        <v>57</v>
      </c>
      <c r="D785" s="38"/>
      <c r="E785" s="38" t="s">
        <v>58</v>
      </c>
      <c r="F785" s="39" t="n">
        <v>13</v>
      </c>
      <c r="G785" s="39" t="n">
        <v>11</v>
      </c>
      <c r="H785" s="40" t="n">
        <v>247.67</v>
      </c>
      <c r="I785" s="40" t="n">
        <v>-1.41</v>
      </c>
      <c r="J785" s="40" t="n">
        <v>-29.99</v>
      </c>
      <c r="K785" s="41" t="n">
        <f aca="false">H785+I785+J785</f>
        <v>216.27</v>
      </c>
      <c r="L785" s="42" t="n">
        <f aca="false">IF($K$1282=0,0,K785/$K$1282)</f>
        <v>1.79154689277858E-005</v>
      </c>
      <c r="M785" s="43" t="n">
        <f aca="false">IF(F785&lt;=0,0,K785/F785)</f>
        <v>16.6361538461538</v>
      </c>
      <c r="N785" s="40" t="n">
        <v>29.99</v>
      </c>
      <c r="O785" s="44" t="n">
        <v>0.5</v>
      </c>
      <c r="P785" s="43" t="n">
        <f aca="false">O785*'Price Groups'!$B$5</f>
        <v>11.25</v>
      </c>
      <c r="Q785" s="45" t="n">
        <f aca="false">IF(OR(N785="",P785=""),"",(N785-P785)/N785)</f>
        <v>0.62487495831944</v>
      </c>
      <c r="R785" s="46" t="n">
        <v>1</v>
      </c>
      <c r="S785" s="47" t="n">
        <f aca="false">IF(R785="-",0,IFERROR(VLOOKUP(R785,'Price Groups'!$A$13:$C$17,3,FALSE()),0))</f>
        <v>0.22</v>
      </c>
      <c r="T785" s="41" t="n">
        <f aca="false">IF(OR(N785="",R785="-"),"",CEILING(ROUND(N785*(1+S785),2),IF(N785*(1+S785)&lt;100,0.5,IF(N785*(1+S785)&lt;1000,1,5))))</f>
        <v>37</v>
      </c>
      <c r="U785" s="45" t="n">
        <f aca="false">IF(OR(T785="",P785=""),"",(T785-P785)/T785)</f>
        <v>0.695945945945946</v>
      </c>
      <c r="V785" s="45" t="n">
        <f aca="false">IF(T785="",0,T785/N785-1)</f>
        <v>0.233744581527176</v>
      </c>
      <c r="W785" s="38" t="s">
        <v>94</v>
      </c>
    </row>
    <row r="786" customFormat="false" ht="15" hidden="false" customHeight="false" outlineLevel="0" collapsed="false">
      <c r="A786" s="19" t="n">
        <v>735</v>
      </c>
      <c r="B786" s="19" t="s">
        <v>955</v>
      </c>
      <c r="C786" s="19" t="s">
        <v>57</v>
      </c>
      <c r="D786" s="19"/>
      <c r="E786" s="19" t="s">
        <v>58</v>
      </c>
      <c r="F786" s="20" t="n">
        <v>13</v>
      </c>
      <c r="G786" s="20" t="n">
        <v>11</v>
      </c>
      <c r="H786" s="21" t="n">
        <v>6299.86</v>
      </c>
      <c r="I786" s="21" t="n">
        <v>0</v>
      </c>
      <c r="J786" s="21" t="n">
        <v>-449.99</v>
      </c>
      <c r="K786" s="22" t="n">
        <f aca="false">H786+I786+J786</f>
        <v>5849.87</v>
      </c>
      <c r="L786" s="23" t="n">
        <f aca="false">IF($K$1282=0,0,K786/$K$1282)</f>
        <v>0.000484594091721396</v>
      </c>
      <c r="M786" s="24" t="n">
        <f aca="false">IF(F786&lt;=0,0,K786/F786)</f>
        <v>449.99</v>
      </c>
      <c r="N786" s="21" t="n">
        <v>449.99</v>
      </c>
      <c r="O786" s="49" t="n">
        <v>15</v>
      </c>
      <c r="P786" s="24" t="n">
        <f aca="false">O786*'Price Groups'!$B$5</f>
        <v>337.5</v>
      </c>
      <c r="Q786" s="26" t="n">
        <f aca="false">IF(OR(N786="",P786=""),"",(N786-P786)/N786)</f>
        <v>0.249983332962955</v>
      </c>
      <c r="R786" s="27" t="n">
        <v>1</v>
      </c>
      <c r="S786" s="28" t="n">
        <f aca="false">IF(R786="-",0,IFERROR(VLOOKUP(R786,'Price Groups'!$A$13:$C$17,3,FALSE()),0))</f>
        <v>0.22</v>
      </c>
      <c r="T786" s="22" t="n">
        <f aca="false">IF(OR(N786="",R786="-"),"",CEILING(ROUND(N786*(1+S786),2),IF(N786*(1+S786)&lt;100,0.5,IF(N786*(1+S786)&lt;1000,1,5))))</f>
        <v>549</v>
      </c>
      <c r="U786" s="26" t="n">
        <f aca="false">IF(OR(T786="",P786=""),"",(T786-P786)/T786)</f>
        <v>0.385245901639344</v>
      </c>
      <c r="V786" s="26" t="n">
        <f aca="false">IF(T786="",0,T786/N786-1)</f>
        <v>0.220027111713594</v>
      </c>
      <c r="W786" s="19" t="s">
        <v>267</v>
      </c>
    </row>
    <row r="787" customFormat="false" ht="15" hidden="false" customHeight="false" outlineLevel="0" collapsed="false">
      <c r="A787" s="38" t="n">
        <v>736</v>
      </c>
      <c r="B787" s="38" t="s">
        <v>956</v>
      </c>
      <c r="C787" s="38" t="s">
        <v>57</v>
      </c>
      <c r="D787" s="38"/>
      <c r="E787" s="38" t="s">
        <v>58</v>
      </c>
      <c r="F787" s="39" t="n">
        <v>13</v>
      </c>
      <c r="G787" s="39" t="n">
        <v>13</v>
      </c>
      <c r="H787" s="40" t="n">
        <v>3289.87</v>
      </c>
      <c r="I787" s="40" t="n">
        <v>-26.49</v>
      </c>
      <c r="J787" s="40" t="n">
        <v>0</v>
      </c>
      <c r="K787" s="41" t="n">
        <f aca="false">H787+I787+J787</f>
        <v>3263.38</v>
      </c>
      <c r="L787" s="42" t="n">
        <f aca="false">IF($K$1282=0,0,K787/$K$1282)</f>
        <v>0.0002703333009181</v>
      </c>
      <c r="M787" s="43" t="n">
        <f aca="false">IF(F787&lt;=0,0,K787/F787)</f>
        <v>251.029230769231</v>
      </c>
      <c r="N787" s="40" t="n">
        <v>174.99</v>
      </c>
      <c r="O787" s="44" t="n">
        <v>5.88</v>
      </c>
      <c r="P787" s="43" t="n">
        <f aca="false">O787*'Price Groups'!$B$5</f>
        <v>132.3</v>
      </c>
      <c r="Q787" s="45" t="n">
        <f aca="false">IF(OR(N787="",P787=""),"",(N787-P787)/N787)</f>
        <v>0.243956797531288</v>
      </c>
      <c r="R787" s="46" t="n">
        <v>1</v>
      </c>
      <c r="S787" s="47" t="n">
        <f aca="false">IF(R787="-",0,IFERROR(VLOOKUP(R787,'Price Groups'!$A$13:$C$17,3,FALSE()),0))</f>
        <v>0.22</v>
      </c>
      <c r="T787" s="41" t="n">
        <f aca="false">IF(OR(N787="",R787="-"),"",CEILING(ROUND(N787*(1+S787),2),IF(N787*(1+S787)&lt;100,0.5,IF(N787*(1+S787)&lt;1000,1,5))))</f>
        <v>214</v>
      </c>
      <c r="U787" s="45" t="n">
        <f aca="false">IF(OR(T787="",P787=""),"",(T787-P787)/T787)</f>
        <v>0.381775700934579</v>
      </c>
      <c r="V787" s="45" t="n">
        <f aca="false">IF(T787="",0,T787/N787-1)</f>
        <v>0.222927024401394</v>
      </c>
      <c r="W787" s="38" t="s">
        <v>244</v>
      </c>
    </row>
    <row r="788" customFormat="false" ht="15" hidden="false" customHeight="false" outlineLevel="0" collapsed="false">
      <c r="A788" s="19" t="n">
        <v>737</v>
      </c>
      <c r="B788" s="19" t="s">
        <v>957</v>
      </c>
      <c r="C788" s="19" t="s">
        <v>57</v>
      </c>
      <c r="D788" s="19"/>
      <c r="E788" s="19" t="s">
        <v>58</v>
      </c>
      <c r="F788" s="20" t="n">
        <v>13</v>
      </c>
      <c r="G788" s="20" t="n">
        <v>11</v>
      </c>
      <c r="H788" s="21" t="n">
        <v>2925</v>
      </c>
      <c r="I788" s="21" t="n">
        <v>-22.5</v>
      </c>
      <c r="J788" s="21" t="n">
        <v>0</v>
      </c>
      <c r="K788" s="22" t="n">
        <f aca="false">H788+I788+J788</f>
        <v>2902.5</v>
      </c>
      <c r="L788" s="23" t="n">
        <f aca="false">IF($K$1282=0,0,K788/$K$1282)</f>
        <v>0.000240438565510234</v>
      </c>
      <c r="M788" s="24" t="n">
        <f aca="false">IF(F788&lt;=0,0,K788/F788)</f>
        <v>223.269230769231</v>
      </c>
      <c r="N788" s="21" t="n">
        <v>225</v>
      </c>
      <c r="O788" s="49" t="n">
        <v>5</v>
      </c>
      <c r="P788" s="24" t="n">
        <f aca="false">O788*'Price Groups'!$B$5</f>
        <v>112.5</v>
      </c>
      <c r="Q788" s="26" t="n">
        <f aca="false">IF(OR(N788="",P788=""),"",(N788-P788)/N788)</f>
        <v>0.5</v>
      </c>
      <c r="R788" s="27" t="n">
        <v>1</v>
      </c>
      <c r="S788" s="28" t="n">
        <f aca="false">IF(R788="-",0,IFERROR(VLOOKUP(R788,'Price Groups'!$A$13:$C$17,3,FALSE()),0))</f>
        <v>0.22</v>
      </c>
      <c r="T788" s="22" t="n">
        <f aca="false">IF(OR(N788="",R788="-"),"",CEILING(ROUND(N788*(1+S788),2),IF(N788*(1+S788)&lt;100,0.5,IF(N788*(1+S788)&lt;1000,1,5))))</f>
        <v>275</v>
      </c>
      <c r="U788" s="26" t="n">
        <f aca="false">IF(OR(T788="",P788=""),"",(T788-P788)/T788)</f>
        <v>0.590909090909091</v>
      </c>
      <c r="V788" s="26" t="n">
        <f aca="false">IF(T788="",0,T788/N788-1)</f>
        <v>0.222222222222222</v>
      </c>
      <c r="W788" s="19" t="s">
        <v>94</v>
      </c>
    </row>
    <row r="789" customFormat="false" ht="15" hidden="false" customHeight="false" outlineLevel="0" collapsed="false">
      <c r="A789" s="38" t="n">
        <v>738</v>
      </c>
      <c r="B789" s="38" t="s">
        <v>204</v>
      </c>
      <c r="C789" s="38" t="s">
        <v>307</v>
      </c>
      <c r="D789" s="38" t="s">
        <v>203</v>
      </c>
      <c r="E789" s="38" t="s">
        <v>58</v>
      </c>
      <c r="F789" s="39" t="n">
        <v>13</v>
      </c>
      <c r="G789" s="39" t="n">
        <v>12</v>
      </c>
      <c r="H789" s="40" t="n">
        <v>6734.84</v>
      </c>
      <c r="I789" s="40" t="n">
        <v>-53.67</v>
      </c>
      <c r="J789" s="40" t="n">
        <v>-483.07</v>
      </c>
      <c r="K789" s="41" t="n">
        <f aca="false">H789+I789+J789</f>
        <v>6198.1</v>
      </c>
      <c r="L789" s="42" t="n">
        <f aca="false">IF($K$1282=0,0,K789/$K$1282)</f>
        <v>0.000513440920891983</v>
      </c>
      <c r="M789" s="43" t="n">
        <f aca="false">IF(F789&lt;=0,0,K789/F789)</f>
        <v>476.776923076923</v>
      </c>
      <c r="N789" s="40" t="n">
        <v>540</v>
      </c>
      <c r="O789" s="44" t="n">
        <v>8.83</v>
      </c>
      <c r="P789" s="43" t="n">
        <f aca="false">O789*'Price Groups'!$B$5</f>
        <v>198.675</v>
      </c>
      <c r="Q789" s="45" t="n">
        <f aca="false">IF(OR(N789="",P789=""),"",(N789-P789)/N789)</f>
        <v>0.632083333333333</v>
      </c>
      <c r="R789" s="46" t="n">
        <v>3</v>
      </c>
      <c r="S789" s="47" t="n">
        <f aca="false">IF(R789="-",0,IFERROR(VLOOKUP(R789,'Price Groups'!$A$13:$C$17,3,FALSE()),0))</f>
        <v>0.16</v>
      </c>
      <c r="T789" s="41" t="n">
        <f aca="false">IF(OR(N789="",R789="-"),"",CEILING(ROUND(N789*(1+S789),2),IF(N789*(1+S789)&lt;100,0.5,IF(N789*(1+S789)&lt;1000,1,5))))</f>
        <v>627</v>
      </c>
      <c r="U789" s="45" t="n">
        <f aca="false">IF(OR(T789="",P789=""),"",(T789-P789)/T789)</f>
        <v>0.683133971291866</v>
      </c>
      <c r="V789" s="45" t="n">
        <f aca="false">IF(T789="",0,T789/N789-1)</f>
        <v>0.161111111111111</v>
      </c>
      <c r="W789" s="38" t="s">
        <v>958</v>
      </c>
    </row>
    <row r="790" customFormat="false" ht="15" hidden="false" customHeight="false" outlineLevel="0" collapsed="false">
      <c r="A790" s="19" t="n">
        <v>739</v>
      </c>
      <c r="B790" s="19" t="s">
        <v>959</v>
      </c>
      <c r="C790" s="19" t="s">
        <v>57</v>
      </c>
      <c r="D790" s="19"/>
      <c r="E790" s="19" t="s">
        <v>58</v>
      </c>
      <c r="F790" s="20" t="n">
        <v>13</v>
      </c>
      <c r="G790" s="20" t="n">
        <v>13</v>
      </c>
      <c r="H790" s="21" t="n">
        <v>26180</v>
      </c>
      <c r="I790" s="21" t="n">
        <v>0</v>
      </c>
      <c r="J790" s="21" t="n">
        <v>-1870</v>
      </c>
      <c r="K790" s="22" t="n">
        <f aca="false">H790+I790+J790</f>
        <v>24310</v>
      </c>
      <c r="L790" s="23" t="n">
        <f aca="false">IF($K$1282=0,0,K790/$K$1282)</f>
        <v>0.00201380242120716</v>
      </c>
      <c r="M790" s="24" t="n">
        <f aca="false">IF(F790&lt;=0,0,K790/F790)</f>
        <v>1870</v>
      </c>
      <c r="N790" s="21" t="n">
        <v>1970</v>
      </c>
      <c r="O790" s="49" t="n">
        <v>35.65</v>
      </c>
      <c r="P790" s="24" t="n">
        <f aca="false">O790*'Price Groups'!$B$5</f>
        <v>802.125</v>
      </c>
      <c r="Q790" s="26" t="n">
        <f aca="false">IF(OR(N790="",P790=""),"",(N790-P790)/N790)</f>
        <v>0.592829949238579</v>
      </c>
      <c r="R790" s="27" t="n">
        <v>3</v>
      </c>
      <c r="S790" s="28" t="n">
        <f aca="false">IF(R790="-",0,IFERROR(VLOOKUP(R790,'Price Groups'!$A$13:$C$17,3,FALSE()),0))</f>
        <v>0.16</v>
      </c>
      <c r="T790" s="22" t="n">
        <f aca="false">IF(OR(N790="",R790="-"),"",CEILING(ROUND(N790*(1+S790),2),IF(N790*(1+S790)&lt;100,0.5,IF(N790*(1+S790)&lt;1000,1,5))))</f>
        <v>2290</v>
      </c>
      <c r="U790" s="26" t="n">
        <f aca="false">IF(OR(T790="",P790=""),"",(T790-P790)/T790)</f>
        <v>0.649727074235808</v>
      </c>
      <c r="V790" s="26" t="n">
        <f aca="false">IF(T790="",0,T790/N790-1)</f>
        <v>0.16243654822335</v>
      </c>
      <c r="W790" s="19" t="s">
        <v>107</v>
      </c>
    </row>
    <row r="791" customFormat="false" ht="15" hidden="false" customHeight="false" outlineLevel="0" collapsed="false">
      <c r="A791" s="38" t="n">
        <v>740</v>
      </c>
      <c r="B791" s="38" t="s">
        <v>960</v>
      </c>
      <c r="C791" s="38" t="s">
        <v>57</v>
      </c>
      <c r="D791" s="38"/>
      <c r="E791" s="38" t="s">
        <v>58</v>
      </c>
      <c r="F791" s="39" t="n">
        <v>13</v>
      </c>
      <c r="G791" s="39" t="n">
        <v>7</v>
      </c>
      <c r="H791" s="40" t="n">
        <v>681.87</v>
      </c>
      <c r="I791" s="40" t="n">
        <v>-21.56</v>
      </c>
      <c r="J791" s="40" t="n">
        <v>0</v>
      </c>
      <c r="K791" s="41" t="n">
        <f aca="false">H791+I791+J791</f>
        <v>660.31</v>
      </c>
      <c r="L791" s="42" t="n">
        <f aca="false">IF($K$1282=0,0,K791/$K$1282)</f>
        <v>5.4699048817248E-005</v>
      </c>
      <c r="M791" s="43" t="n">
        <f aca="false">IF(F791&lt;=0,0,K791/F791)</f>
        <v>50.7930769230769</v>
      </c>
      <c r="N791" s="40" t="n">
        <v>53.99</v>
      </c>
      <c r="O791" s="44" t="n">
        <v>1.5</v>
      </c>
      <c r="P791" s="43" t="n">
        <f aca="false">O791*'Price Groups'!$B$5</f>
        <v>33.75</v>
      </c>
      <c r="Q791" s="45" t="n">
        <f aca="false">IF(OR(N791="",P791=""),"",(N791-P791)/N791)</f>
        <v>0.374884237821819</v>
      </c>
      <c r="R791" s="46" t="n">
        <v>1</v>
      </c>
      <c r="S791" s="47" t="n">
        <f aca="false">IF(R791="-",0,IFERROR(VLOOKUP(R791,'Price Groups'!$A$13:$C$17,3,FALSE()),0))</f>
        <v>0.22</v>
      </c>
      <c r="T791" s="41" t="n">
        <f aca="false">IF(OR(N791="",R791="-"),"",CEILING(ROUND(N791*(1+S791),2),IF(N791*(1+S791)&lt;100,0.5,IF(N791*(1+S791)&lt;1000,1,5))))</f>
        <v>66</v>
      </c>
      <c r="U791" s="45" t="n">
        <f aca="false">IF(OR(T791="",P791=""),"",(T791-P791)/T791)</f>
        <v>0.488636363636364</v>
      </c>
      <c r="V791" s="45" t="n">
        <f aca="false">IF(T791="",0,T791/N791-1)</f>
        <v>0.222448601592887</v>
      </c>
      <c r="W791" s="38" t="s">
        <v>94</v>
      </c>
    </row>
    <row r="792" customFormat="false" ht="15" hidden="false" customHeight="false" outlineLevel="0" collapsed="false">
      <c r="A792" s="19" t="n">
        <v>741</v>
      </c>
      <c r="B792" s="19" t="s">
        <v>961</v>
      </c>
      <c r="C792" s="19" t="s">
        <v>57</v>
      </c>
      <c r="D792" s="19"/>
      <c r="E792" s="19" t="s">
        <v>58</v>
      </c>
      <c r="F792" s="20" t="n">
        <v>12</v>
      </c>
      <c r="G792" s="20" t="n">
        <v>9</v>
      </c>
      <c r="H792" s="21" t="n">
        <v>4770</v>
      </c>
      <c r="I792" s="21" t="n">
        <v>-79.46</v>
      </c>
      <c r="J792" s="21" t="n">
        <v>0</v>
      </c>
      <c r="K792" s="22" t="n">
        <f aca="false">H792+I792+J792</f>
        <v>4690.54</v>
      </c>
      <c r="L792" s="23" t="n">
        <f aca="false">IF($K$1282=0,0,K792/$K$1282)</f>
        <v>0.000388557005708311</v>
      </c>
      <c r="M792" s="24" t="n">
        <f aca="false">IF(F792&lt;=0,0,K792/F792)</f>
        <v>390.878333333333</v>
      </c>
      <c r="N792" s="21" t="n">
        <v>410</v>
      </c>
      <c r="O792" s="49" t="n">
        <v>18.32</v>
      </c>
      <c r="P792" s="24" t="n">
        <f aca="false">O792*'Price Groups'!$B$5</f>
        <v>412.2</v>
      </c>
      <c r="Q792" s="26" t="n">
        <f aca="false">IF(OR(N792="",P792=""),"",(N792-P792)/N792)</f>
        <v>-0.00536585365853656</v>
      </c>
      <c r="R792" s="27" t="n">
        <v>1</v>
      </c>
      <c r="S792" s="28" t="n">
        <f aca="false">IF(R792="-",0,IFERROR(VLOOKUP(R792,'Price Groups'!$A$13:$C$17,3,FALSE()),0))</f>
        <v>0.22</v>
      </c>
      <c r="T792" s="22" t="n">
        <f aca="false">IF(OR(N792="",R792="-"),"",CEILING(ROUND(N792*(1+S792),2),IF(N792*(1+S792)&lt;100,0.5,IF(N792*(1+S792)&lt;1000,1,5))))</f>
        <v>501</v>
      </c>
      <c r="U792" s="26" t="n">
        <f aca="false">IF(OR(T792="",P792=""),"",(T792-P792)/T792)</f>
        <v>0.177245508982036</v>
      </c>
      <c r="V792" s="26" t="n">
        <f aca="false">IF(T792="",0,T792/N792-1)</f>
        <v>0.221951219512195</v>
      </c>
      <c r="W792" s="19" t="s">
        <v>365</v>
      </c>
    </row>
    <row r="793" customFormat="false" ht="15" hidden="false" customHeight="false" outlineLevel="0" collapsed="false">
      <c r="A793" s="38" t="n">
        <v>742</v>
      </c>
      <c r="B793" s="38" t="s">
        <v>376</v>
      </c>
      <c r="C793" s="38" t="s">
        <v>307</v>
      </c>
      <c r="D793" s="38" t="s">
        <v>375</v>
      </c>
      <c r="E793" s="38" t="s">
        <v>58</v>
      </c>
      <c r="F793" s="39" t="n">
        <v>12</v>
      </c>
      <c r="G793" s="39" t="n">
        <v>12</v>
      </c>
      <c r="H793" s="40" t="n">
        <v>16680</v>
      </c>
      <c r="I793" s="40" t="n">
        <v>0</v>
      </c>
      <c r="J793" s="40" t="n">
        <v>0</v>
      </c>
      <c r="K793" s="41" t="n">
        <f aca="false">H793+I793+J793</f>
        <v>16680</v>
      </c>
      <c r="L793" s="42" t="n">
        <f aca="false">IF($K$1282=0,0,K793/$K$1282)</f>
        <v>0.00138174514133013</v>
      </c>
      <c r="M793" s="43" t="n">
        <f aca="false">IF(F793&lt;=0,0,K793/F793)</f>
        <v>1390</v>
      </c>
      <c r="N793" s="40" t="n">
        <v>1390</v>
      </c>
      <c r="O793" s="44" t="n">
        <v>35.7</v>
      </c>
      <c r="P793" s="43" t="n">
        <f aca="false">O793*'Price Groups'!$B$5</f>
        <v>803.25</v>
      </c>
      <c r="Q793" s="45" t="n">
        <f aca="false">IF(OR(N793="",P793=""),"",(N793-P793)/N793)</f>
        <v>0.422122302158273</v>
      </c>
      <c r="R793" s="46" t="n">
        <v>3</v>
      </c>
      <c r="S793" s="47" t="n">
        <f aca="false">IF(R793="-",0,IFERROR(VLOOKUP(R793,'Price Groups'!$A$13:$C$17,3,FALSE()),0))</f>
        <v>0.16</v>
      </c>
      <c r="T793" s="41" t="n">
        <f aca="false">IF(OR(N793="",R793="-"),"",CEILING(ROUND(N793*(1+S793),2),IF(N793*(1+S793)&lt;100,0.5,IF(N793*(1+S793)&lt;1000,1,5))))</f>
        <v>1615</v>
      </c>
      <c r="U793" s="45" t="n">
        <f aca="false">IF(OR(T793="",P793=""),"",(T793-P793)/T793)</f>
        <v>0.502631578947368</v>
      </c>
      <c r="V793" s="45" t="n">
        <f aca="false">IF(T793="",0,T793/N793-1)</f>
        <v>0.161870503597122</v>
      </c>
      <c r="W793" s="38" t="s">
        <v>962</v>
      </c>
    </row>
    <row r="794" customFormat="false" ht="15" hidden="false" customHeight="false" outlineLevel="0" collapsed="false">
      <c r="A794" s="19" t="n">
        <v>743</v>
      </c>
      <c r="B794" s="19" t="s">
        <v>963</v>
      </c>
      <c r="C794" s="19" t="s">
        <v>57</v>
      </c>
      <c r="D794" s="19"/>
      <c r="E794" s="19" t="s">
        <v>58</v>
      </c>
      <c r="F794" s="20" t="n">
        <v>12</v>
      </c>
      <c r="G794" s="20" t="n">
        <v>16</v>
      </c>
      <c r="H794" s="21" t="n">
        <v>2021.83</v>
      </c>
      <c r="I794" s="21" t="n">
        <v>-29.98</v>
      </c>
      <c r="J794" s="21" t="n">
        <v>-587.95</v>
      </c>
      <c r="K794" s="22" t="n">
        <f aca="false">H794+I794+J794</f>
        <v>1403.9</v>
      </c>
      <c r="L794" s="23" t="n">
        <f aca="false">IF($K$1282=0,0,K794/$K$1282)</f>
        <v>0.000116296882728619</v>
      </c>
      <c r="M794" s="24" t="n">
        <f aca="false">IF(F794&lt;=0,0,K794/F794)</f>
        <v>116.991666666667</v>
      </c>
      <c r="N794" s="21" t="n">
        <v>119.99</v>
      </c>
      <c r="O794" s="49" t="n">
        <v>2.5</v>
      </c>
      <c r="P794" s="24" t="n">
        <f aca="false">O794*'Price Groups'!$B$5</f>
        <v>56.25</v>
      </c>
      <c r="Q794" s="26" t="n">
        <f aca="false">IF(OR(N794="",P794=""),"",(N794-P794)/N794)</f>
        <v>0.53121093424452</v>
      </c>
      <c r="R794" s="27" t="n">
        <v>1</v>
      </c>
      <c r="S794" s="28" t="n">
        <f aca="false">IF(R794="-",0,IFERROR(VLOOKUP(R794,'Price Groups'!$A$13:$C$17,3,FALSE()),0))</f>
        <v>0.22</v>
      </c>
      <c r="T794" s="22" t="n">
        <f aca="false">IF(OR(N794="",R794="-"),"",CEILING(ROUND(N794*(1+S794),2),IF(N794*(1+S794)&lt;100,0.5,IF(N794*(1+S794)&lt;1000,1,5))))</f>
        <v>147</v>
      </c>
      <c r="U794" s="26" t="n">
        <f aca="false">IF(OR(T794="",P794=""),"",(T794-P794)/T794)</f>
        <v>0.61734693877551</v>
      </c>
      <c r="V794" s="26" t="n">
        <f aca="false">IF(T794="",0,T794/N794-1)</f>
        <v>0.225102091840987</v>
      </c>
      <c r="W794" s="19" t="s">
        <v>94</v>
      </c>
    </row>
    <row r="795" customFormat="false" ht="15" hidden="false" customHeight="false" outlineLevel="0" collapsed="false">
      <c r="A795" s="38" t="n">
        <v>744</v>
      </c>
      <c r="B795" s="38" t="s">
        <v>964</v>
      </c>
      <c r="C795" s="38" t="s">
        <v>57</v>
      </c>
      <c r="D795" s="38"/>
      <c r="E795" s="38" t="s">
        <v>58</v>
      </c>
      <c r="F795" s="39" t="n">
        <v>12</v>
      </c>
      <c r="G795" s="39" t="n">
        <v>10</v>
      </c>
      <c r="H795" s="40" t="n">
        <v>540</v>
      </c>
      <c r="I795" s="40" t="n">
        <v>-4.5</v>
      </c>
      <c r="J795" s="40" t="n">
        <v>0</v>
      </c>
      <c r="K795" s="41" t="n">
        <f aca="false">H795+I795+J795</f>
        <v>535.5</v>
      </c>
      <c r="L795" s="42" t="n">
        <f aca="false">IF($K$1282=0,0,K795/$K$1282)</f>
        <v>4.43599834042137E-005</v>
      </c>
      <c r="M795" s="43" t="n">
        <f aca="false">IF(F795&lt;=0,0,K795/F795)</f>
        <v>44.625</v>
      </c>
      <c r="N795" s="40" t="n">
        <v>45</v>
      </c>
      <c r="O795" s="44" t="n">
        <v>0.88</v>
      </c>
      <c r="P795" s="43" t="n">
        <f aca="false">O795*'Price Groups'!$B$5</f>
        <v>19.8</v>
      </c>
      <c r="Q795" s="45" t="n">
        <f aca="false">IF(OR(N795="",P795=""),"",(N795-P795)/N795)</f>
        <v>0.56</v>
      </c>
      <c r="R795" s="46" t="n">
        <v>1</v>
      </c>
      <c r="S795" s="47" t="n">
        <f aca="false">IF(R795="-",0,IFERROR(VLOOKUP(R795,'Price Groups'!$A$13:$C$17,3,FALSE()),0))</f>
        <v>0.22</v>
      </c>
      <c r="T795" s="41" t="n">
        <f aca="false">IF(OR(N795="",R795="-"),"",CEILING(ROUND(N795*(1+S795),2),IF(N795*(1+S795)&lt;100,0.5,IF(N795*(1+S795)&lt;1000,1,5))))</f>
        <v>55</v>
      </c>
      <c r="U795" s="45" t="n">
        <f aca="false">IF(OR(T795="",P795=""),"",(T795-P795)/T795)</f>
        <v>0.64</v>
      </c>
      <c r="V795" s="45" t="n">
        <f aca="false">IF(T795="",0,T795/N795-1)</f>
        <v>0.222222222222222</v>
      </c>
      <c r="W795" s="38" t="s">
        <v>94</v>
      </c>
    </row>
    <row r="796" customFormat="false" ht="15" hidden="false" customHeight="false" outlineLevel="0" collapsed="false">
      <c r="A796" s="19" t="n">
        <v>745</v>
      </c>
      <c r="B796" s="19" t="s">
        <v>965</v>
      </c>
      <c r="C796" s="19" t="s">
        <v>57</v>
      </c>
      <c r="D796" s="19"/>
      <c r="E796" s="19" t="s">
        <v>58</v>
      </c>
      <c r="F796" s="20" t="n">
        <v>12</v>
      </c>
      <c r="G796" s="20" t="n">
        <v>11</v>
      </c>
      <c r="H796" s="21" t="n">
        <v>529.98</v>
      </c>
      <c r="I796" s="21" t="n">
        <v>0</v>
      </c>
      <c r="J796" s="21" t="n">
        <v>0</v>
      </c>
      <c r="K796" s="22" t="n">
        <f aca="false">H796+I796+J796</f>
        <v>529.98</v>
      </c>
      <c r="L796" s="23" t="n">
        <f aca="false">IF($K$1282=0,0,K796/$K$1282)</f>
        <v>4.39027152279461E-005</v>
      </c>
      <c r="M796" s="24" t="n">
        <f aca="false">IF(F796&lt;=0,0,K796/F796)</f>
        <v>44.165</v>
      </c>
      <c r="N796" s="21" t="n">
        <v>39.99</v>
      </c>
      <c r="O796" s="49" t="n">
        <v>0.88</v>
      </c>
      <c r="P796" s="24" t="n">
        <f aca="false">O796*'Price Groups'!$B$5</f>
        <v>19.8</v>
      </c>
      <c r="Q796" s="26" t="n">
        <f aca="false">IF(OR(N796="",P796=""),"",(N796-P796)/N796)</f>
        <v>0.504876219054764</v>
      </c>
      <c r="R796" s="27" t="n">
        <v>1</v>
      </c>
      <c r="S796" s="28" t="n">
        <f aca="false">IF(R796="-",0,IFERROR(VLOOKUP(R796,'Price Groups'!$A$13:$C$17,3,FALSE()),0))</f>
        <v>0.22</v>
      </c>
      <c r="T796" s="22" t="n">
        <f aca="false">IF(OR(N796="",R796="-"),"",CEILING(ROUND(N796*(1+S796),2),IF(N796*(1+S796)&lt;100,0.5,IF(N796*(1+S796)&lt;1000,1,5))))</f>
        <v>49</v>
      </c>
      <c r="U796" s="26" t="n">
        <f aca="false">IF(OR(T796="",P796=""),"",(T796-P796)/T796)</f>
        <v>0.595918367346939</v>
      </c>
      <c r="V796" s="26" t="n">
        <f aca="false">IF(T796="",0,T796/N796-1)</f>
        <v>0.225306326581645</v>
      </c>
      <c r="W796" s="19" t="s">
        <v>94</v>
      </c>
    </row>
    <row r="797" customFormat="false" ht="15" hidden="false" customHeight="false" outlineLevel="0" collapsed="false">
      <c r="A797" s="38" t="n">
        <v>746</v>
      </c>
      <c r="B797" s="38" t="s">
        <v>966</v>
      </c>
      <c r="C797" s="38" t="s">
        <v>57</v>
      </c>
      <c r="D797" s="38"/>
      <c r="E797" s="38" t="s">
        <v>58</v>
      </c>
      <c r="F797" s="39" t="n">
        <v>12</v>
      </c>
      <c r="G797" s="39" t="n">
        <v>9</v>
      </c>
      <c r="H797" s="40" t="n">
        <v>585</v>
      </c>
      <c r="I797" s="40" t="n">
        <v>-4.5</v>
      </c>
      <c r="J797" s="40" t="n">
        <v>-45</v>
      </c>
      <c r="K797" s="41" t="n">
        <f aca="false">H797+I797+J797</f>
        <v>535.5</v>
      </c>
      <c r="L797" s="42" t="n">
        <f aca="false">IF($K$1282=0,0,K797/$K$1282)</f>
        <v>4.43599834042137E-005</v>
      </c>
      <c r="M797" s="43" t="n">
        <f aca="false">IF(F797&lt;=0,0,K797/F797)</f>
        <v>44.625</v>
      </c>
      <c r="N797" s="40" t="n">
        <v>45</v>
      </c>
      <c r="O797" s="44" t="n">
        <v>0.88</v>
      </c>
      <c r="P797" s="43" t="n">
        <f aca="false">O797*'Price Groups'!$B$5</f>
        <v>19.8</v>
      </c>
      <c r="Q797" s="45" t="n">
        <f aca="false">IF(OR(N797="",P797=""),"",(N797-P797)/N797)</f>
        <v>0.56</v>
      </c>
      <c r="R797" s="46" t="n">
        <v>1</v>
      </c>
      <c r="S797" s="47" t="n">
        <f aca="false">IF(R797="-",0,IFERROR(VLOOKUP(R797,'Price Groups'!$A$13:$C$17,3,FALSE()),0))</f>
        <v>0.22</v>
      </c>
      <c r="T797" s="41" t="n">
        <f aca="false">IF(OR(N797="",R797="-"),"",CEILING(ROUND(N797*(1+S797),2),IF(N797*(1+S797)&lt;100,0.5,IF(N797*(1+S797)&lt;1000,1,5))))</f>
        <v>55</v>
      </c>
      <c r="U797" s="45" t="n">
        <f aca="false">IF(OR(T797="",P797=""),"",(T797-P797)/T797)</f>
        <v>0.64</v>
      </c>
      <c r="V797" s="45" t="n">
        <f aca="false">IF(T797="",0,T797/N797-1)</f>
        <v>0.222222222222222</v>
      </c>
      <c r="W797" s="38" t="s">
        <v>94</v>
      </c>
    </row>
    <row r="798" customFormat="false" ht="15" hidden="false" customHeight="false" outlineLevel="0" collapsed="false">
      <c r="A798" s="19" t="n">
        <v>747</v>
      </c>
      <c r="B798" s="19" t="s">
        <v>197</v>
      </c>
      <c r="C798" s="19" t="s">
        <v>307</v>
      </c>
      <c r="D798" s="19" t="s">
        <v>196</v>
      </c>
      <c r="E798" s="19" t="s">
        <v>58</v>
      </c>
      <c r="F798" s="20" t="n">
        <v>12</v>
      </c>
      <c r="G798" s="20" t="n">
        <v>7</v>
      </c>
      <c r="H798" s="21" t="n">
        <v>11330</v>
      </c>
      <c r="I798" s="21" t="n">
        <v>-1.51</v>
      </c>
      <c r="J798" s="21" t="n">
        <v>0</v>
      </c>
      <c r="K798" s="22" t="n">
        <f aca="false">H798+I798+J798</f>
        <v>11328.49</v>
      </c>
      <c r="L798" s="23" t="n">
        <f aca="false">IF($K$1282=0,0,K798/$K$1282)</f>
        <v>0.000938434413435668</v>
      </c>
      <c r="M798" s="24" t="n">
        <f aca="false">IF(F798&lt;=0,0,K798/F798)</f>
        <v>944.040833333333</v>
      </c>
      <c r="N798" s="21" t="n">
        <v>1225</v>
      </c>
      <c r="O798" s="49" t="n">
        <v>25</v>
      </c>
      <c r="P798" s="24" t="n">
        <f aca="false">O798*'Price Groups'!$B$5</f>
        <v>562.5</v>
      </c>
      <c r="Q798" s="26" t="n">
        <f aca="false">IF(OR(N798="",P798=""),"",(N798-P798)/N798)</f>
        <v>0.540816326530612</v>
      </c>
      <c r="R798" s="27" t="n">
        <v>3</v>
      </c>
      <c r="S798" s="28" t="n">
        <f aca="false">IF(R798="-",0,IFERROR(VLOOKUP(R798,'Price Groups'!$A$13:$C$17,3,FALSE()),0))</f>
        <v>0.16</v>
      </c>
      <c r="T798" s="22" t="n">
        <f aca="false">IF(OR(N798="",R798="-"),"",CEILING(ROUND(N798*(1+S798),2),IF(N798*(1+S798)&lt;100,0.5,IF(N798*(1+S798)&lt;1000,1,5))))</f>
        <v>1425</v>
      </c>
      <c r="U798" s="26" t="n">
        <f aca="false">IF(OR(T798="",P798=""),"",(T798-P798)/T798)</f>
        <v>0.605263157894737</v>
      </c>
      <c r="V798" s="26" t="n">
        <f aca="false">IF(T798="",0,T798/N798-1)</f>
        <v>0.163265306122449</v>
      </c>
      <c r="W798" s="19" t="s">
        <v>967</v>
      </c>
    </row>
    <row r="799" customFormat="false" ht="15" hidden="false" customHeight="false" outlineLevel="0" collapsed="false">
      <c r="A799" s="38" t="n">
        <v>748</v>
      </c>
      <c r="B799" s="38" t="s">
        <v>968</v>
      </c>
      <c r="C799" s="38" t="s">
        <v>57</v>
      </c>
      <c r="D799" s="38"/>
      <c r="E799" s="38" t="s">
        <v>58</v>
      </c>
      <c r="F799" s="39" t="n">
        <v>12</v>
      </c>
      <c r="G799" s="39" t="n">
        <v>8</v>
      </c>
      <c r="H799" s="40" t="n">
        <v>429.87</v>
      </c>
      <c r="I799" s="40" t="n">
        <v>0</v>
      </c>
      <c r="J799" s="40" t="n">
        <v>-29.99</v>
      </c>
      <c r="K799" s="41" t="n">
        <f aca="false">H799+I799+J799</f>
        <v>399.88</v>
      </c>
      <c r="L799" s="42" t="n">
        <f aca="false">IF($K$1282=0,0,K799/$K$1282)</f>
        <v>3.3125434479322E-005</v>
      </c>
      <c r="M799" s="43" t="n">
        <f aca="false">IF(F799&lt;=0,0,K799/F799)</f>
        <v>33.3233333333333</v>
      </c>
      <c r="N799" s="40" t="n">
        <v>34.99</v>
      </c>
      <c r="O799" s="44" t="n">
        <v>1</v>
      </c>
      <c r="P799" s="43" t="n">
        <f aca="false">O799*'Price Groups'!$B$5</f>
        <v>22.5</v>
      </c>
      <c r="Q799" s="45" t="n">
        <f aca="false">IF(OR(N799="",P799=""),"",(N799-P799)/N799)</f>
        <v>0.356959131180337</v>
      </c>
      <c r="R799" s="46" t="n">
        <v>1</v>
      </c>
      <c r="S799" s="47" t="n">
        <f aca="false">IF(R799="-",0,IFERROR(VLOOKUP(R799,'Price Groups'!$A$13:$C$17,3,FALSE()),0))</f>
        <v>0.22</v>
      </c>
      <c r="T799" s="41" t="n">
        <f aca="false">IF(OR(N799="",R799="-"),"",CEILING(ROUND(N799*(1+S799),2),IF(N799*(1+S799)&lt;100,0.5,IF(N799*(1+S799)&lt;1000,1,5))))</f>
        <v>43</v>
      </c>
      <c r="U799" s="45" t="n">
        <f aca="false">IF(OR(T799="",P799=""),"",(T799-P799)/T799)</f>
        <v>0.476744186046512</v>
      </c>
      <c r="V799" s="45" t="n">
        <f aca="false">IF(T799="",0,T799/N799-1)</f>
        <v>0.2289225492998</v>
      </c>
      <c r="W799" s="38" t="s">
        <v>94</v>
      </c>
    </row>
    <row r="800" customFormat="false" ht="15" hidden="false" customHeight="false" outlineLevel="0" collapsed="false">
      <c r="A800" s="19" t="n">
        <v>749</v>
      </c>
      <c r="B800" s="19" t="s">
        <v>969</v>
      </c>
      <c r="C800" s="19" t="s">
        <v>57</v>
      </c>
      <c r="D800" s="19"/>
      <c r="E800" s="19" t="s">
        <v>58</v>
      </c>
      <c r="F800" s="20" t="n">
        <v>12</v>
      </c>
      <c r="G800" s="20" t="n">
        <v>9</v>
      </c>
      <c r="H800" s="21" t="n">
        <v>909.86</v>
      </c>
      <c r="I800" s="21" t="n">
        <v>-6.49</v>
      </c>
      <c r="J800" s="21" t="n">
        <v>-129.98</v>
      </c>
      <c r="K800" s="22" t="n">
        <f aca="false">H800+I800+J800</f>
        <v>773.39</v>
      </c>
      <c r="L800" s="23" t="n">
        <f aca="false">IF($K$1282=0,0,K800/$K$1282)</f>
        <v>6.40664193557139E-005</v>
      </c>
      <c r="M800" s="24" t="n">
        <f aca="false">IF(F800&lt;=0,0,K800/F800)</f>
        <v>64.4491666666667</v>
      </c>
      <c r="N800" s="21" t="n">
        <v>79.99</v>
      </c>
      <c r="O800" s="49" t="n">
        <v>1.65</v>
      </c>
      <c r="P800" s="24" t="n">
        <f aca="false">O800*'Price Groups'!$B$5</f>
        <v>37.125</v>
      </c>
      <c r="Q800" s="26" t="n">
        <f aca="false">IF(OR(N800="",P800=""),"",(N800-P800)/N800)</f>
        <v>0.535879484935617</v>
      </c>
      <c r="R800" s="27" t="n">
        <v>1</v>
      </c>
      <c r="S800" s="28" t="n">
        <f aca="false">IF(R800="-",0,IFERROR(VLOOKUP(R800,'Price Groups'!$A$13:$C$17,3,FALSE()),0))</f>
        <v>0.22</v>
      </c>
      <c r="T800" s="22" t="n">
        <f aca="false">IF(OR(N800="",R800="-"),"",CEILING(ROUND(N800*(1+S800),2),IF(N800*(1+S800)&lt;100,0.5,IF(N800*(1+S800)&lt;1000,1,5))))</f>
        <v>98</v>
      </c>
      <c r="U800" s="26" t="n">
        <f aca="false">IF(OR(T800="",P800=""),"",(T800-P800)/T800)</f>
        <v>0.621173469387755</v>
      </c>
      <c r="V800" s="26" t="n">
        <f aca="false">IF(T800="",0,T800/N800-1)</f>
        <v>0.225153144143018</v>
      </c>
      <c r="W800" s="19" t="s">
        <v>94</v>
      </c>
    </row>
    <row r="801" customFormat="false" ht="15" hidden="false" customHeight="false" outlineLevel="0" collapsed="false">
      <c r="A801" s="38" t="n">
        <v>750</v>
      </c>
      <c r="B801" s="38" t="s">
        <v>970</v>
      </c>
      <c r="C801" s="38" t="s">
        <v>57</v>
      </c>
      <c r="D801" s="38"/>
      <c r="E801" s="38" t="s">
        <v>58</v>
      </c>
      <c r="F801" s="39" t="n">
        <v>12</v>
      </c>
      <c r="G801" s="39" t="n">
        <v>16</v>
      </c>
      <c r="H801" s="40" t="n">
        <v>5695.53</v>
      </c>
      <c r="I801" s="40" t="n">
        <v>-49.98</v>
      </c>
      <c r="J801" s="40" t="n">
        <v>-2749.89</v>
      </c>
      <c r="K801" s="41" t="n">
        <f aca="false">H801+I801+J801</f>
        <v>2895.66</v>
      </c>
      <c r="L801" s="42" t="n">
        <f aca="false">IF($K$1282=0,0,K801/$K$1282)</f>
        <v>0.000239871950596163</v>
      </c>
      <c r="M801" s="43" t="n">
        <f aca="false">IF(F801&lt;=0,0,K801/F801)</f>
        <v>241.305</v>
      </c>
      <c r="N801" s="40" t="n">
        <v>249.99</v>
      </c>
      <c r="O801" s="44" t="n">
        <v>7.84</v>
      </c>
      <c r="P801" s="43" t="n">
        <f aca="false">O801*'Price Groups'!$B$5</f>
        <v>176.4</v>
      </c>
      <c r="Q801" s="45" t="n">
        <f aca="false">IF(OR(N801="",P801=""),"",(N801-P801)/N801)</f>
        <v>0.294371774870995</v>
      </c>
      <c r="R801" s="46" t="n">
        <v>1</v>
      </c>
      <c r="S801" s="47" t="n">
        <f aca="false">IF(R801="-",0,IFERROR(VLOOKUP(R801,'Price Groups'!$A$13:$C$17,3,FALSE()),0))</f>
        <v>0.22</v>
      </c>
      <c r="T801" s="41" t="n">
        <f aca="false">IF(OR(N801="",R801="-"),"",CEILING(ROUND(N801*(1+S801),2),IF(N801*(1+S801)&lt;100,0.5,IF(N801*(1+S801)&lt;1000,1,5))))</f>
        <v>305</v>
      </c>
      <c r="U801" s="45" t="n">
        <f aca="false">IF(OR(T801="",P801=""),"",(T801-P801)/T801)</f>
        <v>0.421639344262295</v>
      </c>
      <c r="V801" s="45" t="n">
        <f aca="false">IF(T801="",0,T801/N801-1)</f>
        <v>0.220048801952078</v>
      </c>
      <c r="W801" s="38" t="s">
        <v>94</v>
      </c>
    </row>
    <row r="802" customFormat="false" ht="15" hidden="false" customHeight="false" outlineLevel="0" collapsed="false">
      <c r="A802" s="19" t="n">
        <v>751</v>
      </c>
      <c r="B802" s="19" t="s">
        <v>971</v>
      </c>
      <c r="C802" s="19" t="s">
        <v>57</v>
      </c>
      <c r="D802" s="19"/>
      <c r="E802" s="19" t="s">
        <v>58</v>
      </c>
      <c r="F802" s="20" t="n">
        <v>12</v>
      </c>
      <c r="G802" s="20" t="n">
        <v>10</v>
      </c>
      <c r="H802" s="21" t="n">
        <v>1736.89</v>
      </c>
      <c r="I802" s="21" t="n">
        <v>-10.23</v>
      </c>
      <c r="J802" s="21" t="n">
        <v>-412.31</v>
      </c>
      <c r="K802" s="22" t="n">
        <f aca="false">H802+I802+J802</f>
        <v>1314.35</v>
      </c>
      <c r="L802" s="23" t="n">
        <f aca="false">IF($K$1282=0,0,K802/$K$1282)</f>
        <v>0.000108878700629931</v>
      </c>
      <c r="M802" s="24" t="n">
        <f aca="false">IF(F802&lt;=0,0,K802/F802)</f>
        <v>109.529166666667</v>
      </c>
      <c r="N802" s="21" t="n">
        <v>169.99</v>
      </c>
      <c r="O802" s="49" t="n">
        <v>3.65</v>
      </c>
      <c r="P802" s="24" t="n">
        <f aca="false">O802*'Price Groups'!$B$5</f>
        <v>82.125</v>
      </c>
      <c r="Q802" s="26" t="n">
        <f aca="false">IF(OR(N802="",P802=""),"",(N802-P802)/N802)</f>
        <v>0.516883346079181</v>
      </c>
      <c r="R802" s="27" t="n">
        <v>1</v>
      </c>
      <c r="S802" s="28" t="n">
        <f aca="false">IF(R802="-",0,IFERROR(VLOOKUP(R802,'Price Groups'!$A$13:$C$17,3,FALSE()),0))</f>
        <v>0.22</v>
      </c>
      <c r="T802" s="22" t="n">
        <f aca="false">IF(OR(N802="",R802="-"),"",CEILING(ROUND(N802*(1+S802),2),IF(N802*(1+S802)&lt;100,0.5,IF(N802*(1+S802)&lt;1000,1,5))))</f>
        <v>208</v>
      </c>
      <c r="U802" s="26" t="n">
        <f aca="false">IF(OR(T802="",P802=""),"",(T802-P802)/T802)</f>
        <v>0.605168269230769</v>
      </c>
      <c r="V802" s="26" t="n">
        <f aca="false">IF(T802="",0,T802/N802-1)</f>
        <v>0.22360138831696</v>
      </c>
      <c r="W802" s="19" t="s">
        <v>94</v>
      </c>
    </row>
    <row r="803" customFormat="false" ht="15" hidden="false" customHeight="false" outlineLevel="0" collapsed="false">
      <c r="A803" s="38" t="n">
        <v>752</v>
      </c>
      <c r="B803" s="38" t="s">
        <v>972</v>
      </c>
      <c r="C803" s="38" t="s">
        <v>57</v>
      </c>
      <c r="D803" s="38"/>
      <c r="E803" s="38" t="s">
        <v>58</v>
      </c>
      <c r="F803" s="39" t="n">
        <v>12</v>
      </c>
      <c r="G803" s="39" t="n">
        <v>11</v>
      </c>
      <c r="H803" s="40" t="n">
        <v>4797</v>
      </c>
      <c r="I803" s="40" t="n">
        <v>0</v>
      </c>
      <c r="J803" s="40" t="n">
        <v>-369</v>
      </c>
      <c r="K803" s="41" t="n">
        <f aca="false">H803+I803+J803</f>
        <v>4428</v>
      </c>
      <c r="L803" s="42" t="n">
        <f aca="false">IF($K$1282=0,0,K803/$K$1282)</f>
        <v>0.000366808602266775</v>
      </c>
      <c r="M803" s="43" t="n">
        <f aca="false">IF(F803&lt;=0,0,K803/F803)</f>
        <v>369</v>
      </c>
      <c r="N803" s="40" t="n">
        <v>369</v>
      </c>
      <c r="O803" s="44" t="n">
        <v>12</v>
      </c>
      <c r="P803" s="43" t="n">
        <f aca="false">O803*'Price Groups'!$B$5</f>
        <v>270</v>
      </c>
      <c r="Q803" s="45" t="n">
        <f aca="false">IF(OR(N803="",P803=""),"",(N803-P803)/N803)</f>
        <v>0.268292682926829</v>
      </c>
      <c r="R803" s="46" t="n">
        <v>1</v>
      </c>
      <c r="S803" s="47" t="n">
        <f aca="false">IF(R803="-",0,IFERROR(VLOOKUP(R803,'Price Groups'!$A$13:$C$17,3,FALSE()),0))</f>
        <v>0.22</v>
      </c>
      <c r="T803" s="41" t="n">
        <f aca="false">IF(OR(N803="",R803="-"),"",CEILING(ROUND(N803*(1+S803),2),IF(N803*(1+S803)&lt;100,0.5,IF(N803*(1+S803)&lt;1000,1,5))))</f>
        <v>451</v>
      </c>
      <c r="U803" s="45" t="n">
        <f aca="false">IF(OR(T803="",P803=""),"",(T803-P803)/T803)</f>
        <v>0.401330376940133</v>
      </c>
      <c r="V803" s="45" t="n">
        <f aca="false">IF(T803="",0,T803/N803-1)</f>
        <v>0.222222222222222</v>
      </c>
      <c r="W803" s="38" t="s">
        <v>94</v>
      </c>
    </row>
    <row r="804" customFormat="false" ht="15" hidden="false" customHeight="false" outlineLevel="0" collapsed="false">
      <c r="A804" s="19" t="n">
        <v>753</v>
      </c>
      <c r="B804" s="19" t="s">
        <v>973</v>
      </c>
      <c r="C804" s="19" t="s">
        <v>57</v>
      </c>
      <c r="D804" s="19"/>
      <c r="E804" s="19" t="s">
        <v>58</v>
      </c>
      <c r="F804" s="20" t="n">
        <v>12</v>
      </c>
      <c r="G804" s="20" t="n">
        <v>10</v>
      </c>
      <c r="H804" s="21" t="n">
        <v>4927</v>
      </c>
      <c r="I804" s="21" t="n">
        <v>-51.48</v>
      </c>
      <c r="J804" s="21" t="n">
        <v>-379</v>
      </c>
      <c r="K804" s="22" t="n">
        <f aca="false">H804+I804+J804</f>
        <v>4496.52</v>
      </c>
      <c r="L804" s="23" t="n">
        <f aca="false">IF($K$1282=0,0,K804/$K$1282)</f>
        <v>0.000372484692020009</v>
      </c>
      <c r="M804" s="24" t="n">
        <f aca="false">IF(F804&lt;=0,0,K804/F804)</f>
        <v>374.71</v>
      </c>
      <c r="N804" s="21" t="n">
        <v>379</v>
      </c>
      <c r="O804" s="49" t="n">
        <v>11.5</v>
      </c>
      <c r="P804" s="24" t="n">
        <f aca="false">O804*'Price Groups'!$B$5</f>
        <v>258.75</v>
      </c>
      <c r="Q804" s="26" t="n">
        <f aca="false">IF(OR(N804="",P804=""),"",(N804-P804)/N804)</f>
        <v>0.317282321899736</v>
      </c>
      <c r="R804" s="27" t="n">
        <v>1</v>
      </c>
      <c r="S804" s="28" t="n">
        <f aca="false">IF(R804="-",0,IFERROR(VLOOKUP(R804,'Price Groups'!$A$13:$C$17,3,FALSE()),0))</f>
        <v>0.22</v>
      </c>
      <c r="T804" s="22" t="n">
        <f aca="false">IF(OR(N804="",R804="-"),"",CEILING(ROUND(N804*(1+S804),2),IF(N804*(1+S804)&lt;100,0.5,IF(N804*(1+S804)&lt;1000,1,5))))</f>
        <v>463</v>
      </c>
      <c r="U804" s="26" t="n">
        <f aca="false">IF(OR(T804="",P804=""),"",(T804-P804)/T804)</f>
        <v>0.441144708423326</v>
      </c>
      <c r="V804" s="26" t="n">
        <f aca="false">IF(T804="",0,T804/N804-1)</f>
        <v>0.221635883905013</v>
      </c>
      <c r="W804" s="19" t="s">
        <v>94</v>
      </c>
    </row>
    <row r="805" customFormat="false" ht="15" hidden="false" customHeight="false" outlineLevel="0" collapsed="false">
      <c r="A805" s="38" t="n">
        <v>754</v>
      </c>
      <c r="B805" s="38" t="s">
        <v>974</v>
      </c>
      <c r="C805" s="38" t="s">
        <v>57</v>
      </c>
      <c r="D805" s="38"/>
      <c r="E805" s="38" t="s">
        <v>58</v>
      </c>
      <c r="F805" s="39" t="n">
        <v>12</v>
      </c>
      <c r="G805" s="39" t="n">
        <v>6</v>
      </c>
      <c r="H805" s="40" t="n">
        <v>249.88</v>
      </c>
      <c r="I805" s="40" t="n">
        <v>-1.49</v>
      </c>
      <c r="J805" s="40" t="n">
        <v>-29.98</v>
      </c>
      <c r="K805" s="41" t="n">
        <f aca="false">H805+I805+J805</f>
        <v>218.41</v>
      </c>
      <c r="L805" s="42" t="n">
        <f aca="false">IF($K$1282=0,0,K805/$K$1282)</f>
        <v>1.80927431845272E-005</v>
      </c>
      <c r="M805" s="43" t="n">
        <f aca="false">IF(F805&lt;=0,0,K805/F805)</f>
        <v>18.2008333333333</v>
      </c>
      <c r="N805" s="40" t="n">
        <v>14.99</v>
      </c>
      <c r="O805" s="44" t="n">
        <v>0.76</v>
      </c>
      <c r="P805" s="43" t="n">
        <f aca="false">O805*'Price Groups'!$B$5</f>
        <v>17.1</v>
      </c>
      <c r="Q805" s="45" t="n">
        <f aca="false">IF(OR(N805="",P805=""),"",(N805-P805)/N805)</f>
        <v>-0.14076050700467</v>
      </c>
      <c r="R805" s="46" t="n">
        <v>1</v>
      </c>
      <c r="S805" s="47" t="n">
        <f aca="false">IF(R805="-",0,IFERROR(VLOOKUP(R805,'Price Groups'!$A$13:$C$17,3,FALSE()),0))</f>
        <v>0.22</v>
      </c>
      <c r="T805" s="41" t="n">
        <f aca="false">IF(OR(N805="",R805="-"),"",CEILING(ROUND(N805*(1+S805),2),IF(N805*(1+S805)&lt;100,0.5,IF(N805*(1+S805)&lt;1000,1,5))))</f>
        <v>18.5</v>
      </c>
      <c r="U805" s="45" t="n">
        <f aca="false">IF(OR(T805="",P805=""),"",(T805-P805)/T805)</f>
        <v>0.0756756756756756</v>
      </c>
      <c r="V805" s="45" t="n">
        <f aca="false">IF(T805="",0,T805/N805-1)</f>
        <v>0.23415610406938</v>
      </c>
      <c r="W805" s="38" t="s">
        <v>326</v>
      </c>
    </row>
    <row r="806" customFormat="false" ht="15" hidden="false" customHeight="false" outlineLevel="0" collapsed="false">
      <c r="A806" s="19" t="n">
        <v>755</v>
      </c>
      <c r="B806" s="19" t="s">
        <v>975</v>
      </c>
      <c r="C806" s="19" t="s">
        <v>57</v>
      </c>
      <c r="D806" s="19"/>
      <c r="E806" s="19" t="s">
        <v>58</v>
      </c>
      <c r="F806" s="20" t="n">
        <v>12</v>
      </c>
      <c r="G806" s="20" t="n">
        <v>7</v>
      </c>
      <c r="H806" s="21" t="n">
        <v>40800</v>
      </c>
      <c r="I806" s="21" t="n">
        <v>-340</v>
      </c>
      <c r="J806" s="21" t="n">
        <v>0</v>
      </c>
      <c r="K806" s="22" t="n">
        <f aca="false">H806+I806+J806</f>
        <v>40460</v>
      </c>
      <c r="L806" s="23" t="n">
        <f aca="false">IF($K$1282=0,0,K806/$K$1282)</f>
        <v>0.00335164319054059</v>
      </c>
      <c r="M806" s="24" t="n">
        <f aca="false">IF(F806&lt;=0,0,K806/F806)</f>
        <v>3371.66666666667</v>
      </c>
      <c r="N806" s="21" t="n">
        <v>3400</v>
      </c>
      <c r="O806" s="49" t="n">
        <v>64.51</v>
      </c>
      <c r="P806" s="24" t="n">
        <f aca="false">O806*'Price Groups'!$B$5</f>
        <v>1451.475</v>
      </c>
      <c r="Q806" s="26" t="n">
        <f aca="false">IF(OR(N806="",P806=""),"",(N806-P806)/N806)</f>
        <v>0.573095588235294</v>
      </c>
      <c r="R806" s="27" t="n">
        <v>4</v>
      </c>
      <c r="S806" s="28" t="n">
        <f aca="false">IF(R806="-",0,IFERROR(VLOOKUP(R806,'Price Groups'!$A$13:$C$17,3,FALSE()),0))</f>
        <v>0.15</v>
      </c>
      <c r="T806" s="22" t="n">
        <f aca="false">IF(OR(N806="",R806="-"),"",CEILING(ROUND(N806*(1+S806),2),IF(N806*(1+S806)&lt;100,0.5,IF(N806*(1+S806)&lt;1000,1,5))))</f>
        <v>3910</v>
      </c>
      <c r="U806" s="26" t="n">
        <f aca="false">IF(OR(T806="",P806=""),"",(T806-P806)/T806)</f>
        <v>0.628778772378517</v>
      </c>
      <c r="V806" s="26" t="n">
        <f aca="false">IF(T806="",0,T806/N806-1)</f>
        <v>0.15</v>
      </c>
      <c r="W806" s="19" t="s">
        <v>101</v>
      </c>
    </row>
    <row r="807" customFormat="false" ht="15" hidden="false" customHeight="false" outlineLevel="0" collapsed="false">
      <c r="A807" s="38" t="n">
        <v>756</v>
      </c>
      <c r="B807" s="38" t="s">
        <v>976</v>
      </c>
      <c r="C807" s="38" t="s">
        <v>57</v>
      </c>
      <c r="D807" s="38"/>
      <c r="E807" s="38" t="s">
        <v>58</v>
      </c>
      <c r="F807" s="39" t="n">
        <v>12</v>
      </c>
      <c r="G807" s="39" t="n">
        <v>11</v>
      </c>
      <c r="H807" s="40" t="n">
        <v>2099.86</v>
      </c>
      <c r="I807" s="40" t="n">
        <v>-7.5</v>
      </c>
      <c r="J807" s="40" t="n">
        <v>-299.98</v>
      </c>
      <c r="K807" s="41" t="n">
        <f aca="false">H807+I807+J807</f>
        <v>1792.38</v>
      </c>
      <c r="L807" s="42" t="n">
        <f aca="false">IF($K$1282=0,0,K807/$K$1282)</f>
        <v>0.000148477959017823</v>
      </c>
      <c r="M807" s="43" t="n">
        <f aca="false">IF(F807&lt;=0,0,K807/F807)</f>
        <v>149.365</v>
      </c>
      <c r="N807" s="40" t="n">
        <v>149.99</v>
      </c>
      <c r="O807" s="44" t="n">
        <v>1.76</v>
      </c>
      <c r="P807" s="43" t="n">
        <f aca="false">O807*'Price Groups'!$B$5</f>
        <v>39.6</v>
      </c>
      <c r="Q807" s="45" t="n">
        <f aca="false">IF(OR(N807="",P807=""),"",(N807-P807)/N807)</f>
        <v>0.735982398826588</v>
      </c>
      <c r="R807" s="46" t="n">
        <v>1</v>
      </c>
      <c r="S807" s="47" t="n">
        <f aca="false">IF(R807="-",0,IFERROR(VLOOKUP(R807,'Price Groups'!$A$13:$C$17,3,FALSE()),0))</f>
        <v>0.22</v>
      </c>
      <c r="T807" s="41" t="n">
        <f aca="false">IF(OR(N807="",R807="-"),"",CEILING(ROUND(N807*(1+S807),2),IF(N807*(1+S807)&lt;100,0.5,IF(N807*(1+S807)&lt;1000,1,5))))</f>
        <v>183</v>
      </c>
      <c r="U807" s="45" t="n">
        <f aca="false">IF(OR(T807="",P807=""),"",(T807-P807)/T807)</f>
        <v>0.783606557377049</v>
      </c>
      <c r="V807" s="45" t="n">
        <f aca="false">IF(T807="",0,T807/N807-1)</f>
        <v>0.220081338755917</v>
      </c>
      <c r="W807" s="38" t="s">
        <v>94</v>
      </c>
    </row>
    <row r="808" customFormat="false" ht="15" hidden="false" customHeight="false" outlineLevel="0" collapsed="false">
      <c r="A808" s="19" t="n">
        <v>757</v>
      </c>
      <c r="B808" s="19" t="s">
        <v>977</v>
      </c>
      <c r="C808" s="19" t="s">
        <v>57</v>
      </c>
      <c r="D808" s="19"/>
      <c r="E808" s="19" t="s">
        <v>58</v>
      </c>
      <c r="F808" s="20" t="n">
        <v>12</v>
      </c>
      <c r="G808" s="20" t="n">
        <v>13</v>
      </c>
      <c r="H808" s="21" t="n">
        <v>128.7</v>
      </c>
      <c r="I808" s="21" t="n">
        <v>-0.9</v>
      </c>
      <c r="J808" s="21" t="n">
        <v>-23.1</v>
      </c>
      <c r="K808" s="22" t="n">
        <f aca="false">H808+I808+J808</f>
        <v>104.7</v>
      </c>
      <c r="L808" s="23" t="n">
        <f aca="false">IF($K$1282=0,0,K808/$K$1282)</f>
        <v>8.67318443029163E-006</v>
      </c>
      <c r="M808" s="24" t="n">
        <f aca="false">IF(F808&lt;=0,0,K808/F808)</f>
        <v>8.725</v>
      </c>
      <c r="N808" s="21" t="n">
        <v>7.05</v>
      </c>
      <c r="O808" s="49" t="n">
        <v>0.22</v>
      </c>
      <c r="P808" s="24" t="n">
        <f aca="false">O808*'Price Groups'!$B$5</f>
        <v>4.95</v>
      </c>
      <c r="Q808" s="26" t="n">
        <f aca="false">IF(OR(N808="",P808=""),"",(N808-P808)/N808)</f>
        <v>0.297872340425532</v>
      </c>
      <c r="R808" s="27" t="n">
        <v>1</v>
      </c>
      <c r="S808" s="28" t="n">
        <f aca="false">IF(R808="-",0,IFERROR(VLOOKUP(R808,'Price Groups'!$A$13:$C$17,3,FALSE()),0))</f>
        <v>0.22</v>
      </c>
      <c r="T808" s="22" t="n">
        <f aca="false">IF(OR(N808="",R808="-"),"",CEILING(ROUND(N808*(1+S808),2),IF(N808*(1+S808)&lt;100,0.5,IF(N808*(1+S808)&lt;1000,1,5))))</f>
        <v>9</v>
      </c>
      <c r="U808" s="26" t="n">
        <f aca="false">IF(OR(T808="",P808=""),"",(T808-P808)/T808)</f>
        <v>0.45</v>
      </c>
      <c r="V808" s="26" t="n">
        <f aca="false">IF(T808="",0,T808/N808-1)</f>
        <v>0.276595744680851</v>
      </c>
      <c r="W808" s="19" t="s">
        <v>94</v>
      </c>
    </row>
    <row r="809" customFormat="false" ht="15" hidden="false" customHeight="false" outlineLevel="0" collapsed="false">
      <c r="A809" s="38" t="n">
        <v>758</v>
      </c>
      <c r="B809" s="38" t="s">
        <v>978</v>
      </c>
      <c r="C809" s="38" t="s">
        <v>57</v>
      </c>
      <c r="D809" s="38"/>
      <c r="E809" s="38" t="s">
        <v>58</v>
      </c>
      <c r="F809" s="39" t="n">
        <v>12</v>
      </c>
      <c r="G809" s="39" t="n">
        <v>6</v>
      </c>
      <c r="H809" s="40" t="n">
        <v>902.99</v>
      </c>
      <c r="I809" s="40" t="n">
        <v>0</v>
      </c>
      <c r="J809" s="40" t="n">
        <v>-110.99</v>
      </c>
      <c r="K809" s="41" t="n">
        <f aca="false">H809+I809+J809</f>
        <v>792</v>
      </c>
      <c r="L809" s="42" t="n">
        <f aca="false">IF($K$1282=0,0,K809/$K$1282)</f>
        <v>6.56080426818622E-005</v>
      </c>
      <c r="M809" s="43" t="n">
        <f aca="false">IF(F809&lt;=0,0,K809/F809)</f>
        <v>66</v>
      </c>
      <c r="N809" s="40" t="n">
        <v>44.99</v>
      </c>
      <c r="O809" s="44" t="n">
        <v>1.8</v>
      </c>
      <c r="P809" s="43" t="n">
        <f aca="false">O809*'Price Groups'!$B$5</f>
        <v>40.5</v>
      </c>
      <c r="Q809" s="45" t="n">
        <f aca="false">IF(OR(N809="",P809=""),"",(N809-P809)/N809)</f>
        <v>0.0997999555456769</v>
      </c>
      <c r="R809" s="46" t="n">
        <v>1</v>
      </c>
      <c r="S809" s="47" t="n">
        <f aca="false">IF(R809="-",0,IFERROR(VLOOKUP(R809,'Price Groups'!$A$13:$C$17,3,FALSE()),0))</f>
        <v>0.22</v>
      </c>
      <c r="T809" s="41" t="n">
        <f aca="false">IF(OR(N809="",R809="-"),"",CEILING(ROUND(N809*(1+S809),2),IF(N809*(1+S809)&lt;100,0.5,IF(N809*(1+S809)&lt;1000,1,5))))</f>
        <v>55</v>
      </c>
      <c r="U809" s="45" t="n">
        <f aca="false">IF(OR(T809="",P809=""),"",(T809-P809)/T809)</f>
        <v>0.263636363636364</v>
      </c>
      <c r="V809" s="45" t="n">
        <f aca="false">IF(T809="",0,T809/N809-1)</f>
        <v>0.222493887530562</v>
      </c>
      <c r="W809" s="38" t="s">
        <v>826</v>
      </c>
    </row>
    <row r="810" customFormat="false" ht="15" hidden="false" customHeight="false" outlineLevel="0" collapsed="false">
      <c r="A810" s="19" t="n">
        <v>759</v>
      </c>
      <c r="B810" s="19" t="s">
        <v>979</v>
      </c>
      <c r="C810" s="19" t="s">
        <v>57</v>
      </c>
      <c r="D810" s="19"/>
      <c r="E810" s="19" t="s">
        <v>58</v>
      </c>
      <c r="F810" s="20" t="n">
        <v>12</v>
      </c>
      <c r="G810" s="20" t="n">
        <v>8</v>
      </c>
      <c r="H810" s="21" t="n">
        <v>355.2</v>
      </c>
      <c r="I810" s="21" t="n">
        <v>-31.02</v>
      </c>
      <c r="J810" s="21" t="n">
        <v>0</v>
      </c>
      <c r="K810" s="22" t="n">
        <f aca="false">H810+I810+J810</f>
        <v>324.18</v>
      </c>
      <c r="L810" s="23" t="n">
        <f aca="false">IF($K$1282=0,0,K810/$K$1282)</f>
        <v>2.68545647431895E-005</v>
      </c>
      <c r="M810" s="24" t="n">
        <f aca="false">IF(F810&lt;=0,0,K810/F810)</f>
        <v>27.015</v>
      </c>
      <c r="N810" s="21" t="n">
        <v>28.2</v>
      </c>
      <c r="O810" s="49" t="n">
        <v>0.88</v>
      </c>
      <c r="P810" s="24" t="n">
        <f aca="false">O810*'Price Groups'!$B$5</f>
        <v>19.8</v>
      </c>
      <c r="Q810" s="26" t="n">
        <f aca="false">IF(OR(N810="",P810=""),"",(N810-P810)/N810)</f>
        <v>0.297872340425532</v>
      </c>
      <c r="R810" s="27" t="n">
        <v>1</v>
      </c>
      <c r="S810" s="28" t="n">
        <f aca="false">IF(R810="-",0,IFERROR(VLOOKUP(R810,'Price Groups'!$A$13:$C$17,3,FALSE()),0))</f>
        <v>0.22</v>
      </c>
      <c r="T810" s="22" t="n">
        <f aca="false">IF(OR(N810="",R810="-"),"",CEILING(ROUND(N810*(1+S810),2),IF(N810*(1+S810)&lt;100,0.5,IF(N810*(1+S810)&lt;1000,1,5))))</f>
        <v>34.5</v>
      </c>
      <c r="U810" s="26" t="n">
        <f aca="false">IF(OR(T810="",P810=""),"",(T810-P810)/T810)</f>
        <v>0.426086956521739</v>
      </c>
      <c r="V810" s="26" t="n">
        <f aca="false">IF(T810="",0,T810/N810-1)</f>
        <v>0.223404255319149</v>
      </c>
      <c r="W810" s="19" t="s">
        <v>94</v>
      </c>
    </row>
    <row r="811" customFormat="false" ht="15" hidden="false" customHeight="false" outlineLevel="0" collapsed="false">
      <c r="A811" s="38" t="n">
        <v>760</v>
      </c>
      <c r="B811" s="38" t="s">
        <v>980</v>
      </c>
      <c r="C811" s="38" t="s">
        <v>57</v>
      </c>
      <c r="D811" s="38"/>
      <c r="E811" s="38" t="s">
        <v>58</v>
      </c>
      <c r="F811" s="39" t="n">
        <v>12</v>
      </c>
      <c r="G811" s="39" t="n">
        <v>6</v>
      </c>
      <c r="H811" s="40" t="n">
        <v>540</v>
      </c>
      <c r="I811" s="40" t="n">
        <v>-9</v>
      </c>
      <c r="J811" s="40" t="n">
        <v>0</v>
      </c>
      <c r="K811" s="41" t="n">
        <f aca="false">H811+I811+J811</f>
        <v>531</v>
      </c>
      <c r="L811" s="42" t="n">
        <f aca="false">IF($K$1282=0,0,K811/$K$1282)</f>
        <v>4.39872104344303E-005</v>
      </c>
      <c r="M811" s="43" t="n">
        <f aca="false">IF(F811&lt;=0,0,K811/F811)</f>
        <v>44.25</v>
      </c>
      <c r="N811" s="40" t="n">
        <v>49.05</v>
      </c>
      <c r="O811" s="44" t="n">
        <v>0.88</v>
      </c>
      <c r="P811" s="43" t="n">
        <f aca="false">O811*'Price Groups'!$B$5</f>
        <v>19.8</v>
      </c>
      <c r="Q811" s="45" t="n">
        <f aca="false">IF(OR(N811="",P811=""),"",(N811-P811)/N811)</f>
        <v>0.596330275229358</v>
      </c>
      <c r="R811" s="46" t="n">
        <v>1</v>
      </c>
      <c r="S811" s="47" t="n">
        <f aca="false">IF(R811="-",0,IFERROR(VLOOKUP(R811,'Price Groups'!$A$13:$C$17,3,FALSE()),0))</f>
        <v>0.22</v>
      </c>
      <c r="T811" s="41" t="n">
        <f aca="false">IF(OR(N811="",R811="-"),"",CEILING(ROUND(N811*(1+S811),2),IF(N811*(1+S811)&lt;100,0.5,IF(N811*(1+S811)&lt;1000,1,5))))</f>
        <v>60</v>
      </c>
      <c r="U811" s="45" t="n">
        <f aca="false">IF(OR(T811="",P811=""),"",(T811-P811)/T811)</f>
        <v>0.67</v>
      </c>
      <c r="V811" s="45" t="n">
        <f aca="false">IF(T811="",0,T811/N811-1)</f>
        <v>0.223241590214067</v>
      </c>
      <c r="W811" s="38" t="s">
        <v>94</v>
      </c>
    </row>
    <row r="812" customFormat="false" ht="15" hidden="false" customHeight="false" outlineLevel="0" collapsed="false">
      <c r="A812" s="19" t="n">
        <v>761</v>
      </c>
      <c r="B812" s="19" t="s">
        <v>981</v>
      </c>
      <c r="C812" s="19" t="s">
        <v>57</v>
      </c>
      <c r="D812" s="19"/>
      <c r="E812" s="19" t="s">
        <v>58</v>
      </c>
      <c r="F812" s="20" t="n">
        <v>12</v>
      </c>
      <c r="G812" s="20" t="n">
        <v>16</v>
      </c>
      <c r="H812" s="21" t="n">
        <v>10588</v>
      </c>
      <c r="I812" s="21" t="n">
        <v>-202.8</v>
      </c>
      <c r="J812" s="21" t="n">
        <v>-2476</v>
      </c>
      <c r="K812" s="22" t="n">
        <f aca="false">H812+I812+J812</f>
        <v>7909.2</v>
      </c>
      <c r="L812" s="23" t="n">
        <f aca="false">IF($K$1282=0,0,K812/$K$1282)</f>
        <v>0.000655185771691142</v>
      </c>
      <c r="M812" s="24" t="n">
        <f aca="false">IF(F812&lt;=0,0,K812/F812)</f>
        <v>659.1</v>
      </c>
      <c r="N812" s="21" t="n">
        <v>619</v>
      </c>
      <c r="O812" s="49" t="n">
        <v>13.18</v>
      </c>
      <c r="P812" s="24" t="n">
        <f aca="false">O812*'Price Groups'!$B$5</f>
        <v>296.55</v>
      </c>
      <c r="Q812" s="26" t="n">
        <f aca="false">IF(OR(N812="",P812=""),"",(N812-P812)/N812)</f>
        <v>0.52092084006462</v>
      </c>
      <c r="R812" s="27" t="n">
        <v>1</v>
      </c>
      <c r="S812" s="28" t="n">
        <f aca="false">IF(R812="-",0,IFERROR(VLOOKUP(R812,'Price Groups'!$A$13:$C$17,3,FALSE()),0))</f>
        <v>0.22</v>
      </c>
      <c r="T812" s="22" t="n">
        <f aca="false">IF(OR(N812="",R812="-"),"",CEILING(ROUND(N812*(1+S812),2),IF(N812*(1+S812)&lt;100,0.5,IF(N812*(1+S812)&lt;1000,1,5))))</f>
        <v>756</v>
      </c>
      <c r="U812" s="26" t="n">
        <f aca="false">IF(OR(T812="",P812=""),"",(T812-P812)/T812)</f>
        <v>0.607738095238095</v>
      </c>
      <c r="V812" s="26" t="n">
        <f aca="false">IF(T812="",0,T812/N812-1)</f>
        <v>0.221324717285945</v>
      </c>
      <c r="W812" s="19" t="s">
        <v>94</v>
      </c>
    </row>
    <row r="813" customFormat="false" ht="15" hidden="false" customHeight="false" outlineLevel="0" collapsed="false">
      <c r="A813" s="38" t="n">
        <v>762</v>
      </c>
      <c r="B813" s="38" t="s">
        <v>982</v>
      </c>
      <c r="C813" s="38" t="s">
        <v>57</v>
      </c>
      <c r="D813" s="38"/>
      <c r="E813" s="38" t="s">
        <v>58</v>
      </c>
      <c r="F813" s="39" t="n">
        <v>12</v>
      </c>
      <c r="G813" s="39" t="n">
        <v>10</v>
      </c>
      <c r="H813" s="40" t="n">
        <v>4699.88</v>
      </c>
      <c r="I813" s="40" t="n">
        <v>-79.98</v>
      </c>
      <c r="J813" s="40" t="n">
        <v>0</v>
      </c>
      <c r="K813" s="41" t="n">
        <f aca="false">H813+I813+J813</f>
        <v>4619.9</v>
      </c>
      <c r="L813" s="42" t="n">
        <f aca="false">IF($K$1282=0,0,K813/$K$1282)</f>
        <v>0.00038270529846709</v>
      </c>
      <c r="M813" s="43" t="n">
        <f aca="false">IF(F813&lt;=0,0,K813/F813)</f>
        <v>384.991666666667</v>
      </c>
      <c r="N813" s="40" t="n">
        <v>349.99</v>
      </c>
      <c r="O813" s="44" t="n">
        <v>12.5</v>
      </c>
      <c r="P813" s="43" t="n">
        <f aca="false">O813*'Price Groups'!$B$5</f>
        <v>281.25</v>
      </c>
      <c r="Q813" s="45" t="n">
        <f aca="false">IF(OR(N813="",P813=""),"",(N813-P813)/N813)</f>
        <v>0.196405611588903</v>
      </c>
      <c r="R813" s="46" t="n">
        <v>1</v>
      </c>
      <c r="S813" s="47" t="n">
        <f aca="false">IF(R813="-",0,IFERROR(VLOOKUP(R813,'Price Groups'!$A$13:$C$17,3,FALSE()),0))</f>
        <v>0.22</v>
      </c>
      <c r="T813" s="41" t="n">
        <f aca="false">IF(OR(N813="",R813="-"),"",CEILING(ROUND(N813*(1+S813),2),IF(N813*(1+S813)&lt;100,0.5,IF(N813*(1+S813)&lt;1000,1,5))))</f>
        <v>427</v>
      </c>
      <c r="U813" s="45" t="n">
        <f aca="false">IF(OR(T813="",P813=""),"",(T813-P813)/T813)</f>
        <v>0.341334894613583</v>
      </c>
      <c r="V813" s="45" t="n">
        <f aca="false">IF(T813="",0,T813/N813-1)</f>
        <v>0.220034858138804</v>
      </c>
      <c r="W813" s="38" t="s">
        <v>207</v>
      </c>
    </row>
    <row r="814" customFormat="false" ht="15" hidden="false" customHeight="false" outlineLevel="0" collapsed="false">
      <c r="A814" s="19" t="n">
        <v>763</v>
      </c>
      <c r="B814" s="19" t="s">
        <v>983</v>
      </c>
      <c r="C814" s="19" t="s">
        <v>57</v>
      </c>
      <c r="D814" s="19"/>
      <c r="E814" s="19" t="s">
        <v>58</v>
      </c>
      <c r="F814" s="20" t="n">
        <v>12</v>
      </c>
      <c r="G814" s="20" t="n">
        <v>11</v>
      </c>
      <c r="H814" s="21" t="n">
        <v>2183.98</v>
      </c>
      <c r="I814" s="21" t="n">
        <v>-1.24</v>
      </c>
      <c r="J814" s="21" t="n">
        <v>-184</v>
      </c>
      <c r="K814" s="22" t="n">
        <f aca="false">H814+I814+J814</f>
        <v>1998.74</v>
      </c>
      <c r="L814" s="23" t="n">
        <f aca="false">IF($K$1282=0,0,K814/$K$1282)</f>
        <v>0.000165572499027709</v>
      </c>
      <c r="M814" s="24" t="n">
        <f aca="false">IF(F814&lt;=0,0,K814/F814)</f>
        <v>166.561666666667</v>
      </c>
      <c r="N814" s="21" t="n">
        <v>79.99</v>
      </c>
      <c r="O814" s="49" t="n">
        <v>3.45</v>
      </c>
      <c r="P814" s="24" t="n">
        <f aca="false">O814*'Price Groups'!$B$5</f>
        <v>77.625</v>
      </c>
      <c r="Q814" s="26" t="n">
        <f aca="false">IF(OR(N814="",P814=""),"",(N814-P814)/N814)</f>
        <v>0.0295661957744717</v>
      </c>
      <c r="R814" s="27" t="n">
        <v>1</v>
      </c>
      <c r="S814" s="28" t="n">
        <f aca="false">IF(R814="-",0,IFERROR(VLOOKUP(R814,'Price Groups'!$A$13:$C$17,3,FALSE()),0))</f>
        <v>0.22</v>
      </c>
      <c r="T814" s="22" t="n">
        <f aca="false">IF(OR(N814="",R814="-"),"",CEILING(ROUND(N814*(1+S814),2),IF(N814*(1+S814)&lt;100,0.5,IF(N814*(1+S814)&lt;1000,1,5))))</f>
        <v>98</v>
      </c>
      <c r="U814" s="26" t="n">
        <f aca="false">IF(OR(T814="",P814=""),"",(T814-P814)/T814)</f>
        <v>0.207908163265306</v>
      </c>
      <c r="V814" s="26" t="n">
        <f aca="false">IF(T814="",0,T814/N814-1)</f>
        <v>0.225153144143018</v>
      </c>
      <c r="W814" s="19" t="s">
        <v>357</v>
      </c>
    </row>
    <row r="815" customFormat="false" ht="15" hidden="false" customHeight="false" outlineLevel="0" collapsed="false">
      <c r="A815" s="38" t="n">
        <v>764</v>
      </c>
      <c r="B815" s="38" t="s">
        <v>984</v>
      </c>
      <c r="C815" s="38" t="s">
        <v>57</v>
      </c>
      <c r="D815" s="38"/>
      <c r="E815" s="38" t="s">
        <v>58</v>
      </c>
      <c r="F815" s="39" t="n">
        <v>12</v>
      </c>
      <c r="G815" s="39" t="n">
        <v>2</v>
      </c>
      <c r="H815" s="40" t="n">
        <v>1439.88</v>
      </c>
      <c r="I815" s="40" t="n">
        <v>-71.94</v>
      </c>
      <c r="J815" s="40" t="n">
        <v>0</v>
      </c>
      <c r="K815" s="41" t="n">
        <f aca="false">H815+I815+J815</f>
        <v>1367.94</v>
      </c>
      <c r="L815" s="42" t="n">
        <f aca="false">IF($K$1282=0,0,K815/$K$1282)</f>
        <v>0.000113318012507862</v>
      </c>
      <c r="M815" s="43" t="n">
        <f aca="false">IF(F815&lt;=0,0,K815/F815)</f>
        <v>113.995</v>
      </c>
      <c r="N815" s="40" t="n">
        <v>139</v>
      </c>
      <c r="O815" s="44" t="n">
        <v>2.39</v>
      </c>
      <c r="P815" s="43" t="n">
        <f aca="false">O815*'Price Groups'!$B$5</f>
        <v>53.775</v>
      </c>
      <c r="Q815" s="45" t="n">
        <f aca="false">IF(OR(N815="",P815=""),"",(N815-P815)/N815)</f>
        <v>0.613129496402878</v>
      </c>
      <c r="R815" s="46" t="n">
        <v>1</v>
      </c>
      <c r="S815" s="47" t="n">
        <f aca="false">IF(R815="-",0,IFERROR(VLOOKUP(R815,'Price Groups'!$A$13:$C$17,3,FALSE()),0))</f>
        <v>0.22</v>
      </c>
      <c r="T815" s="41" t="n">
        <f aca="false">IF(OR(N815="",R815="-"),"",CEILING(ROUND(N815*(1+S815),2),IF(N815*(1+S815)&lt;100,0.5,IF(N815*(1+S815)&lt;1000,1,5))))</f>
        <v>170</v>
      </c>
      <c r="U815" s="45" t="n">
        <f aca="false">IF(OR(T815="",P815=""),"",(T815-P815)/T815)</f>
        <v>0.683676470588235</v>
      </c>
      <c r="V815" s="45" t="n">
        <f aca="false">IF(T815="",0,T815/N815-1)</f>
        <v>0.223021582733813</v>
      </c>
      <c r="W815" s="38" t="s">
        <v>94</v>
      </c>
    </row>
    <row r="816" customFormat="false" ht="15" hidden="false" customHeight="false" outlineLevel="0" collapsed="false">
      <c r="A816" s="19" t="n">
        <v>765</v>
      </c>
      <c r="B816" s="19" t="s">
        <v>985</v>
      </c>
      <c r="C816" s="19" t="s">
        <v>57</v>
      </c>
      <c r="D816" s="19"/>
      <c r="E816" s="19" t="s">
        <v>58</v>
      </c>
      <c r="F816" s="20" t="n">
        <v>12</v>
      </c>
      <c r="G816" s="20" t="n">
        <v>10</v>
      </c>
      <c r="H816" s="21" t="n">
        <v>419.86</v>
      </c>
      <c r="I816" s="21" t="n">
        <v>-4.49</v>
      </c>
      <c r="J816" s="21" t="n">
        <v>-59.98</v>
      </c>
      <c r="K816" s="22" t="n">
        <f aca="false">H816+I816+J816</f>
        <v>355.39</v>
      </c>
      <c r="L816" s="23" t="n">
        <f aca="false">IF($K$1282=0,0,K816/$K$1282)</f>
        <v>2.94399523847311E-005</v>
      </c>
      <c r="M816" s="24" t="n">
        <f aca="false">IF(F816&lt;=0,0,K816/F816)</f>
        <v>29.6158333333333</v>
      </c>
      <c r="N816" s="21" t="n">
        <v>29.99</v>
      </c>
      <c r="O816" s="49" t="n">
        <v>0.32</v>
      </c>
      <c r="P816" s="24" t="n">
        <f aca="false">O816*'Price Groups'!$B$5</f>
        <v>7.2</v>
      </c>
      <c r="Q816" s="26" t="n">
        <f aca="false">IF(OR(N816="",P816=""),"",(N816-P816)/N816)</f>
        <v>0.759919973324442</v>
      </c>
      <c r="R816" s="27" t="n">
        <v>1</v>
      </c>
      <c r="S816" s="28" t="n">
        <f aca="false">IF(R816="-",0,IFERROR(VLOOKUP(R816,'Price Groups'!$A$13:$C$17,3,FALSE()),0))</f>
        <v>0.22</v>
      </c>
      <c r="T816" s="22" t="n">
        <f aca="false">IF(OR(N816="",R816="-"),"",CEILING(ROUND(N816*(1+S816),2),IF(N816*(1+S816)&lt;100,0.5,IF(N816*(1+S816)&lt;1000,1,5))))</f>
        <v>37</v>
      </c>
      <c r="U816" s="26" t="n">
        <f aca="false">IF(OR(T816="",P816=""),"",(T816-P816)/T816)</f>
        <v>0.805405405405405</v>
      </c>
      <c r="V816" s="26" t="n">
        <f aca="false">IF(T816="",0,T816/N816-1)</f>
        <v>0.233744581527176</v>
      </c>
      <c r="W816" s="19" t="s">
        <v>94</v>
      </c>
    </row>
    <row r="817" customFormat="false" ht="15" hidden="false" customHeight="false" outlineLevel="0" collapsed="false">
      <c r="A817" s="38" t="n">
        <v>766</v>
      </c>
      <c r="B817" s="38" t="s">
        <v>986</v>
      </c>
      <c r="C817" s="38" t="s">
        <v>57</v>
      </c>
      <c r="D817" s="38"/>
      <c r="E817" s="38" t="s">
        <v>58</v>
      </c>
      <c r="F817" s="39" t="n">
        <v>12</v>
      </c>
      <c r="G817" s="39" t="n">
        <v>8</v>
      </c>
      <c r="H817" s="40" t="n">
        <v>12144</v>
      </c>
      <c r="I817" s="40" t="n">
        <v>0</v>
      </c>
      <c r="J817" s="40" t="n">
        <v>-920</v>
      </c>
      <c r="K817" s="41" t="n">
        <f aca="false">H817+I817+J817</f>
        <v>11224</v>
      </c>
      <c r="L817" s="42" t="n">
        <f aca="false">IF($K$1282=0,0,K817/$K$1282)</f>
        <v>0.0009297786250773</v>
      </c>
      <c r="M817" s="43" t="n">
        <f aca="false">IF(F817&lt;=0,0,K817/F817)</f>
        <v>935.333333333333</v>
      </c>
      <c r="N817" s="40" t="n">
        <v>1012</v>
      </c>
      <c r="O817" s="44" t="n">
        <v>31.03</v>
      </c>
      <c r="P817" s="43" t="n">
        <f aca="false">O817*'Price Groups'!$B$5</f>
        <v>698.175</v>
      </c>
      <c r="Q817" s="45" t="n">
        <f aca="false">IF(OR(N817="",P817=""),"",(N817-P817)/N817)</f>
        <v>0.310103754940711</v>
      </c>
      <c r="R817" s="46" t="n">
        <v>2</v>
      </c>
      <c r="S817" s="47" t="n">
        <f aca="false">IF(R817="-",0,IFERROR(VLOOKUP(R817,'Price Groups'!$A$13:$C$17,3,FALSE()),0))</f>
        <v>0.18</v>
      </c>
      <c r="T817" s="41" t="n">
        <f aca="false">IF(OR(N817="",R817="-"),"",CEILING(ROUND(N817*(1+S817),2),IF(N817*(1+S817)&lt;100,0.5,IF(N817*(1+S817)&lt;1000,1,5))))</f>
        <v>1195</v>
      </c>
      <c r="U817" s="45" t="n">
        <f aca="false">IF(OR(T817="",P817=""),"",(T817-P817)/T817)</f>
        <v>0.415753138075314</v>
      </c>
      <c r="V817" s="45" t="n">
        <f aca="false">IF(T817="",0,T817/N817-1)</f>
        <v>0.180830039525692</v>
      </c>
      <c r="W817" s="38" t="s">
        <v>313</v>
      </c>
    </row>
    <row r="818" customFormat="false" ht="15" hidden="false" customHeight="false" outlineLevel="0" collapsed="false">
      <c r="A818" s="19" t="n">
        <v>767</v>
      </c>
      <c r="B818" s="19" t="s">
        <v>987</v>
      </c>
      <c r="C818" s="19" t="s">
        <v>57</v>
      </c>
      <c r="D818" s="19"/>
      <c r="E818" s="19" t="s">
        <v>58</v>
      </c>
      <c r="F818" s="20" t="n">
        <v>12</v>
      </c>
      <c r="G818" s="20" t="n">
        <v>10</v>
      </c>
      <c r="H818" s="21" t="n">
        <v>589.72</v>
      </c>
      <c r="I818" s="21" t="n">
        <v>0</v>
      </c>
      <c r="J818" s="21" t="n">
        <v>-319.84</v>
      </c>
      <c r="K818" s="22" t="n">
        <f aca="false">H818+I818+J818</f>
        <v>269.88</v>
      </c>
      <c r="L818" s="23" t="n">
        <f aca="false">IF($K$1282=0,0,K818/$K$1282)</f>
        <v>2.23564375744709E-005</v>
      </c>
      <c r="M818" s="24" t="n">
        <f aca="false">IF(F818&lt;=0,0,K818/F818)</f>
        <v>22.49</v>
      </c>
      <c r="N818" s="21" t="n">
        <v>34.99</v>
      </c>
      <c r="O818" s="25"/>
      <c r="P818" s="24"/>
      <c r="Q818" s="26" t="str">
        <f aca="false">IF(OR(N818="",P818=""),"",(N818-P818)/N818)</f>
        <v/>
      </c>
      <c r="R818" s="27" t="n">
        <v>2</v>
      </c>
      <c r="S818" s="28" t="n">
        <f aca="false">IF(R818="-",0,IFERROR(VLOOKUP(R818,'Price Groups'!$A$13:$C$17,3,FALSE()),0))</f>
        <v>0.18</v>
      </c>
      <c r="T818" s="22" t="n">
        <f aca="false">IF(OR(N818="",R818="-"),"",CEILING(ROUND(N818*(1+S818),2),IF(N818*(1+S818)&lt;100,0.5,IF(N818*(1+S818)&lt;1000,1,5))))</f>
        <v>41.5</v>
      </c>
      <c r="U818" s="26" t="str">
        <f aca="false">IF(OR(T818="",P818=""),"",(T818-P818)/T818)</f>
        <v/>
      </c>
      <c r="V818" s="26" t="n">
        <f aca="false">IF(T818="",0,T818/N818-1)</f>
        <v>0.186053158045156</v>
      </c>
      <c r="W818" s="19" t="s">
        <v>129</v>
      </c>
    </row>
    <row r="819" customFormat="false" ht="15" hidden="false" customHeight="false" outlineLevel="0" collapsed="false">
      <c r="A819" s="38" t="n">
        <v>768</v>
      </c>
      <c r="B819" s="38" t="s">
        <v>988</v>
      </c>
      <c r="C819" s="38" t="s">
        <v>57</v>
      </c>
      <c r="D819" s="38"/>
      <c r="E819" s="38" t="s">
        <v>58</v>
      </c>
      <c r="F819" s="39" t="n">
        <v>12</v>
      </c>
      <c r="G819" s="39" t="n">
        <v>10</v>
      </c>
      <c r="H819" s="40" t="n">
        <v>3179.88</v>
      </c>
      <c r="I819" s="40" t="n">
        <v>-15.49</v>
      </c>
      <c r="J819" s="40" t="n">
        <v>0</v>
      </c>
      <c r="K819" s="41" t="n">
        <f aca="false">H819+I819+J819</f>
        <v>3164.39</v>
      </c>
      <c r="L819" s="42" t="n">
        <f aca="false">IF($K$1282=0,0,K819/$K$1282)</f>
        <v>0.000262133123967245</v>
      </c>
      <c r="M819" s="43" t="n">
        <f aca="false">IF(F819&lt;=0,0,K819/F819)</f>
        <v>263.699166666667</v>
      </c>
      <c r="N819" s="40" t="n">
        <v>264.99</v>
      </c>
      <c r="O819" s="44" t="n">
        <v>5.12</v>
      </c>
      <c r="P819" s="43" t="n">
        <f aca="false">O819*'Price Groups'!$B$5</f>
        <v>115.2</v>
      </c>
      <c r="Q819" s="45" t="n">
        <f aca="false">IF(OR(N819="",P819=""),"",(N819-P819)/N819)</f>
        <v>0.565266613834484</v>
      </c>
      <c r="R819" s="46" t="n">
        <v>1</v>
      </c>
      <c r="S819" s="47" t="n">
        <f aca="false">IF(R819="-",0,IFERROR(VLOOKUP(R819,'Price Groups'!$A$13:$C$17,3,FALSE()),0))</f>
        <v>0.22</v>
      </c>
      <c r="T819" s="41" t="n">
        <f aca="false">IF(OR(N819="",R819="-"),"",CEILING(ROUND(N819*(1+S819),2),IF(N819*(1+S819)&lt;100,0.5,IF(N819*(1+S819)&lt;1000,1,5))))</f>
        <v>324</v>
      </c>
      <c r="U819" s="45" t="n">
        <f aca="false">IF(OR(T819="",P819=""),"",(T819-P819)/T819)</f>
        <v>0.644444444444445</v>
      </c>
      <c r="V819" s="45" t="n">
        <f aca="false">IF(T819="",0,T819/N819-1)</f>
        <v>0.222687648590513</v>
      </c>
      <c r="W819" s="38" t="s">
        <v>94</v>
      </c>
    </row>
    <row r="820" customFormat="false" ht="15" hidden="false" customHeight="false" outlineLevel="0" collapsed="false">
      <c r="A820" s="19" t="n">
        <v>769</v>
      </c>
      <c r="B820" s="19" t="s">
        <v>989</v>
      </c>
      <c r="C820" s="19" t="s">
        <v>57</v>
      </c>
      <c r="D820" s="19"/>
      <c r="E820" s="19" t="s">
        <v>58</v>
      </c>
      <c r="F820" s="20" t="n">
        <v>12</v>
      </c>
      <c r="G820" s="20" t="n">
        <v>14</v>
      </c>
      <c r="H820" s="21" t="n">
        <v>2590</v>
      </c>
      <c r="I820" s="21" t="n">
        <v>-37</v>
      </c>
      <c r="J820" s="21" t="n">
        <v>-370</v>
      </c>
      <c r="K820" s="22" t="n">
        <f aca="false">H820+I820+J820</f>
        <v>2183</v>
      </c>
      <c r="L820" s="23" t="n">
        <f aca="false">IF($K$1282=0,0,K820/$K$1282)</f>
        <v>0.000180836309563769</v>
      </c>
      <c r="M820" s="24" t="n">
        <f aca="false">IF(F820&lt;=0,0,K820/F820)</f>
        <v>181.916666666667</v>
      </c>
      <c r="N820" s="21" t="n">
        <v>185</v>
      </c>
      <c r="O820" s="49" t="n">
        <v>3.61</v>
      </c>
      <c r="P820" s="24" t="n">
        <f aca="false">O820*'Price Groups'!$B$5</f>
        <v>81.225</v>
      </c>
      <c r="Q820" s="26" t="n">
        <f aca="false">IF(OR(N820="",P820=""),"",(N820-P820)/N820)</f>
        <v>0.560945945945946</v>
      </c>
      <c r="R820" s="27" t="n">
        <v>1</v>
      </c>
      <c r="S820" s="28" t="n">
        <f aca="false">IF(R820="-",0,IFERROR(VLOOKUP(R820,'Price Groups'!$A$13:$C$17,3,FALSE()),0))</f>
        <v>0.22</v>
      </c>
      <c r="T820" s="22" t="n">
        <f aca="false">IF(OR(N820="",R820="-"),"",CEILING(ROUND(N820*(1+S820),2),IF(N820*(1+S820)&lt;100,0.5,IF(N820*(1+S820)&lt;1000,1,5))))</f>
        <v>226</v>
      </c>
      <c r="U820" s="26" t="n">
        <f aca="false">IF(OR(T820="",P820=""),"",(T820-P820)/T820)</f>
        <v>0.640597345132743</v>
      </c>
      <c r="V820" s="26" t="n">
        <f aca="false">IF(T820="",0,T820/N820-1)</f>
        <v>0.221621621621622</v>
      </c>
      <c r="W820" s="19" t="s">
        <v>94</v>
      </c>
    </row>
    <row r="821" customFormat="false" ht="15" hidden="false" customHeight="false" outlineLevel="0" collapsed="false">
      <c r="A821" s="38" t="n">
        <v>770</v>
      </c>
      <c r="B821" s="38" t="s">
        <v>990</v>
      </c>
      <c r="C821" s="38" t="s">
        <v>57</v>
      </c>
      <c r="D821" s="38"/>
      <c r="E821" s="38" t="s">
        <v>58</v>
      </c>
      <c r="F821" s="39" t="n">
        <v>11</v>
      </c>
      <c r="G821" s="39" t="n">
        <v>5</v>
      </c>
      <c r="H821" s="40" t="n">
        <v>793.85</v>
      </c>
      <c r="I821" s="40" t="n">
        <v>-11.98</v>
      </c>
      <c r="J821" s="40" t="n">
        <v>0</v>
      </c>
      <c r="K821" s="41" t="n">
        <f aca="false">H821+I821+J821</f>
        <v>781.87</v>
      </c>
      <c r="L821" s="42" t="n">
        <f aca="false">IF($K$1282=0,0,K821/$K$1282)</f>
        <v>6.47688893076611E-005</v>
      </c>
      <c r="M821" s="43" t="n">
        <f aca="false">IF(F821&lt;=0,0,K821/F821)</f>
        <v>71.0790909090909</v>
      </c>
      <c r="N821" s="40" t="n">
        <v>79.99</v>
      </c>
      <c r="O821" s="44" t="n">
        <v>1.25</v>
      </c>
      <c r="P821" s="43" t="n">
        <f aca="false">O821*'Price Groups'!$B$5</f>
        <v>28.125</v>
      </c>
      <c r="Q821" s="45" t="n">
        <f aca="false">IF(OR(N821="",P821=""),"",(N821-P821)/N821)</f>
        <v>0.648393549193649</v>
      </c>
      <c r="R821" s="46" t="n">
        <v>1</v>
      </c>
      <c r="S821" s="47" t="n">
        <f aca="false">IF(R821="-",0,IFERROR(VLOOKUP(R821,'Price Groups'!$A$13:$C$17,3,FALSE()),0))</f>
        <v>0.22</v>
      </c>
      <c r="T821" s="41" t="n">
        <f aca="false">IF(OR(N821="",R821="-"),"",CEILING(ROUND(N821*(1+S821),2),IF(N821*(1+S821)&lt;100,0.5,IF(N821*(1+S821)&lt;1000,1,5))))</f>
        <v>98</v>
      </c>
      <c r="U821" s="45" t="n">
        <f aca="false">IF(OR(T821="",P821=""),"",(T821-P821)/T821)</f>
        <v>0.713010204081633</v>
      </c>
      <c r="V821" s="45" t="n">
        <f aca="false">IF(T821="",0,T821/N821-1)</f>
        <v>0.225153144143018</v>
      </c>
      <c r="W821" s="38" t="s">
        <v>94</v>
      </c>
    </row>
    <row r="822" customFormat="false" ht="15" hidden="false" customHeight="false" outlineLevel="0" collapsed="false">
      <c r="A822" s="19" t="n">
        <v>771</v>
      </c>
      <c r="B822" s="19" t="s">
        <v>991</v>
      </c>
      <c r="C822" s="19" t="s">
        <v>57</v>
      </c>
      <c r="D822" s="19"/>
      <c r="E822" s="19" t="s">
        <v>58</v>
      </c>
      <c r="F822" s="20" t="n">
        <v>11</v>
      </c>
      <c r="G822" s="20" t="n">
        <v>11</v>
      </c>
      <c r="H822" s="21" t="n">
        <v>1009.87</v>
      </c>
      <c r="I822" s="21" t="n">
        <v>0</v>
      </c>
      <c r="J822" s="21" t="n">
        <v>-159.98</v>
      </c>
      <c r="K822" s="22" t="n">
        <f aca="false">H822+I822+J822</f>
        <v>849.89</v>
      </c>
      <c r="L822" s="23" t="n">
        <f aca="false">IF($K$1282=0,0,K822/$K$1282)</f>
        <v>7.04035598420301E-005</v>
      </c>
      <c r="M822" s="24" t="n">
        <f aca="false">IF(F822&lt;=0,0,K822/F822)</f>
        <v>77.2627272727273</v>
      </c>
      <c r="N822" s="21" t="n">
        <v>64.99</v>
      </c>
      <c r="O822" s="49" t="n">
        <v>1.65</v>
      </c>
      <c r="P822" s="24" t="n">
        <f aca="false">O822*'Price Groups'!$B$5</f>
        <v>37.125</v>
      </c>
      <c r="Q822" s="26" t="n">
        <f aca="false">IF(OR(N822="",P822=""),"",(N822-P822)/N822)</f>
        <v>0.428758270503154</v>
      </c>
      <c r="R822" s="27" t="n">
        <v>1</v>
      </c>
      <c r="S822" s="28" t="n">
        <f aca="false">IF(R822="-",0,IFERROR(VLOOKUP(R822,'Price Groups'!$A$13:$C$17,3,FALSE()),0))</f>
        <v>0.22</v>
      </c>
      <c r="T822" s="22" t="n">
        <f aca="false">IF(OR(N822="",R822="-"),"",CEILING(ROUND(N822*(1+S822),2),IF(N822*(1+S822)&lt;100,0.5,IF(N822*(1+S822)&lt;1000,1,5))))</f>
        <v>79.5</v>
      </c>
      <c r="U822" s="26" t="n">
        <f aca="false">IF(OR(T822="",P822=""),"",(T822-P822)/T822)</f>
        <v>0.533018867924528</v>
      </c>
      <c r="V822" s="26" t="n">
        <f aca="false">IF(T822="",0,T822/N822-1)</f>
        <v>0.223265117710417</v>
      </c>
      <c r="W822" s="19" t="s">
        <v>94</v>
      </c>
    </row>
    <row r="823" customFormat="false" ht="15" hidden="false" customHeight="false" outlineLevel="0" collapsed="false">
      <c r="A823" s="38" t="n">
        <v>772</v>
      </c>
      <c r="B823" s="38" t="s">
        <v>992</v>
      </c>
      <c r="C823" s="38" t="s">
        <v>57</v>
      </c>
      <c r="D823" s="38"/>
      <c r="E823" s="38" t="s">
        <v>58</v>
      </c>
      <c r="F823" s="39" t="n">
        <v>11</v>
      </c>
      <c r="G823" s="39" t="n">
        <v>16</v>
      </c>
      <c r="H823" s="40" t="n">
        <v>5445.54</v>
      </c>
      <c r="I823" s="40" t="n">
        <v>0</v>
      </c>
      <c r="J823" s="40" t="n">
        <v>-2749.89</v>
      </c>
      <c r="K823" s="41" t="n">
        <f aca="false">H823+I823+J823</f>
        <v>2695.65</v>
      </c>
      <c r="L823" s="42" t="n">
        <f aca="false">IF($K$1282=0,0,K823/$K$1282)</f>
        <v>0.000223303434665861</v>
      </c>
      <c r="M823" s="43" t="n">
        <f aca="false">IF(F823&lt;=0,0,K823/F823)</f>
        <v>245.059090909091</v>
      </c>
      <c r="N823" s="40" t="n">
        <v>249.99</v>
      </c>
      <c r="O823" s="44" t="n">
        <v>7.84</v>
      </c>
      <c r="P823" s="43" t="n">
        <f aca="false">O823*'Price Groups'!$B$5</f>
        <v>176.4</v>
      </c>
      <c r="Q823" s="45" t="n">
        <f aca="false">IF(OR(N823="",P823=""),"",(N823-P823)/N823)</f>
        <v>0.294371774870995</v>
      </c>
      <c r="R823" s="46" t="n">
        <v>1</v>
      </c>
      <c r="S823" s="47" t="n">
        <f aca="false">IF(R823="-",0,IFERROR(VLOOKUP(R823,'Price Groups'!$A$13:$C$17,3,FALSE()),0))</f>
        <v>0.22</v>
      </c>
      <c r="T823" s="41" t="n">
        <f aca="false">IF(OR(N823="",R823="-"),"",CEILING(ROUND(N823*(1+S823),2),IF(N823*(1+S823)&lt;100,0.5,IF(N823*(1+S823)&lt;1000,1,5))))</f>
        <v>305</v>
      </c>
      <c r="U823" s="45" t="n">
        <f aca="false">IF(OR(T823="",P823=""),"",(T823-P823)/T823)</f>
        <v>0.421639344262295</v>
      </c>
      <c r="V823" s="45" t="n">
        <f aca="false">IF(T823="",0,T823/N823-1)</f>
        <v>0.220048801952078</v>
      </c>
      <c r="W823" s="38" t="s">
        <v>94</v>
      </c>
    </row>
    <row r="824" customFormat="false" ht="15" hidden="false" customHeight="false" outlineLevel="0" collapsed="false">
      <c r="A824" s="19" t="n">
        <v>773</v>
      </c>
      <c r="B824" s="19" t="s">
        <v>993</v>
      </c>
      <c r="C824" s="19" t="s">
        <v>57</v>
      </c>
      <c r="D824" s="19"/>
      <c r="E824" s="19" t="s">
        <v>58</v>
      </c>
      <c r="F824" s="20" t="n">
        <v>11</v>
      </c>
      <c r="G824" s="20" t="n">
        <v>10</v>
      </c>
      <c r="H824" s="21" t="n">
        <v>3458</v>
      </c>
      <c r="I824" s="21" t="n">
        <v>-2.87</v>
      </c>
      <c r="J824" s="21" t="n">
        <v>-559</v>
      </c>
      <c r="K824" s="22" t="n">
        <f aca="false">H824+I824+J824</f>
        <v>2896.13</v>
      </c>
      <c r="L824" s="23" t="n">
        <f aca="false">IF($K$1282=0,0,K824/$K$1282)</f>
        <v>0.000239910884661896</v>
      </c>
      <c r="M824" s="24" t="n">
        <f aca="false">IF(F824&lt;=0,0,K824/F824)</f>
        <v>263.284545454546</v>
      </c>
      <c r="N824" s="21" t="n">
        <v>299</v>
      </c>
      <c r="O824" s="49" t="n">
        <v>19.5</v>
      </c>
      <c r="P824" s="24" t="n">
        <f aca="false">O824*'Price Groups'!$B$5</f>
        <v>438.75</v>
      </c>
      <c r="Q824" s="26" t="n">
        <f aca="false">IF(OR(N824="",P824=""),"",(N824-P824)/N824)</f>
        <v>-0.467391304347826</v>
      </c>
      <c r="R824" s="27" t="n">
        <v>1</v>
      </c>
      <c r="S824" s="28" t="n">
        <f aca="false">IF(R824="-",0,IFERROR(VLOOKUP(R824,'Price Groups'!$A$13:$C$17,3,FALSE()),0))</f>
        <v>0.22</v>
      </c>
      <c r="T824" s="22" t="n">
        <f aca="false">IF(OR(N824="",R824="-"),"",CEILING(ROUND(N824*(1+S824),2),IF(N824*(1+S824)&lt;100,0.5,IF(N824*(1+S824)&lt;1000,1,5))))</f>
        <v>365</v>
      </c>
      <c r="U824" s="26" t="n">
        <f aca="false">IF(OR(T824="",P824=""),"",(T824-P824)/T824)</f>
        <v>-0.202054794520548</v>
      </c>
      <c r="V824" s="26" t="n">
        <f aca="false">IF(T824="",0,T824/N824-1)</f>
        <v>0.220735785953177</v>
      </c>
      <c r="W824" s="19" t="s">
        <v>994</v>
      </c>
    </row>
    <row r="825" customFormat="false" ht="15" hidden="false" customHeight="false" outlineLevel="0" collapsed="false">
      <c r="A825" s="38" t="n">
        <v>774</v>
      </c>
      <c r="B825" s="38" t="s">
        <v>249</v>
      </c>
      <c r="C825" s="38" t="s">
        <v>307</v>
      </c>
      <c r="D825" s="38" t="s">
        <v>248</v>
      </c>
      <c r="E825" s="38" t="s">
        <v>58</v>
      </c>
      <c r="F825" s="39" t="n">
        <v>11</v>
      </c>
      <c r="G825" s="39" t="n">
        <v>12</v>
      </c>
      <c r="H825" s="40" t="n">
        <v>7149.87</v>
      </c>
      <c r="I825" s="40" t="n">
        <v>0</v>
      </c>
      <c r="J825" s="40" t="n">
        <v>-1099.98</v>
      </c>
      <c r="K825" s="41" t="n">
        <f aca="false">H825+I825+J825</f>
        <v>6049.89</v>
      </c>
      <c r="L825" s="42" t="n">
        <f aca="false">IF($K$1282=0,0,K825/$K$1282)</f>
        <v>0.000501163436036075</v>
      </c>
      <c r="M825" s="43" t="n">
        <f aca="false">IF(F825&lt;=0,0,K825/F825)</f>
        <v>549.99</v>
      </c>
      <c r="N825" s="40" t="n">
        <v>705</v>
      </c>
      <c r="O825" s="44" t="n">
        <v>12.6</v>
      </c>
      <c r="P825" s="43" t="n">
        <f aca="false">O825*'Price Groups'!$B$5</f>
        <v>283.5</v>
      </c>
      <c r="Q825" s="45" t="n">
        <f aca="false">IF(OR(N825="",P825=""),"",(N825-P825)/N825)</f>
        <v>0.597872340425532</v>
      </c>
      <c r="R825" s="46" t="n">
        <v>3</v>
      </c>
      <c r="S825" s="47" t="n">
        <f aca="false">IF(R825="-",0,IFERROR(VLOOKUP(R825,'Price Groups'!$A$13:$C$17,3,FALSE()),0))</f>
        <v>0.16</v>
      </c>
      <c r="T825" s="41" t="n">
        <f aca="false">IF(OR(N825="",R825="-"),"",CEILING(ROUND(N825*(1+S825),2),IF(N825*(1+S825)&lt;100,0.5,IF(N825*(1+S825)&lt;1000,1,5))))</f>
        <v>818</v>
      </c>
      <c r="U825" s="45" t="n">
        <f aca="false">IF(OR(T825="",P825=""),"",(T825-P825)/T825)</f>
        <v>0.653422982885086</v>
      </c>
      <c r="V825" s="45" t="n">
        <f aca="false">IF(T825="",0,T825/N825-1)</f>
        <v>0.160283687943262</v>
      </c>
      <c r="W825" s="38" t="s">
        <v>995</v>
      </c>
    </row>
    <row r="826" customFormat="false" ht="15" hidden="false" customHeight="false" outlineLevel="0" collapsed="false">
      <c r="A826" s="19" t="n">
        <v>775</v>
      </c>
      <c r="B826" s="19" t="s">
        <v>996</v>
      </c>
      <c r="C826" s="19" t="s">
        <v>57</v>
      </c>
      <c r="D826" s="19"/>
      <c r="E826" s="19" t="s">
        <v>58</v>
      </c>
      <c r="F826" s="20" t="n">
        <v>11</v>
      </c>
      <c r="G826" s="20" t="n">
        <v>9</v>
      </c>
      <c r="H826" s="21" t="n">
        <v>245.94</v>
      </c>
      <c r="I826" s="21" t="n">
        <v>-2.14</v>
      </c>
      <c r="J826" s="21" t="n">
        <v>-21</v>
      </c>
      <c r="K826" s="22" t="n">
        <f aca="false">H826+I826+J826</f>
        <v>222.8</v>
      </c>
      <c r="L826" s="23" t="n">
        <f aca="false">IF($K$1282=0,0,K826/$K$1282)</f>
        <v>1.84564039261602E-005</v>
      </c>
      <c r="M826" s="24" t="n">
        <f aca="false">IF(F826&lt;=0,0,K826/F826)</f>
        <v>20.2545454545455</v>
      </c>
      <c r="N826" s="21" t="n">
        <v>21</v>
      </c>
      <c r="O826" s="25"/>
      <c r="P826" s="24"/>
      <c r="Q826" s="26" t="str">
        <f aca="false">IF(OR(N826="",P826=""),"",(N826-P826)/N826)</f>
        <v/>
      </c>
      <c r="R826" s="27" t="n">
        <v>2</v>
      </c>
      <c r="S826" s="28" t="n">
        <f aca="false">IF(R826="-",0,IFERROR(VLOOKUP(R826,'Price Groups'!$A$13:$C$17,3,FALSE()),0))</f>
        <v>0.18</v>
      </c>
      <c r="T826" s="22" t="n">
        <f aca="false">IF(OR(N826="",R826="-"),"",CEILING(ROUND(N826*(1+S826),2),IF(N826*(1+S826)&lt;100,0.5,IF(N826*(1+S826)&lt;1000,1,5))))</f>
        <v>25</v>
      </c>
      <c r="U826" s="26" t="str">
        <f aca="false">IF(OR(T826="",P826=""),"",(T826-P826)/T826)</f>
        <v/>
      </c>
      <c r="V826" s="26" t="n">
        <f aca="false">IF(T826="",0,T826/N826-1)</f>
        <v>0.19047619047619</v>
      </c>
      <c r="W826" s="19" t="s">
        <v>129</v>
      </c>
    </row>
    <row r="827" customFormat="false" ht="15" hidden="false" customHeight="false" outlineLevel="0" collapsed="false">
      <c r="A827" s="38" t="n">
        <v>776</v>
      </c>
      <c r="B827" s="38" t="s">
        <v>997</v>
      </c>
      <c r="C827" s="38" t="s">
        <v>57</v>
      </c>
      <c r="D827" s="38"/>
      <c r="E827" s="38" t="s">
        <v>58</v>
      </c>
      <c r="F827" s="39" t="n">
        <v>11</v>
      </c>
      <c r="G827" s="39" t="n">
        <v>6</v>
      </c>
      <c r="H827" s="40" t="n">
        <v>384.89</v>
      </c>
      <c r="I827" s="40" t="n">
        <v>0</v>
      </c>
      <c r="J827" s="40" t="n">
        <v>0</v>
      </c>
      <c r="K827" s="41" t="n">
        <f aca="false">H827+I827+J827</f>
        <v>384.89</v>
      </c>
      <c r="L827" s="42" t="n">
        <f aca="false">IF($K$1282=0,0,K827/$K$1282)</f>
        <v>3.1883686297755E-005</v>
      </c>
      <c r="M827" s="43" t="n">
        <f aca="false">IF(F827&lt;=0,0,K827/F827)</f>
        <v>34.99</v>
      </c>
      <c r="N827" s="40" t="n">
        <v>34.99</v>
      </c>
      <c r="O827" s="44" t="n">
        <v>0.78</v>
      </c>
      <c r="P827" s="43" t="n">
        <f aca="false">O827*'Price Groups'!$B$5</f>
        <v>17.55</v>
      </c>
      <c r="Q827" s="45" t="n">
        <f aca="false">IF(OR(N827="",P827=""),"",(N827-P827)/N827)</f>
        <v>0.498428122320663</v>
      </c>
      <c r="R827" s="46" t="n">
        <v>1</v>
      </c>
      <c r="S827" s="47" t="n">
        <f aca="false">IF(R827="-",0,IFERROR(VLOOKUP(R827,'Price Groups'!$A$13:$C$17,3,FALSE()),0))</f>
        <v>0.22</v>
      </c>
      <c r="T827" s="41" t="n">
        <f aca="false">IF(OR(N827="",R827="-"),"",CEILING(ROUND(N827*(1+S827),2),IF(N827*(1+S827)&lt;100,0.5,IF(N827*(1+S827)&lt;1000,1,5))))</f>
        <v>43</v>
      </c>
      <c r="U827" s="45" t="n">
        <f aca="false">IF(OR(T827="",P827=""),"",(T827-P827)/T827)</f>
        <v>0.591860465116279</v>
      </c>
      <c r="V827" s="45" t="n">
        <f aca="false">IF(T827="",0,T827/N827-1)</f>
        <v>0.2289225492998</v>
      </c>
      <c r="W827" s="38" t="s">
        <v>94</v>
      </c>
    </row>
    <row r="828" customFormat="false" ht="15" hidden="false" customHeight="false" outlineLevel="0" collapsed="false">
      <c r="A828" s="19" t="n">
        <v>777</v>
      </c>
      <c r="B828" s="19" t="s">
        <v>998</v>
      </c>
      <c r="C828" s="19" t="s">
        <v>57</v>
      </c>
      <c r="D828" s="19"/>
      <c r="E828" s="19" t="s">
        <v>58</v>
      </c>
      <c r="F828" s="20" t="n">
        <v>11</v>
      </c>
      <c r="G828" s="20" t="n">
        <v>12</v>
      </c>
      <c r="H828" s="21" t="n">
        <v>6499.87</v>
      </c>
      <c r="I828" s="21" t="n">
        <v>0</v>
      </c>
      <c r="J828" s="21" t="n">
        <v>-999.98</v>
      </c>
      <c r="K828" s="22" t="n">
        <f aca="false">H828+I828+J828</f>
        <v>5499.89</v>
      </c>
      <c r="L828" s="23" t="n">
        <f aca="false">IF($K$1282=0,0,K828/$K$1282)</f>
        <v>0.000455602295284782</v>
      </c>
      <c r="M828" s="24" t="n">
        <f aca="false">IF(F828&lt;=0,0,K828/F828)</f>
        <v>499.99</v>
      </c>
      <c r="N828" s="21" t="n">
        <v>499.99</v>
      </c>
      <c r="O828" s="49" t="n">
        <v>10.67</v>
      </c>
      <c r="P828" s="24" t="n">
        <f aca="false">O828*'Price Groups'!$B$5</f>
        <v>240.075</v>
      </c>
      <c r="Q828" s="26" t="n">
        <f aca="false">IF(OR(N828="",P828=""),"",(N828-P828)/N828)</f>
        <v>0.519840396807936</v>
      </c>
      <c r="R828" s="27" t="n">
        <v>1</v>
      </c>
      <c r="S828" s="28" t="n">
        <f aca="false">IF(R828="-",0,IFERROR(VLOOKUP(R828,'Price Groups'!$A$13:$C$17,3,FALSE()),0))</f>
        <v>0.22</v>
      </c>
      <c r="T828" s="22" t="n">
        <f aca="false">IF(OR(N828="",R828="-"),"",CEILING(ROUND(N828*(1+S828),2),IF(N828*(1+S828)&lt;100,0.5,IF(N828*(1+S828)&lt;1000,1,5))))</f>
        <v>610</v>
      </c>
      <c r="U828" s="26" t="n">
        <f aca="false">IF(OR(T828="",P828=""),"",(T828-P828)/T828)</f>
        <v>0.606434426229508</v>
      </c>
      <c r="V828" s="26" t="n">
        <f aca="false">IF(T828="",0,T828/N828-1)</f>
        <v>0.22002440048801</v>
      </c>
      <c r="W828" s="19" t="s">
        <v>94</v>
      </c>
    </row>
    <row r="829" customFormat="false" ht="15" hidden="false" customHeight="false" outlineLevel="0" collapsed="false">
      <c r="A829" s="38" t="n">
        <v>778</v>
      </c>
      <c r="B829" s="38" t="s">
        <v>999</v>
      </c>
      <c r="C829" s="38" t="s">
        <v>57</v>
      </c>
      <c r="D829" s="38"/>
      <c r="E829" s="38" t="s">
        <v>58</v>
      </c>
      <c r="F829" s="39" t="n">
        <v>11</v>
      </c>
      <c r="G829" s="39" t="n">
        <v>11</v>
      </c>
      <c r="H829" s="40" t="n">
        <v>6499.87</v>
      </c>
      <c r="I829" s="40" t="n">
        <v>0</v>
      </c>
      <c r="J829" s="40" t="n">
        <v>-999.98</v>
      </c>
      <c r="K829" s="41" t="n">
        <f aca="false">H829+I829+J829</f>
        <v>5499.89</v>
      </c>
      <c r="L829" s="42" t="n">
        <f aca="false">IF($K$1282=0,0,K829/$K$1282)</f>
        <v>0.000455602295284782</v>
      </c>
      <c r="M829" s="43" t="n">
        <f aca="false">IF(F829&lt;=0,0,K829/F829)</f>
        <v>499.99</v>
      </c>
      <c r="N829" s="40" t="n">
        <v>499.99</v>
      </c>
      <c r="O829" s="44" t="n">
        <v>10.89</v>
      </c>
      <c r="P829" s="43" t="n">
        <f aca="false">O829*'Price Groups'!$B$5</f>
        <v>245.025</v>
      </c>
      <c r="Q829" s="45" t="n">
        <f aca="false">IF(OR(N829="",P829=""),"",(N829-P829)/N829)</f>
        <v>0.509940198803976</v>
      </c>
      <c r="R829" s="46" t="n">
        <v>1</v>
      </c>
      <c r="S829" s="47" t="n">
        <f aca="false">IF(R829="-",0,IFERROR(VLOOKUP(R829,'Price Groups'!$A$13:$C$17,3,FALSE()),0))</f>
        <v>0.22</v>
      </c>
      <c r="T829" s="41" t="n">
        <f aca="false">IF(OR(N829="",R829="-"),"",CEILING(ROUND(N829*(1+S829),2),IF(N829*(1+S829)&lt;100,0.5,IF(N829*(1+S829)&lt;1000,1,5))))</f>
        <v>610</v>
      </c>
      <c r="U829" s="45" t="n">
        <f aca="false">IF(OR(T829="",P829=""),"",(T829-P829)/T829)</f>
        <v>0.598319672131148</v>
      </c>
      <c r="V829" s="45" t="n">
        <f aca="false">IF(T829="",0,T829/N829-1)</f>
        <v>0.22002440048801</v>
      </c>
      <c r="W829" s="38" t="s">
        <v>94</v>
      </c>
    </row>
    <row r="830" customFormat="false" ht="15" hidden="false" customHeight="false" outlineLevel="0" collapsed="false">
      <c r="A830" s="19" t="n">
        <v>779</v>
      </c>
      <c r="B830" s="19" t="s">
        <v>1000</v>
      </c>
      <c r="C830" s="19" t="s">
        <v>57</v>
      </c>
      <c r="D830" s="19"/>
      <c r="E830" s="19" t="s">
        <v>58</v>
      </c>
      <c r="F830" s="20" t="n">
        <v>11</v>
      </c>
      <c r="G830" s="20" t="n">
        <v>11</v>
      </c>
      <c r="H830" s="21" t="n">
        <v>4799.88</v>
      </c>
      <c r="I830" s="21" t="n">
        <v>-79.99</v>
      </c>
      <c r="J830" s="21" t="n">
        <v>-399.99</v>
      </c>
      <c r="K830" s="22" t="n">
        <f aca="false">H830+I830+J830</f>
        <v>4319.9</v>
      </c>
      <c r="L830" s="23" t="n">
        <f aca="false">IF($K$1282=0,0,K830/$K$1282)</f>
        <v>0.000357853767148203</v>
      </c>
      <c r="M830" s="24" t="n">
        <f aca="false">IF(F830&lt;=0,0,K830/F830)</f>
        <v>392.718181818182</v>
      </c>
      <c r="N830" s="21" t="n">
        <v>399.99</v>
      </c>
      <c r="O830" s="49" t="n">
        <v>9</v>
      </c>
      <c r="P830" s="24" t="n">
        <f aca="false">O830*'Price Groups'!$B$5</f>
        <v>202.5</v>
      </c>
      <c r="Q830" s="26" t="n">
        <f aca="false">IF(OR(N830="",P830=""),"",(N830-P830)/N830)</f>
        <v>0.493737343433586</v>
      </c>
      <c r="R830" s="27" t="n">
        <v>1</v>
      </c>
      <c r="S830" s="28" t="n">
        <f aca="false">IF(R830="-",0,IFERROR(VLOOKUP(R830,'Price Groups'!$A$13:$C$17,3,FALSE()),0))</f>
        <v>0.22</v>
      </c>
      <c r="T830" s="22" t="n">
        <f aca="false">IF(OR(N830="",R830="-"),"",CEILING(ROUND(N830*(1+S830),2),IF(N830*(1+S830)&lt;100,0.5,IF(N830*(1+S830)&lt;1000,1,5))))</f>
        <v>488</v>
      </c>
      <c r="U830" s="26" t="n">
        <f aca="false">IF(OR(T830="",P830=""),"",(T830-P830)/T830)</f>
        <v>0.585040983606557</v>
      </c>
      <c r="V830" s="26" t="n">
        <f aca="false">IF(T830="",0,T830/N830-1)</f>
        <v>0.220030500762519</v>
      </c>
      <c r="W830" s="19" t="s">
        <v>94</v>
      </c>
    </row>
    <row r="831" customFormat="false" ht="15" hidden="false" customHeight="false" outlineLevel="0" collapsed="false">
      <c r="A831" s="38" t="n">
        <v>780</v>
      </c>
      <c r="B831" s="38" t="s">
        <v>185</v>
      </c>
      <c r="C831" s="38" t="s">
        <v>307</v>
      </c>
      <c r="D831" s="38" t="s">
        <v>184</v>
      </c>
      <c r="E831" s="38" t="s">
        <v>58</v>
      </c>
      <c r="F831" s="39" t="n">
        <v>11</v>
      </c>
      <c r="G831" s="39" t="n">
        <v>8</v>
      </c>
      <c r="H831" s="40" t="n">
        <v>3900</v>
      </c>
      <c r="I831" s="40" t="n">
        <v>0</v>
      </c>
      <c r="J831" s="40" t="n">
        <v>0</v>
      </c>
      <c r="K831" s="41" t="n">
        <f aca="false">H831+I831+J831</f>
        <v>3900</v>
      </c>
      <c r="L831" s="42" t="n">
        <f aca="false">IF($K$1282=0,0,K831/$K$1282)</f>
        <v>0.000323069907145534</v>
      </c>
      <c r="M831" s="43" t="n">
        <f aca="false">IF(F831&lt;=0,0,K831/F831)</f>
        <v>354.545454545455</v>
      </c>
      <c r="N831" s="40" t="n">
        <v>425</v>
      </c>
      <c r="O831" s="44" t="n">
        <v>6.2</v>
      </c>
      <c r="P831" s="43" t="n">
        <f aca="false">O831*'Price Groups'!$B$5</f>
        <v>139.5</v>
      </c>
      <c r="Q831" s="45" t="n">
        <f aca="false">IF(OR(N831="",P831=""),"",(N831-P831)/N831)</f>
        <v>0.671764705882353</v>
      </c>
      <c r="R831" s="46" t="n">
        <v>3</v>
      </c>
      <c r="S831" s="47" t="n">
        <f aca="false">IF(R831="-",0,IFERROR(VLOOKUP(R831,'Price Groups'!$A$13:$C$17,3,FALSE()),0))</f>
        <v>0.16</v>
      </c>
      <c r="T831" s="41" t="n">
        <f aca="false">IF(OR(N831="",R831="-"),"",CEILING(ROUND(N831*(1+S831),2),IF(N831*(1+S831)&lt;100,0.5,IF(N831*(1+S831)&lt;1000,1,5))))</f>
        <v>493</v>
      </c>
      <c r="U831" s="45" t="n">
        <f aca="false">IF(OR(T831="",P831=""),"",(T831-P831)/T831)</f>
        <v>0.717038539553753</v>
      </c>
      <c r="V831" s="45" t="n">
        <f aca="false">IF(T831="",0,T831/N831-1)</f>
        <v>0.16</v>
      </c>
      <c r="W831" s="38" t="s">
        <v>1001</v>
      </c>
    </row>
    <row r="832" customFormat="false" ht="15" hidden="false" customHeight="false" outlineLevel="0" collapsed="false">
      <c r="A832" s="19" t="n">
        <v>781</v>
      </c>
      <c r="B832" s="19" t="s">
        <v>1002</v>
      </c>
      <c r="C832" s="19" t="s">
        <v>57</v>
      </c>
      <c r="D832" s="19"/>
      <c r="E832" s="19" t="s">
        <v>58</v>
      </c>
      <c r="F832" s="20" t="n">
        <v>11</v>
      </c>
      <c r="G832" s="20" t="n">
        <v>11</v>
      </c>
      <c r="H832" s="21" t="n">
        <v>2089.89</v>
      </c>
      <c r="I832" s="21" t="n">
        <v>-18.99</v>
      </c>
      <c r="J832" s="21" t="n">
        <v>0</v>
      </c>
      <c r="K832" s="22" t="n">
        <f aca="false">H832+I832+J832</f>
        <v>2070.9</v>
      </c>
      <c r="L832" s="23" t="n">
        <f aca="false">IF($K$1282=0,0,K832/$K$1282)</f>
        <v>0.000171550120694278</v>
      </c>
      <c r="M832" s="24" t="n">
        <f aca="false">IF(F832&lt;=0,0,K832/F832)</f>
        <v>188.263636363636</v>
      </c>
      <c r="N832" s="21" t="n">
        <v>189.99</v>
      </c>
      <c r="O832" s="49" t="n">
        <v>4.13</v>
      </c>
      <c r="P832" s="24" t="n">
        <f aca="false">O832*'Price Groups'!$B$5</f>
        <v>92.925</v>
      </c>
      <c r="Q832" s="26" t="n">
        <f aca="false">IF(OR(N832="",P832=""),"",(N832-P832)/N832)</f>
        <v>0.510895310279488</v>
      </c>
      <c r="R832" s="27" t="n">
        <v>1</v>
      </c>
      <c r="S832" s="28" t="n">
        <f aca="false">IF(R832="-",0,IFERROR(VLOOKUP(R832,'Price Groups'!$A$13:$C$17,3,FALSE()),0))</f>
        <v>0.22</v>
      </c>
      <c r="T832" s="22" t="n">
        <f aca="false">IF(OR(N832="",R832="-"),"",CEILING(ROUND(N832*(1+S832),2),IF(N832*(1+S832)&lt;100,0.5,IF(N832*(1+S832)&lt;1000,1,5))))</f>
        <v>232</v>
      </c>
      <c r="U832" s="26" t="n">
        <f aca="false">IF(OR(T832="",P832=""),"",(T832-P832)/T832)</f>
        <v>0.599461206896552</v>
      </c>
      <c r="V832" s="26" t="n">
        <f aca="false">IF(T832="",0,T832/N832-1)</f>
        <v>0.22111690088952</v>
      </c>
      <c r="W832" s="19" t="s">
        <v>94</v>
      </c>
    </row>
    <row r="833" customFormat="false" ht="15" hidden="false" customHeight="false" outlineLevel="0" collapsed="false">
      <c r="A833" s="38" t="n">
        <v>782</v>
      </c>
      <c r="B833" s="38" t="s">
        <v>1003</v>
      </c>
      <c r="C833" s="38" t="s">
        <v>57</v>
      </c>
      <c r="D833" s="38"/>
      <c r="E833" s="38" t="s">
        <v>58</v>
      </c>
      <c r="F833" s="39" t="n">
        <v>10</v>
      </c>
      <c r="G833" s="39" t="n">
        <v>9</v>
      </c>
      <c r="H833" s="40" t="n">
        <v>3421.99</v>
      </c>
      <c r="I833" s="40" t="n">
        <v>-0.4</v>
      </c>
      <c r="J833" s="40" t="n">
        <v>0</v>
      </c>
      <c r="K833" s="41" t="n">
        <f aca="false">H833+I833+J833</f>
        <v>3421.59</v>
      </c>
      <c r="L833" s="42" t="n">
        <f aca="false">IF($K$1282=0,0,K833/$K$1282)</f>
        <v>0.000283439170151304</v>
      </c>
      <c r="M833" s="43" t="n">
        <f aca="false">IF(F833&lt;=0,0,K833/F833)</f>
        <v>342.159</v>
      </c>
      <c r="N833" s="40" t="n">
        <v>380</v>
      </c>
      <c r="O833" s="44" t="n">
        <v>10.5</v>
      </c>
      <c r="P833" s="43" t="n">
        <f aca="false">O833*'Price Groups'!$B$5</f>
        <v>236.25</v>
      </c>
      <c r="Q833" s="45" t="n">
        <f aca="false">IF(OR(N833="",P833=""),"",(N833-P833)/N833)</f>
        <v>0.378289473684211</v>
      </c>
      <c r="R833" s="46" t="n">
        <v>1</v>
      </c>
      <c r="S833" s="47" t="n">
        <f aca="false">IF(R833="-",0,IFERROR(VLOOKUP(R833,'Price Groups'!$A$13:$C$17,3,FALSE()),0))</f>
        <v>0.22</v>
      </c>
      <c r="T833" s="41" t="n">
        <f aca="false">IF(OR(N833="",R833="-"),"",CEILING(ROUND(N833*(1+S833),2),IF(N833*(1+S833)&lt;100,0.5,IF(N833*(1+S833)&lt;1000,1,5))))</f>
        <v>464</v>
      </c>
      <c r="U833" s="45" t="n">
        <f aca="false">IF(OR(T833="",P833=""),"",(T833-P833)/T833)</f>
        <v>0.490840517241379</v>
      </c>
      <c r="V833" s="45" t="n">
        <f aca="false">IF(T833="",0,T833/N833-1)</f>
        <v>0.221052631578947</v>
      </c>
      <c r="W833" s="38" t="s">
        <v>94</v>
      </c>
    </row>
    <row r="834" customFormat="false" ht="15" hidden="false" customHeight="false" outlineLevel="0" collapsed="false">
      <c r="A834" s="19" t="n">
        <v>783</v>
      </c>
      <c r="B834" s="19" t="s">
        <v>1004</v>
      </c>
      <c r="C834" s="19" t="s">
        <v>57</v>
      </c>
      <c r="D834" s="19"/>
      <c r="E834" s="19" t="s">
        <v>58</v>
      </c>
      <c r="F834" s="20" t="n">
        <v>10</v>
      </c>
      <c r="G834" s="20" t="n">
        <v>2</v>
      </c>
      <c r="H834" s="21" t="n">
        <v>989.89</v>
      </c>
      <c r="I834" s="21" t="n">
        <v>0</v>
      </c>
      <c r="J834" s="21" t="n">
        <v>-89.99</v>
      </c>
      <c r="K834" s="22" t="n">
        <f aca="false">H834+I834+J834</f>
        <v>899.9</v>
      </c>
      <c r="L834" s="23" t="n">
        <f aca="false">IF($K$1282=0,0,K834/$K$1282)</f>
        <v>7.45463101128886E-005</v>
      </c>
      <c r="M834" s="24" t="n">
        <f aca="false">IF(F834&lt;=0,0,K834/F834)</f>
        <v>89.99</v>
      </c>
      <c r="N834" s="21" t="n">
        <v>89.99</v>
      </c>
      <c r="O834" s="49" t="n">
        <v>1.94</v>
      </c>
      <c r="P834" s="24" t="n">
        <f aca="false">O834*'Price Groups'!$B$5</f>
        <v>43.65</v>
      </c>
      <c r="Q834" s="26" t="n">
        <f aca="false">IF(OR(N834="",P834=""),"",(N834-P834)/N834)</f>
        <v>0.514946105122791</v>
      </c>
      <c r="R834" s="27" t="n">
        <v>1</v>
      </c>
      <c r="S834" s="28" t="n">
        <f aca="false">IF(R834="-",0,IFERROR(VLOOKUP(R834,'Price Groups'!$A$13:$C$17,3,FALSE()),0))</f>
        <v>0.22</v>
      </c>
      <c r="T834" s="22" t="n">
        <f aca="false">IF(OR(N834="",R834="-"),"",CEILING(ROUND(N834*(1+S834),2),IF(N834*(1+S834)&lt;100,0.5,IF(N834*(1+S834)&lt;1000,1,5))))</f>
        <v>110</v>
      </c>
      <c r="U834" s="26" t="n">
        <f aca="false">IF(OR(T834="",P834=""),"",(T834-P834)/T834)</f>
        <v>0.603181818181818</v>
      </c>
      <c r="V834" s="26" t="n">
        <f aca="false">IF(T834="",0,T834/N834-1)</f>
        <v>0.222358039782198</v>
      </c>
      <c r="W834" s="19" t="s">
        <v>94</v>
      </c>
    </row>
    <row r="835" customFormat="false" ht="15" hidden="false" customHeight="false" outlineLevel="0" collapsed="false">
      <c r="A835" s="38" t="n">
        <v>784</v>
      </c>
      <c r="B835" s="38" t="s">
        <v>1005</v>
      </c>
      <c r="C835" s="38" t="s">
        <v>57</v>
      </c>
      <c r="D835" s="38"/>
      <c r="E835" s="38" t="s">
        <v>58</v>
      </c>
      <c r="F835" s="39" t="n">
        <v>10</v>
      </c>
      <c r="G835" s="39" t="n">
        <v>10</v>
      </c>
      <c r="H835" s="40" t="n">
        <v>13256</v>
      </c>
      <c r="I835" s="40" t="n">
        <v>-173.96</v>
      </c>
      <c r="J835" s="40" t="n">
        <v>0</v>
      </c>
      <c r="K835" s="41" t="n">
        <f aca="false">H835+I835+J835</f>
        <v>13082.04</v>
      </c>
      <c r="L835" s="42" t="n">
        <f aca="false">IF($K$1282=0,0,K835/$K$1282)</f>
        <v>0.00108369575591645</v>
      </c>
      <c r="M835" s="43" t="n">
        <f aca="false">IF(F835&lt;=0,0,K835/F835)</f>
        <v>1308.204</v>
      </c>
      <c r="N835" s="40" t="n">
        <v>1450</v>
      </c>
      <c r="O835" s="44" t="n">
        <v>24.15</v>
      </c>
      <c r="P835" s="43" t="n">
        <f aca="false">O835*'Price Groups'!$B$5</f>
        <v>543.375</v>
      </c>
      <c r="Q835" s="45" t="n">
        <f aca="false">IF(OR(N835="",P835=""),"",(N835-P835)/N835)</f>
        <v>0.625258620689655</v>
      </c>
      <c r="R835" s="46" t="n">
        <v>3</v>
      </c>
      <c r="S835" s="47" t="n">
        <f aca="false">IF(R835="-",0,IFERROR(VLOOKUP(R835,'Price Groups'!$A$13:$C$17,3,FALSE()),0))</f>
        <v>0.16</v>
      </c>
      <c r="T835" s="41" t="n">
        <f aca="false">IF(OR(N835="",R835="-"),"",CEILING(ROUND(N835*(1+S835),2),IF(N835*(1+S835)&lt;100,0.5,IF(N835*(1+S835)&lt;1000,1,5))))</f>
        <v>1685</v>
      </c>
      <c r="U835" s="45" t="n">
        <f aca="false">IF(OR(T835="",P835=""),"",(T835-P835)/T835)</f>
        <v>0.677522255192878</v>
      </c>
      <c r="V835" s="45" t="n">
        <f aca="false">IF(T835="",0,T835/N835-1)</f>
        <v>0.162068965517241</v>
      </c>
      <c r="W835" s="38" t="s">
        <v>107</v>
      </c>
    </row>
    <row r="836" customFormat="false" ht="15" hidden="false" customHeight="false" outlineLevel="0" collapsed="false">
      <c r="A836" s="19" t="n">
        <v>785</v>
      </c>
      <c r="B836" s="19" t="s">
        <v>1006</v>
      </c>
      <c r="C836" s="19" t="s">
        <v>57</v>
      </c>
      <c r="D836" s="19"/>
      <c r="E836" s="19" t="s">
        <v>58</v>
      </c>
      <c r="F836" s="20" t="n">
        <v>10</v>
      </c>
      <c r="G836" s="20" t="n">
        <v>8</v>
      </c>
      <c r="H836" s="21" t="n">
        <v>6389.96</v>
      </c>
      <c r="I836" s="21" t="n">
        <v>-47.94</v>
      </c>
      <c r="J836" s="21" t="n">
        <v>-650</v>
      </c>
      <c r="K836" s="22" t="n">
        <f aca="false">H836+I836+J836</f>
        <v>5692.02</v>
      </c>
      <c r="L836" s="23" t="n">
        <f aca="false">IF($K$1282=0,0,K836/$K$1282)</f>
        <v>0.000471518044325775</v>
      </c>
      <c r="M836" s="24" t="n">
        <f aca="false">IF(F836&lt;=0,0,K836/F836)</f>
        <v>569.202</v>
      </c>
      <c r="N836" s="21" t="n">
        <v>500</v>
      </c>
      <c r="O836" s="49" t="n">
        <v>12.98</v>
      </c>
      <c r="P836" s="24" t="n">
        <f aca="false">O836*'Price Groups'!$B$5</f>
        <v>292.05</v>
      </c>
      <c r="Q836" s="26" t="n">
        <f aca="false">IF(OR(N836="",P836=""),"",(N836-P836)/N836)</f>
        <v>0.4159</v>
      </c>
      <c r="R836" s="27" t="n">
        <v>1</v>
      </c>
      <c r="S836" s="28" t="n">
        <f aca="false">IF(R836="-",0,IFERROR(VLOOKUP(R836,'Price Groups'!$A$13:$C$17,3,FALSE()),0))</f>
        <v>0.22</v>
      </c>
      <c r="T836" s="22" t="n">
        <f aca="false">IF(OR(N836="",R836="-"),"",CEILING(ROUND(N836*(1+S836),2),IF(N836*(1+S836)&lt;100,0.5,IF(N836*(1+S836)&lt;1000,1,5))))</f>
        <v>610</v>
      </c>
      <c r="U836" s="26" t="n">
        <f aca="false">IF(OR(T836="",P836=""),"",(T836-P836)/T836)</f>
        <v>0.521229508196721</v>
      </c>
      <c r="V836" s="26" t="n">
        <f aca="false">IF(T836="",0,T836/N836-1)</f>
        <v>0.22</v>
      </c>
      <c r="W836" s="19" t="s">
        <v>94</v>
      </c>
    </row>
    <row r="837" customFormat="false" ht="15" hidden="false" customHeight="false" outlineLevel="0" collapsed="false">
      <c r="A837" s="38" t="n">
        <v>786</v>
      </c>
      <c r="B837" s="38" t="s">
        <v>1007</v>
      </c>
      <c r="C837" s="38" t="s">
        <v>57</v>
      </c>
      <c r="D837" s="38"/>
      <c r="E837" s="38" t="s">
        <v>58</v>
      </c>
      <c r="F837" s="39" t="n">
        <v>10</v>
      </c>
      <c r="G837" s="39" t="n">
        <v>8</v>
      </c>
      <c r="H837" s="40" t="n">
        <v>649.9</v>
      </c>
      <c r="I837" s="40" t="n">
        <v>0</v>
      </c>
      <c r="J837" s="40" t="n">
        <v>0</v>
      </c>
      <c r="K837" s="41" t="n">
        <f aca="false">H837+I837+J837</f>
        <v>649.9</v>
      </c>
      <c r="L837" s="42" t="n">
        <f aca="false">IF($K$1282=0,0,K837/$K$1282)</f>
        <v>5.38367006804826E-005</v>
      </c>
      <c r="M837" s="43" t="n">
        <f aca="false">IF(F837&lt;=0,0,K837/F837)</f>
        <v>64.99</v>
      </c>
      <c r="N837" s="40" t="n">
        <v>69</v>
      </c>
      <c r="O837" s="44" t="n">
        <v>1.65</v>
      </c>
      <c r="P837" s="43" t="n">
        <f aca="false">O837*'Price Groups'!$B$5</f>
        <v>37.125</v>
      </c>
      <c r="Q837" s="45" t="n">
        <f aca="false">IF(OR(N837="",P837=""),"",(N837-P837)/N837)</f>
        <v>0.46195652173913</v>
      </c>
      <c r="R837" s="46" t="n">
        <v>1</v>
      </c>
      <c r="S837" s="47" t="n">
        <f aca="false">IF(R837="-",0,IFERROR(VLOOKUP(R837,'Price Groups'!$A$13:$C$17,3,FALSE()),0))</f>
        <v>0.22</v>
      </c>
      <c r="T837" s="41" t="n">
        <f aca="false">IF(OR(N837="",R837="-"),"",CEILING(ROUND(N837*(1+S837),2),IF(N837*(1+S837)&lt;100,0.5,IF(N837*(1+S837)&lt;1000,1,5))))</f>
        <v>84.5</v>
      </c>
      <c r="U837" s="45" t="n">
        <f aca="false">IF(OR(T837="",P837=""),"",(T837-P837)/T837)</f>
        <v>0.560650887573965</v>
      </c>
      <c r="V837" s="45" t="n">
        <f aca="false">IF(T837="",0,T837/N837-1)</f>
        <v>0.22463768115942</v>
      </c>
      <c r="W837" s="38" t="s">
        <v>94</v>
      </c>
    </row>
    <row r="838" customFormat="false" ht="15" hidden="false" customHeight="false" outlineLevel="0" collapsed="false">
      <c r="A838" s="19" t="n">
        <v>787</v>
      </c>
      <c r="B838" s="19" t="s">
        <v>1008</v>
      </c>
      <c r="C838" s="19" t="s">
        <v>57</v>
      </c>
      <c r="D838" s="19"/>
      <c r="E838" s="19" t="s">
        <v>58</v>
      </c>
      <c r="F838" s="20" t="n">
        <v>10</v>
      </c>
      <c r="G838" s="20" t="n">
        <v>10</v>
      </c>
      <c r="H838" s="21" t="n">
        <v>1367.35</v>
      </c>
      <c r="I838" s="21" t="n">
        <v>-19.49</v>
      </c>
      <c r="J838" s="21" t="n">
        <v>-104.5</v>
      </c>
      <c r="K838" s="22" t="n">
        <f aca="false">H838+I838+J838</f>
        <v>1243.36</v>
      </c>
      <c r="L838" s="23" t="n">
        <f aca="false">IF($K$1282=0,0,K838/$K$1282)</f>
        <v>0.000102997999935505</v>
      </c>
      <c r="M838" s="24" t="n">
        <f aca="false">IF(F838&lt;=0,0,K838/F838)</f>
        <v>124.336</v>
      </c>
      <c r="N838" s="21" t="n">
        <v>110</v>
      </c>
      <c r="O838" s="49" t="n">
        <v>2.63</v>
      </c>
      <c r="P838" s="24" t="n">
        <f aca="false">O838*'Price Groups'!$B$5</f>
        <v>59.175</v>
      </c>
      <c r="Q838" s="26" t="n">
        <f aca="false">IF(OR(N838="",P838=""),"",(N838-P838)/N838)</f>
        <v>0.462045454545455</v>
      </c>
      <c r="R838" s="27" t="n">
        <v>1</v>
      </c>
      <c r="S838" s="28" t="n">
        <f aca="false">IF(R838="-",0,IFERROR(VLOOKUP(R838,'Price Groups'!$A$13:$C$17,3,FALSE()),0))</f>
        <v>0.22</v>
      </c>
      <c r="T838" s="22" t="n">
        <f aca="false">IF(OR(N838="",R838="-"),"",CEILING(ROUND(N838*(1+S838),2),IF(N838*(1+S838)&lt;100,0.5,IF(N838*(1+S838)&lt;1000,1,5))))</f>
        <v>135</v>
      </c>
      <c r="U838" s="26" t="n">
        <f aca="false">IF(OR(T838="",P838=""),"",(T838-P838)/T838)</f>
        <v>0.561666666666667</v>
      </c>
      <c r="V838" s="26" t="n">
        <f aca="false">IF(T838="",0,T838/N838-1)</f>
        <v>0.227272727272727</v>
      </c>
      <c r="W838" s="19" t="s">
        <v>94</v>
      </c>
    </row>
    <row r="839" customFormat="false" ht="15" hidden="false" customHeight="false" outlineLevel="0" collapsed="false">
      <c r="A839" s="38" t="n">
        <v>788</v>
      </c>
      <c r="B839" s="38" t="s">
        <v>1009</v>
      </c>
      <c r="C839" s="38" t="s">
        <v>57</v>
      </c>
      <c r="D839" s="38"/>
      <c r="E839" s="38" t="s">
        <v>58</v>
      </c>
      <c r="F839" s="39" t="n">
        <v>10</v>
      </c>
      <c r="G839" s="39" t="n">
        <v>12</v>
      </c>
      <c r="H839" s="40" t="n">
        <v>4231.75</v>
      </c>
      <c r="I839" s="40" t="n">
        <v>-23.19</v>
      </c>
      <c r="J839" s="40" t="n">
        <v>-1749.93</v>
      </c>
      <c r="K839" s="41" t="n">
        <f aca="false">H839+I839+J839</f>
        <v>2458.63</v>
      </c>
      <c r="L839" s="42" t="n">
        <f aca="false">IF($K$1282=0,0,K839/$K$1282)</f>
        <v>0.000203669068155185</v>
      </c>
      <c r="M839" s="43" t="n">
        <f aca="false">IF(F839&lt;=0,0,K839/F839)</f>
        <v>245.863</v>
      </c>
      <c r="N839" s="40" t="n">
        <v>249.99</v>
      </c>
      <c r="O839" s="44" t="n">
        <v>7.84</v>
      </c>
      <c r="P839" s="43" t="n">
        <f aca="false">O839*'Price Groups'!$B$5</f>
        <v>176.4</v>
      </c>
      <c r="Q839" s="45" t="n">
        <f aca="false">IF(OR(N839="",P839=""),"",(N839-P839)/N839)</f>
        <v>0.294371774870995</v>
      </c>
      <c r="R839" s="46" t="n">
        <v>1</v>
      </c>
      <c r="S839" s="47" t="n">
        <f aca="false">IF(R839="-",0,IFERROR(VLOOKUP(R839,'Price Groups'!$A$13:$C$17,3,FALSE()),0))</f>
        <v>0.22</v>
      </c>
      <c r="T839" s="41" t="n">
        <f aca="false">IF(OR(N839="",R839="-"),"",CEILING(ROUND(N839*(1+S839),2),IF(N839*(1+S839)&lt;100,0.5,IF(N839*(1+S839)&lt;1000,1,5))))</f>
        <v>305</v>
      </c>
      <c r="U839" s="45" t="n">
        <f aca="false">IF(OR(T839="",P839=""),"",(T839-P839)/T839)</f>
        <v>0.421639344262295</v>
      </c>
      <c r="V839" s="45" t="n">
        <f aca="false">IF(T839="",0,T839/N839-1)</f>
        <v>0.220048801952078</v>
      </c>
      <c r="W839" s="38" t="s">
        <v>94</v>
      </c>
    </row>
    <row r="840" customFormat="false" ht="15" hidden="false" customHeight="false" outlineLevel="0" collapsed="false">
      <c r="A840" s="19" t="n">
        <v>789</v>
      </c>
      <c r="B840" s="19" t="s">
        <v>1010</v>
      </c>
      <c r="C840" s="19" t="s">
        <v>57</v>
      </c>
      <c r="D840" s="19"/>
      <c r="E840" s="19" t="s">
        <v>58</v>
      </c>
      <c r="F840" s="20" t="n">
        <v>10</v>
      </c>
      <c r="G840" s="20" t="n">
        <v>10</v>
      </c>
      <c r="H840" s="21" t="n">
        <v>12987</v>
      </c>
      <c r="I840" s="21" t="n">
        <v>0</v>
      </c>
      <c r="J840" s="21" t="n">
        <v>-2997</v>
      </c>
      <c r="K840" s="22" t="n">
        <f aca="false">H840+I840+J840</f>
        <v>9990</v>
      </c>
      <c r="L840" s="23" t="n">
        <f aca="false">IF($K$1282=0,0,K840/$K$1282)</f>
        <v>0.000827555992918944</v>
      </c>
      <c r="M840" s="24" t="n">
        <f aca="false">IF(F840&lt;=0,0,K840/F840)</f>
        <v>999</v>
      </c>
      <c r="N840" s="21" t="n">
        <v>999</v>
      </c>
      <c r="O840" s="49" t="n">
        <v>28.29</v>
      </c>
      <c r="P840" s="24" t="n">
        <f aca="false">O840*'Price Groups'!$B$5</f>
        <v>636.525</v>
      </c>
      <c r="Q840" s="26" t="n">
        <f aca="false">IF(OR(N840="",P840=""),"",(N840-P840)/N840)</f>
        <v>0.362837837837838</v>
      </c>
      <c r="R840" s="27" t="n">
        <v>1</v>
      </c>
      <c r="S840" s="28" t="n">
        <f aca="false">IF(R840="-",0,IFERROR(VLOOKUP(R840,'Price Groups'!$A$13:$C$17,3,FALSE()),0))</f>
        <v>0.22</v>
      </c>
      <c r="T840" s="22" t="n">
        <f aca="false">IF(OR(N840="",R840="-"),"",CEILING(ROUND(N840*(1+S840),2),IF(N840*(1+S840)&lt;100,0.5,IF(N840*(1+S840)&lt;1000,1,5))))</f>
        <v>1220</v>
      </c>
      <c r="U840" s="26" t="n">
        <f aca="false">IF(OR(T840="",P840=""),"",(T840-P840)/T840)</f>
        <v>0.478258196721312</v>
      </c>
      <c r="V840" s="26" t="n">
        <f aca="false">IF(T840="",0,T840/N840-1)</f>
        <v>0.221221221221221</v>
      </c>
      <c r="W840" s="19" t="s">
        <v>94</v>
      </c>
    </row>
    <row r="841" customFormat="false" ht="15" hidden="false" customHeight="false" outlineLevel="0" collapsed="false">
      <c r="A841" s="38" t="n">
        <v>790</v>
      </c>
      <c r="B841" s="38" t="s">
        <v>1011</v>
      </c>
      <c r="C841" s="38" t="s">
        <v>57</v>
      </c>
      <c r="D841" s="38"/>
      <c r="E841" s="38" t="s">
        <v>58</v>
      </c>
      <c r="F841" s="39" t="n">
        <v>10</v>
      </c>
      <c r="G841" s="39" t="n">
        <v>8</v>
      </c>
      <c r="H841" s="40" t="n">
        <v>9947</v>
      </c>
      <c r="I841" s="40" t="n">
        <v>-110</v>
      </c>
      <c r="J841" s="40" t="n">
        <v>0</v>
      </c>
      <c r="K841" s="41" t="n">
        <f aca="false">H841+I841+J841</f>
        <v>9837</v>
      </c>
      <c r="L841" s="42" t="n">
        <f aca="false">IF($K$1282=0,0,K841/$K$1282)</f>
        <v>0.000814881711946311</v>
      </c>
      <c r="M841" s="43" t="n">
        <f aca="false">IF(F841&lt;=0,0,K841/F841)</f>
        <v>983.7</v>
      </c>
      <c r="N841" s="40" t="n">
        <v>1180</v>
      </c>
      <c r="O841" s="50"/>
      <c r="P841" s="43"/>
      <c r="Q841" s="45" t="str">
        <f aca="false">IF(OR(N841="",P841=""),"",(N841-P841)/N841)</f>
        <v/>
      </c>
      <c r="R841" s="46" t="n">
        <v>2</v>
      </c>
      <c r="S841" s="47" t="n">
        <f aca="false">IF(R841="-",0,IFERROR(VLOOKUP(R841,'Price Groups'!$A$13:$C$17,3,FALSE()),0))</f>
        <v>0.18</v>
      </c>
      <c r="T841" s="41" t="n">
        <f aca="false">IF(OR(N841="",R841="-"),"",CEILING(ROUND(N841*(1+S841),2),IF(N841*(1+S841)&lt;100,0.5,IF(N841*(1+S841)&lt;1000,1,5))))</f>
        <v>1395</v>
      </c>
      <c r="U841" s="45" t="str">
        <f aca="false">IF(OR(T841="",P841=""),"",(T841-P841)/T841)</f>
        <v/>
      </c>
      <c r="V841" s="45" t="n">
        <f aca="false">IF(T841="",0,T841/N841-1)</f>
        <v>0.182203389830508</v>
      </c>
      <c r="W841" s="38" t="s">
        <v>129</v>
      </c>
    </row>
    <row r="842" customFormat="false" ht="15" hidden="false" customHeight="false" outlineLevel="0" collapsed="false">
      <c r="A842" s="19" t="n">
        <v>791</v>
      </c>
      <c r="B842" s="19" t="s">
        <v>1012</v>
      </c>
      <c r="C842" s="19" t="s">
        <v>57</v>
      </c>
      <c r="D842" s="19"/>
      <c r="E842" s="19" t="s">
        <v>58</v>
      </c>
      <c r="F842" s="20" t="n">
        <v>10</v>
      </c>
      <c r="G842" s="20" t="n">
        <v>7</v>
      </c>
      <c r="H842" s="21" t="n">
        <v>3690</v>
      </c>
      <c r="I842" s="21" t="n">
        <v>0</v>
      </c>
      <c r="J842" s="21" t="n">
        <v>0</v>
      </c>
      <c r="K842" s="22" t="n">
        <f aca="false">H842+I842+J842</f>
        <v>3690</v>
      </c>
      <c r="L842" s="23" t="n">
        <f aca="false">IF($K$1282=0,0,K842/$K$1282)</f>
        <v>0.000305673835222313</v>
      </c>
      <c r="M842" s="24" t="n">
        <f aca="false">IF(F842&lt;=0,0,K842/F842)</f>
        <v>369</v>
      </c>
      <c r="N842" s="21" t="n">
        <v>369</v>
      </c>
      <c r="O842" s="49" t="n">
        <v>12</v>
      </c>
      <c r="P842" s="24" t="n">
        <f aca="false">O842*'Price Groups'!$B$5</f>
        <v>270</v>
      </c>
      <c r="Q842" s="26" t="n">
        <f aca="false">IF(OR(N842="",P842=""),"",(N842-P842)/N842)</f>
        <v>0.268292682926829</v>
      </c>
      <c r="R842" s="27" t="n">
        <v>1</v>
      </c>
      <c r="S842" s="28" t="n">
        <f aca="false">IF(R842="-",0,IFERROR(VLOOKUP(R842,'Price Groups'!$A$13:$C$17,3,FALSE()),0))</f>
        <v>0.22</v>
      </c>
      <c r="T842" s="22" t="n">
        <f aca="false">IF(OR(N842="",R842="-"),"",CEILING(ROUND(N842*(1+S842),2),IF(N842*(1+S842)&lt;100,0.5,IF(N842*(1+S842)&lt;1000,1,5))))</f>
        <v>451</v>
      </c>
      <c r="U842" s="26" t="n">
        <f aca="false">IF(OR(T842="",P842=""),"",(T842-P842)/T842)</f>
        <v>0.401330376940133</v>
      </c>
      <c r="V842" s="26" t="n">
        <f aca="false">IF(T842="",0,T842/N842-1)</f>
        <v>0.222222222222222</v>
      </c>
      <c r="W842" s="19" t="s">
        <v>94</v>
      </c>
    </row>
    <row r="843" customFormat="false" ht="15" hidden="false" customHeight="false" outlineLevel="0" collapsed="false">
      <c r="A843" s="38" t="n">
        <v>792</v>
      </c>
      <c r="B843" s="38" t="s">
        <v>1013</v>
      </c>
      <c r="C843" s="38" t="s">
        <v>57</v>
      </c>
      <c r="D843" s="38"/>
      <c r="E843" s="38" t="s">
        <v>58</v>
      </c>
      <c r="F843" s="39" t="n">
        <v>10</v>
      </c>
      <c r="G843" s="39" t="n">
        <v>11</v>
      </c>
      <c r="H843" s="40" t="n">
        <v>250.35</v>
      </c>
      <c r="I843" s="40" t="n">
        <v>-4.62</v>
      </c>
      <c r="J843" s="40" t="n">
        <v>-84.95</v>
      </c>
      <c r="K843" s="41" t="n">
        <f aca="false">H843+I843+J843</f>
        <v>160.78</v>
      </c>
      <c r="L843" s="42" t="n">
        <f aca="false">IF($K$1282=0,0,K843/$K$1282)</f>
        <v>1.33187640181689E-005</v>
      </c>
      <c r="M843" s="43" t="n">
        <f aca="false">IF(F843&lt;=0,0,K843/F843)</f>
        <v>16.078</v>
      </c>
      <c r="N843" s="40" t="n">
        <v>12.49</v>
      </c>
      <c r="O843" s="44" t="n">
        <v>0.39</v>
      </c>
      <c r="P843" s="43" t="n">
        <f aca="false">O843*'Price Groups'!$B$5</f>
        <v>8.775</v>
      </c>
      <c r="Q843" s="45" t="n">
        <f aca="false">IF(OR(N843="",P843=""),"",(N843-P843)/N843)</f>
        <v>0.297437950360288</v>
      </c>
      <c r="R843" s="46" t="n">
        <v>1</v>
      </c>
      <c r="S843" s="47" t="n">
        <f aca="false">IF(R843="-",0,IFERROR(VLOOKUP(R843,'Price Groups'!$A$13:$C$17,3,FALSE()),0))</f>
        <v>0.22</v>
      </c>
      <c r="T843" s="41" t="n">
        <f aca="false">IF(OR(N843="",R843="-"),"",CEILING(ROUND(N843*(1+S843),2),IF(N843*(1+S843)&lt;100,0.5,IF(N843*(1+S843)&lt;1000,1,5))))</f>
        <v>15.5</v>
      </c>
      <c r="U843" s="45" t="n">
        <f aca="false">IF(OR(T843="",P843=""),"",(T843-P843)/T843)</f>
        <v>0.433870967741935</v>
      </c>
      <c r="V843" s="45" t="n">
        <f aca="false">IF(T843="",0,T843/N843-1)</f>
        <v>0.240992794235388</v>
      </c>
      <c r="W843" s="38" t="s">
        <v>94</v>
      </c>
    </row>
    <row r="844" customFormat="false" ht="15" hidden="false" customHeight="false" outlineLevel="0" collapsed="false">
      <c r="A844" s="19" t="n">
        <v>793</v>
      </c>
      <c r="B844" s="19" t="s">
        <v>1014</v>
      </c>
      <c r="C844" s="19" t="s">
        <v>57</v>
      </c>
      <c r="D844" s="19"/>
      <c r="E844" s="19" t="s">
        <v>58</v>
      </c>
      <c r="F844" s="20" t="n">
        <v>10</v>
      </c>
      <c r="G844" s="20" t="n">
        <v>5</v>
      </c>
      <c r="H844" s="21" t="n">
        <v>2629</v>
      </c>
      <c r="I844" s="21" t="n">
        <v>-71.7</v>
      </c>
      <c r="J844" s="21" t="n">
        <v>-239</v>
      </c>
      <c r="K844" s="22" t="n">
        <f aca="false">H844+I844+J844</f>
        <v>2318.3</v>
      </c>
      <c r="L844" s="23" t="n">
        <f aca="false">IF($K$1282=0,0,K844/$K$1282)</f>
        <v>0.000192044350188587</v>
      </c>
      <c r="M844" s="24" t="n">
        <f aca="false">IF(F844&lt;=0,0,K844/F844)</f>
        <v>231.83</v>
      </c>
      <c r="N844" s="21" t="n">
        <v>239</v>
      </c>
      <c r="O844" s="49" t="n">
        <v>12.25</v>
      </c>
      <c r="P844" s="24" t="n">
        <f aca="false">O844*'Price Groups'!$B$5</f>
        <v>275.625</v>
      </c>
      <c r="Q844" s="26" t="n">
        <f aca="false">IF(OR(N844="",P844=""),"",(N844-P844)/N844)</f>
        <v>-0.153242677824268</v>
      </c>
      <c r="R844" s="27" t="n">
        <v>1</v>
      </c>
      <c r="S844" s="28" t="n">
        <f aca="false">IF(R844="-",0,IFERROR(VLOOKUP(R844,'Price Groups'!$A$13:$C$17,3,FALSE()),0))</f>
        <v>0.22</v>
      </c>
      <c r="T844" s="22" t="n">
        <f aca="false">IF(OR(N844="",R844="-"),"",CEILING(ROUND(N844*(1+S844),2),IF(N844*(1+S844)&lt;100,0.5,IF(N844*(1+S844)&lt;1000,1,5))))</f>
        <v>292</v>
      </c>
      <c r="U844" s="26" t="n">
        <f aca="false">IF(OR(T844="",P844=""),"",(T844-P844)/T844)</f>
        <v>0.0560787671232877</v>
      </c>
      <c r="V844" s="26" t="n">
        <f aca="false">IF(T844="",0,T844/N844-1)</f>
        <v>0.221757322175732</v>
      </c>
      <c r="W844" s="19" t="s">
        <v>1015</v>
      </c>
    </row>
    <row r="845" customFormat="false" ht="15" hidden="false" customHeight="false" outlineLevel="0" collapsed="false">
      <c r="A845" s="38" t="n">
        <v>794</v>
      </c>
      <c r="B845" s="38" t="s">
        <v>1016</v>
      </c>
      <c r="C845" s="38" t="s">
        <v>57</v>
      </c>
      <c r="D845" s="38"/>
      <c r="E845" s="38" t="s">
        <v>58</v>
      </c>
      <c r="F845" s="39" t="n">
        <v>10</v>
      </c>
      <c r="G845" s="39" t="n">
        <v>7</v>
      </c>
      <c r="H845" s="40" t="n">
        <v>219.89</v>
      </c>
      <c r="I845" s="40" t="n">
        <v>-7.96</v>
      </c>
      <c r="J845" s="40" t="n">
        <v>-19.99</v>
      </c>
      <c r="K845" s="41" t="n">
        <f aca="false">H845+I845+J845</f>
        <v>191.94</v>
      </c>
      <c r="L845" s="42" t="n">
        <f aca="false">IF($K$1282=0,0,K845/$K$1282)</f>
        <v>1.5900009737824E-005</v>
      </c>
      <c r="M845" s="43" t="n">
        <f aca="false">IF(F845&lt;=0,0,K845/F845)</f>
        <v>19.194</v>
      </c>
      <c r="N845" s="40" t="n">
        <v>19.99</v>
      </c>
      <c r="O845" s="44" t="n">
        <v>0.34</v>
      </c>
      <c r="P845" s="43" t="n">
        <f aca="false">O845*'Price Groups'!$B$5</f>
        <v>7.65</v>
      </c>
      <c r="Q845" s="45" t="n">
        <f aca="false">IF(OR(N845="",P845=""),"",(N845-P845)/N845)</f>
        <v>0.617308654327164</v>
      </c>
      <c r="R845" s="46" t="n">
        <v>1</v>
      </c>
      <c r="S845" s="47" t="n">
        <f aca="false">IF(R845="-",0,IFERROR(VLOOKUP(R845,'Price Groups'!$A$13:$C$17,3,FALSE()),0))</f>
        <v>0.22</v>
      </c>
      <c r="T845" s="41" t="n">
        <f aca="false">IF(OR(N845="",R845="-"),"",CEILING(ROUND(N845*(1+S845),2),IF(N845*(1+S845)&lt;100,0.5,IF(N845*(1+S845)&lt;1000,1,5))))</f>
        <v>24.5</v>
      </c>
      <c r="U845" s="45" t="n">
        <f aca="false">IF(OR(T845="",P845=""),"",(T845-P845)/T845)</f>
        <v>0.687755102040816</v>
      </c>
      <c r="V845" s="45" t="n">
        <f aca="false">IF(T845="",0,T845/N845-1)</f>
        <v>0.225612806403202</v>
      </c>
      <c r="W845" s="38" t="s">
        <v>94</v>
      </c>
    </row>
    <row r="846" customFormat="false" ht="15" hidden="false" customHeight="false" outlineLevel="0" collapsed="false">
      <c r="A846" s="19" t="n">
        <v>795</v>
      </c>
      <c r="B846" s="19" t="s">
        <v>1017</v>
      </c>
      <c r="C846" s="19" t="s">
        <v>57</v>
      </c>
      <c r="D846" s="19"/>
      <c r="E846" s="19" t="s">
        <v>58</v>
      </c>
      <c r="F846" s="20" t="n">
        <v>10</v>
      </c>
      <c r="G846" s="20" t="n">
        <v>8</v>
      </c>
      <c r="H846" s="21" t="n">
        <v>3299.9</v>
      </c>
      <c r="I846" s="21" t="n">
        <v>0</v>
      </c>
      <c r="J846" s="21" t="n">
        <v>0</v>
      </c>
      <c r="K846" s="22" t="n">
        <f aca="false">H846+I846+J846</f>
        <v>3299.9</v>
      </c>
      <c r="L846" s="23" t="n">
        <f aca="false">IF($K$1282=0,0,K846/$K$1282)</f>
        <v>0.000273358560663986</v>
      </c>
      <c r="M846" s="24" t="n">
        <f aca="false">IF(F846&lt;=0,0,K846/F846)</f>
        <v>329.99</v>
      </c>
      <c r="N846" s="21" t="n">
        <v>329.99</v>
      </c>
      <c r="O846" s="49" t="n">
        <v>7</v>
      </c>
      <c r="P846" s="24" t="n">
        <f aca="false">O846*'Price Groups'!$B$5</f>
        <v>157.5</v>
      </c>
      <c r="Q846" s="26" t="n">
        <f aca="false">IF(OR(N846="",P846=""),"",(N846-P846)/N846)</f>
        <v>0.522712809479075</v>
      </c>
      <c r="R846" s="27" t="n">
        <v>1</v>
      </c>
      <c r="S846" s="28" t="n">
        <f aca="false">IF(R846="-",0,IFERROR(VLOOKUP(R846,'Price Groups'!$A$13:$C$17,3,FALSE()),0))</f>
        <v>0.22</v>
      </c>
      <c r="T846" s="22" t="n">
        <f aca="false">IF(OR(N846="",R846="-"),"",CEILING(ROUND(N846*(1+S846),2),IF(N846*(1+S846)&lt;100,0.5,IF(N846*(1+S846)&lt;1000,1,5))))</f>
        <v>403</v>
      </c>
      <c r="U846" s="26" t="n">
        <f aca="false">IF(OR(T846="",P846=""),"",(T846-P846)/T846)</f>
        <v>0.609181141439206</v>
      </c>
      <c r="V846" s="26" t="n">
        <f aca="false">IF(T846="",0,T846/N846-1)</f>
        <v>0.221249128761478</v>
      </c>
      <c r="W846" s="19" t="s">
        <v>94</v>
      </c>
    </row>
    <row r="847" customFormat="false" ht="15" hidden="false" customHeight="false" outlineLevel="0" collapsed="false">
      <c r="A847" s="38" t="n">
        <v>796</v>
      </c>
      <c r="B847" s="38" t="s">
        <v>1018</v>
      </c>
      <c r="C847" s="38" t="s">
        <v>57</v>
      </c>
      <c r="D847" s="38"/>
      <c r="E847" s="38" t="s">
        <v>58</v>
      </c>
      <c r="F847" s="39" t="n">
        <v>10</v>
      </c>
      <c r="G847" s="39" t="n">
        <v>8</v>
      </c>
      <c r="H847" s="40" t="n">
        <v>1474.52</v>
      </c>
      <c r="I847" s="40" t="n">
        <v>-6.9</v>
      </c>
      <c r="J847" s="40" t="n">
        <v>0</v>
      </c>
      <c r="K847" s="41" t="n">
        <f aca="false">H847+I847+J847</f>
        <v>1467.62</v>
      </c>
      <c r="L847" s="42" t="n">
        <f aca="false">IF($K$1282=0,0,K847/$K$1282)</f>
        <v>0.000121575347980751</v>
      </c>
      <c r="M847" s="43" t="n">
        <f aca="false">IF(F847&lt;=0,0,K847/F847)</f>
        <v>146.762</v>
      </c>
      <c r="N847" s="40" t="n">
        <v>137.3</v>
      </c>
      <c r="O847" s="44" t="n">
        <v>5.57</v>
      </c>
      <c r="P847" s="43" t="n">
        <f aca="false">O847*'Price Groups'!$B$5</f>
        <v>125.325</v>
      </c>
      <c r="Q847" s="45" t="n">
        <f aca="false">IF(OR(N847="",P847=""),"",(N847-P847)/N847)</f>
        <v>0.0872177713037146</v>
      </c>
      <c r="R847" s="46" t="n">
        <v>1</v>
      </c>
      <c r="S847" s="47" t="n">
        <f aca="false">IF(R847="-",0,IFERROR(VLOOKUP(R847,'Price Groups'!$A$13:$C$17,3,FALSE()),0))</f>
        <v>0.22</v>
      </c>
      <c r="T847" s="41" t="n">
        <f aca="false">IF(OR(N847="",R847="-"),"",CEILING(ROUND(N847*(1+S847),2),IF(N847*(1+S847)&lt;100,0.5,IF(N847*(1+S847)&lt;1000,1,5))))</f>
        <v>168</v>
      </c>
      <c r="U847" s="45" t="n">
        <f aca="false">IF(OR(T847="",P847=""),"",(T847-P847)/T847)</f>
        <v>0.254017857142857</v>
      </c>
      <c r="V847" s="45" t="n">
        <f aca="false">IF(T847="",0,T847/N847-1)</f>
        <v>0.223597960670066</v>
      </c>
      <c r="W847" s="38" t="s">
        <v>857</v>
      </c>
    </row>
    <row r="848" customFormat="false" ht="15" hidden="false" customHeight="false" outlineLevel="0" collapsed="false">
      <c r="A848" s="19" t="n">
        <v>797</v>
      </c>
      <c r="B848" s="19" t="s">
        <v>1019</v>
      </c>
      <c r="C848" s="19" t="s">
        <v>57</v>
      </c>
      <c r="D848" s="19"/>
      <c r="E848" s="19" t="s">
        <v>58</v>
      </c>
      <c r="F848" s="20" t="n">
        <v>10</v>
      </c>
      <c r="G848" s="20" t="n">
        <v>9</v>
      </c>
      <c r="H848" s="21" t="n">
        <v>133.5</v>
      </c>
      <c r="I848" s="21" t="n">
        <v>0</v>
      </c>
      <c r="J848" s="21" t="n">
        <v>-48</v>
      </c>
      <c r="K848" s="22" t="n">
        <f aca="false">H848+I848+J848</f>
        <v>85.5</v>
      </c>
      <c r="L848" s="23" t="n">
        <f aca="false">IF($K$1282=0,0,K848/$K$1282)</f>
        <v>7.08268642588285E-006</v>
      </c>
      <c r="M848" s="24" t="n">
        <f aca="false">IF(F848&lt;=0,0,K848/F848)</f>
        <v>8.55</v>
      </c>
      <c r="N848" s="21" t="n">
        <v>6.5</v>
      </c>
      <c r="O848" s="49" t="n">
        <v>0.22</v>
      </c>
      <c r="P848" s="24" t="n">
        <f aca="false">O848*'Price Groups'!$B$5</f>
        <v>4.95</v>
      </c>
      <c r="Q848" s="26" t="n">
        <f aca="false">IF(OR(N848="",P848=""),"",(N848-P848)/N848)</f>
        <v>0.238461538461538</v>
      </c>
      <c r="R848" s="27" t="n">
        <v>1</v>
      </c>
      <c r="S848" s="28" t="n">
        <f aca="false">IF(R848="-",0,IFERROR(VLOOKUP(R848,'Price Groups'!$A$13:$C$17,3,FALSE()),0))</f>
        <v>0.22</v>
      </c>
      <c r="T848" s="22" t="n">
        <f aca="false">IF(OR(N848="",R848="-"),"",CEILING(ROUND(N848*(1+S848),2),IF(N848*(1+S848)&lt;100,0.5,IF(N848*(1+S848)&lt;1000,1,5))))</f>
        <v>8</v>
      </c>
      <c r="U848" s="26" t="n">
        <f aca="false">IF(OR(T848="",P848=""),"",(T848-P848)/T848)</f>
        <v>0.38125</v>
      </c>
      <c r="V848" s="26" t="n">
        <f aca="false">IF(T848="",0,T848/N848-1)</f>
        <v>0.230769230769231</v>
      </c>
      <c r="W848" s="19" t="s">
        <v>244</v>
      </c>
    </row>
    <row r="849" customFormat="false" ht="15" hidden="false" customHeight="false" outlineLevel="0" collapsed="false">
      <c r="A849" s="38" t="n">
        <v>798</v>
      </c>
      <c r="B849" s="38" t="s">
        <v>1020</v>
      </c>
      <c r="C849" s="38" t="s">
        <v>57</v>
      </c>
      <c r="D849" s="38"/>
      <c r="E849" s="38" t="s">
        <v>58</v>
      </c>
      <c r="F849" s="39" t="n">
        <v>10</v>
      </c>
      <c r="G849" s="39" t="n">
        <v>8</v>
      </c>
      <c r="H849" s="40" t="n">
        <v>71.82</v>
      </c>
      <c r="I849" s="40" t="n">
        <v>-2.24</v>
      </c>
      <c r="J849" s="40" t="n">
        <v>0</v>
      </c>
      <c r="K849" s="41" t="n">
        <f aca="false">H849+I849+J849</f>
        <v>69.58</v>
      </c>
      <c r="L849" s="42" t="n">
        <f aca="false">IF($K$1282=0,0,K849/$K$1282)</f>
        <v>5.76389849722724E-006</v>
      </c>
      <c r="M849" s="43" t="n">
        <f aca="false">IF(F849&lt;=0,0,K849/F849)</f>
        <v>6.958</v>
      </c>
      <c r="N849" s="40" t="n">
        <v>4.26</v>
      </c>
      <c r="O849" s="44" t="n">
        <v>0.15</v>
      </c>
      <c r="P849" s="43" t="n">
        <f aca="false">O849*'Price Groups'!$B$5</f>
        <v>3.375</v>
      </c>
      <c r="Q849" s="45" t="n">
        <f aca="false">IF(OR(N849="",P849=""),"",(N849-P849)/N849)</f>
        <v>0.207746478873239</v>
      </c>
      <c r="R849" s="46" t="n">
        <v>1</v>
      </c>
      <c r="S849" s="47" t="n">
        <f aca="false">IF(R849="-",0,IFERROR(VLOOKUP(R849,'Price Groups'!$A$13:$C$17,3,FALSE()),0))</f>
        <v>0.22</v>
      </c>
      <c r="T849" s="41" t="n">
        <f aca="false">IF(OR(N849="",R849="-"),"",CEILING(ROUND(N849*(1+S849),2),IF(N849*(1+S849)&lt;100,0.5,IF(N849*(1+S849)&lt;1000,1,5))))</f>
        <v>5.5</v>
      </c>
      <c r="U849" s="45" t="n">
        <f aca="false">IF(OR(T849="",P849=""),"",(T849-P849)/T849)</f>
        <v>0.386363636363636</v>
      </c>
      <c r="V849" s="45" t="n">
        <f aca="false">IF(T849="",0,T849/N849-1)</f>
        <v>0.291079812206573</v>
      </c>
      <c r="W849" s="38" t="s">
        <v>333</v>
      </c>
    </row>
    <row r="850" customFormat="false" ht="15" hidden="false" customHeight="false" outlineLevel="0" collapsed="false">
      <c r="A850" s="19" t="n">
        <v>799</v>
      </c>
      <c r="B850" s="19" t="s">
        <v>1021</v>
      </c>
      <c r="C850" s="19" t="s">
        <v>57</v>
      </c>
      <c r="D850" s="19"/>
      <c r="E850" s="19" t="s">
        <v>58</v>
      </c>
      <c r="F850" s="20" t="n">
        <v>10</v>
      </c>
      <c r="G850" s="20" t="n">
        <v>5</v>
      </c>
      <c r="H850" s="21" t="n">
        <v>254.9</v>
      </c>
      <c r="I850" s="21" t="n">
        <v>-9.99</v>
      </c>
      <c r="J850" s="21" t="n">
        <v>0</v>
      </c>
      <c r="K850" s="22" t="n">
        <f aca="false">H850+I850+J850</f>
        <v>244.91</v>
      </c>
      <c r="L850" s="23" t="n">
        <f aca="false">IF($K$1282=0,0,K850/$K$1282)</f>
        <v>2.02879617843622E-005</v>
      </c>
      <c r="M850" s="24" t="n">
        <f aca="false">IF(F850&lt;=0,0,K850/F850)</f>
        <v>24.491</v>
      </c>
      <c r="N850" s="21" t="n">
        <v>24.99</v>
      </c>
      <c r="O850" s="49" t="n">
        <v>0.5</v>
      </c>
      <c r="P850" s="24" t="n">
        <f aca="false">O850*'Price Groups'!$B$5</f>
        <v>11.25</v>
      </c>
      <c r="Q850" s="26" t="n">
        <f aca="false">IF(OR(N850="",P850=""),"",(N850-P850)/N850)</f>
        <v>0.549819927971188</v>
      </c>
      <c r="R850" s="27" t="n">
        <v>1</v>
      </c>
      <c r="S850" s="28" t="n">
        <f aca="false">IF(R850="-",0,IFERROR(VLOOKUP(R850,'Price Groups'!$A$13:$C$17,3,FALSE()),0))</f>
        <v>0.22</v>
      </c>
      <c r="T850" s="22" t="n">
        <f aca="false">IF(OR(N850="",R850="-"),"",CEILING(ROUND(N850*(1+S850),2),IF(N850*(1+S850)&lt;100,0.5,IF(N850*(1+S850)&lt;1000,1,5))))</f>
        <v>30.5</v>
      </c>
      <c r="U850" s="26" t="n">
        <f aca="false">IF(OR(T850="",P850=""),"",(T850-P850)/T850)</f>
        <v>0.631147540983607</v>
      </c>
      <c r="V850" s="26" t="n">
        <f aca="false">IF(T850="",0,T850/N850-1)</f>
        <v>0.220488195278111</v>
      </c>
      <c r="W850" s="19" t="s">
        <v>94</v>
      </c>
    </row>
    <row r="851" customFormat="false" ht="15" hidden="false" customHeight="false" outlineLevel="0" collapsed="false">
      <c r="A851" s="38" t="n">
        <v>800</v>
      </c>
      <c r="B851" s="38" t="s">
        <v>1022</v>
      </c>
      <c r="C851" s="38" t="s">
        <v>57</v>
      </c>
      <c r="D851" s="38"/>
      <c r="E851" s="38" t="s">
        <v>58</v>
      </c>
      <c r="F851" s="39" t="n">
        <v>10</v>
      </c>
      <c r="G851" s="39" t="n">
        <v>8</v>
      </c>
      <c r="H851" s="40" t="n">
        <v>489.9</v>
      </c>
      <c r="I851" s="40" t="n">
        <v>-4.99</v>
      </c>
      <c r="J851" s="40" t="n">
        <v>0</v>
      </c>
      <c r="K851" s="41" t="n">
        <f aca="false">H851+I851+J851</f>
        <v>484.91</v>
      </c>
      <c r="L851" s="42" t="n">
        <f aca="false">IF($K$1282=0,0,K851/$K$1282)</f>
        <v>4.0169186839472E-005</v>
      </c>
      <c r="M851" s="43" t="n">
        <f aca="false">IF(F851&lt;=0,0,K851/F851)</f>
        <v>48.491</v>
      </c>
      <c r="N851" s="40" t="n">
        <v>34.99</v>
      </c>
      <c r="O851" s="44" t="n">
        <v>1.05</v>
      </c>
      <c r="P851" s="43" t="n">
        <f aca="false">O851*'Price Groups'!$B$5</f>
        <v>23.625</v>
      </c>
      <c r="Q851" s="45" t="n">
        <f aca="false">IF(OR(N851="",P851=""),"",(N851-P851)/N851)</f>
        <v>0.324807087739354</v>
      </c>
      <c r="R851" s="46" t="n">
        <v>1</v>
      </c>
      <c r="S851" s="47" t="n">
        <f aca="false">IF(R851="-",0,IFERROR(VLOOKUP(R851,'Price Groups'!$A$13:$C$17,3,FALSE()),0))</f>
        <v>0.22</v>
      </c>
      <c r="T851" s="41" t="n">
        <f aca="false">IF(OR(N851="",R851="-"),"",CEILING(ROUND(N851*(1+S851),2),IF(N851*(1+S851)&lt;100,0.5,IF(N851*(1+S851)&lt;1000,1,5))))</f>
        <v>43</v>
      </c>
      <c r="U851" s="45" t="n">
        <f aca="false">IF(OR(T851="",P851=""),"",(T851-P851)/T851)</f>
        <v>0.450581395348837</v>
      </c>
      <c r="V851" s="45" t="n">
        <f aca="false">IF(T851="",0,T851/N851-1)</f>
        <v>0.2289225492998</v>
      </c>
      <c r="W851" s="38" t="s">
        <v>94</v>
      </c>
    </row>
    <row r="852" customFormat="false" ht="15" hidden="false" customHeight="false" outlineLevel="0" collapsed="false">
      <c r="A852" s="19" t="n">
        <v>801</v>
      </c>
      <c r="B852" s="19" t="s">
        <v>1023</v>
      </c>
      <c r="C852" s="19" t="s">
        <v>57</v>
      </c>
      <c r="D852" s="19"/>
      <c r="E852" s="19" t="s">
        <v>58</v>
      </c>
      <c r="F852" s="20" t="n">
        <v>10</v>
      </c>
      <c r="G852" s="20" t="n">
        <v>7</v>
      </c>
      <c r="H852" s="21" t="n">
        <v>448.22</v>
      </c>
      <c r="I852" s="21" t="n">
        <v>-7.74</v>
      </c>
      <c r="J852" s="21" t="n">
        <v>0</v>
      </c>
      <c r="K852" s="22" t="n">
        <f aca="false">H852+I852+J852</f>
        <v>440.48</v>
      </c>
      <c r="L852" s="23" t="n">
        <f aca="false">IF($K$1282=0,0,K852/$K$1282)</f>
        <v>3.64886750511448E-005</v>
      </c>
      <c r="M852" s="24" t="n">
        <f aca="false">IF(F852&lt;=0,0,K852/F852)</f>
        <v>44.048</v>
      </c>
      <c r="N852" s="21" t="n">
        <v>38.75</v>
      </c>
      <c r="O852" s="49" t="n">
        <v>1.31</v>
      </c>
      <c r="P852" s="24" t="n">
        <f aca="false">O852*'Price Groups'!$B$5</f>
        <v>29.475</v>
      </c>
      <c r="Q852" s="26" t="n">
        <f aca="false">IF(OR(N852="",P852=""),"",(N852-P852)/N852)</f>
        <v>0.239354838709677</v>
      </c>
      <c r="R852" s="27" t="n">
        <v>1</v>
      </c>
      <c r="S852" s="28" t="n">
        <f aca="false">IF(R852="-",0,IFERROR(VLOOKUP(R852,'Price Groups'!$A$13:$C$17,3,FALSE()),0))</f>
        <v>0.22</v>
      </c>
      <c r="T852" s="22" t="n">
        <f aca="false">IF(OR(N852="",R852="-"),"",CEILING(ROUND(N852*(1+S852),2),IF(N852*(1+S852)&lt;100,0.5,IF(N852*(1+S852)&lt;1000,1,5))))</f>
        <v>47.5</v>
      </c>
      <c r="U852" s="26" t="n">
        <f aca="false">IF(OR(T852="",P852=""),"",(T852-P852)/T852)</f>
        <v>0.379473684210526</v>
      </c>
      <c r="V852" s="26" t="n">
        <f aca="false">IF(T852="",0,T852/N852-1)</f>
        <v>0.225806451612903</v>
      </c>
      <c r="W852" s="19" t="s">
        <v>244</v>
      </c>
    </row>
    <row r="853" customFormat="false" ht="15" hidden="false" customHeight="false" outlineLevel="0" collapsed="false">
      <c r="A853" s="38" t="n">
        <v>802</v>
      </c>
      <c r="B853" s="38" t="s">
        <v>1024</v>
      </c>
      <c r="C853" s="38" t="s">
        <v>57</v>
      </c>
      <c r="D853" s="38"/>
      <c r="E853" s="38" t="s">
        <v>58</v>
      </c>
      <c r="F853" s="39" t="n">
        <v>10</v>
      </c>
      <c r="G853" s="39" t="n">
        <v>10</v>
      </c>
      <c r="H853" s="40" t="n">
        <v>3985.49</v>
      </c>
      <c r="I853" s="40" t="n">
        <v>-35</v>
      </c>
      <c r="J853" s="40" t="n">
        <v>-280.72</v>
      </c>
      <c r="K853" s="41" t="n">
        <f aca="false">H853+I853+J853</f>
        <v>3669.77</v>
      </c>
      <c r="L853" s="42" t="n">
        <f aca="false">IF($K$1282=0,0,K853/$K$1282)</f>
        <v>0.000303998013627042</v>
      </c>
      <c r="M853" s="43" t="n">
        <f aca="false">IF(F853&lt;=0,0,K853/F853)</f>
        <v>366.977</v>
      </c>
      <c r="N853" s="40" t="n">
        <v>350</v>
      </c>
      <c r="O853" s="44" t="n">
        <v>9.49</v>
      </c>
      <c r="P853" s="43" t="n">
        <f aca="false">O853*'Price Groups'!$B$5</f>
        <v>213.525</v>
      </c>
      <c r="Q853" s="45" t="n">
        <f aca="false">IF(OR(N853="",P853=""),"",(N853-P853)/N853)</f>
        <v>0.389928571428571</v>
      </c>
      <c r="R853" s="46" t="n">
        <v>1</v>
      </c>
      <c r="S853" s="47" t="n">
        <f aca="false">IF(R853="-",0,IFERROR(VLOOKUP(R853,'Price Groups'!$A$13:$C$17,3,FALSE()),0))</f>
        <v>0.22</v>
      </c>
      <c r="T853" s="41" t="n">
        <f aca="false">IF(OR(N853="",R853="-"),"",CEILING(ROUND(N853*(1+S853),2),IF(N853*(1+S853)&lt;100,0.5,IF(N853*(1+S853)&lt;1000,1,5))))</f>
        <v>427</v>
      </c>
      <c r="U853" s="45" t="n">
        <f aca="false">IF(OR(T853="",P853=""),"",(T853-P853)/T853)</f>
        <v>0.499941451990632</v>
      </c>
      <c r="V853" s="45" t="n">
        <f aca="false">IF(T853="",0,T853/N853-1)</f>
        <v>0.22</v>
      </c>
      <c r="W853" s="38" t="s">
        <v>94</v>
      </c>
    </row>
    <row r="854" customFormat="false" ht="15" hidden="false" customHeight="false" outlineLevel="0" collapsed="false">
      <c r="A854" s="19" t="n">
        <v>803</v>
      </c>
      <c r="B854" s="19" t="s">
        <v>1025</v>
      </c>
      <c r="C854" s="19" t="s">
        <v>57</v>
      </c>
      <c r="D854" s="19"/>
      <c r="E854" s="19" t="s">
        <v>58</v>
      </c>
      <c r="F854" s="20" t="n">
        <v>10</v>
      </c>
      <c r="G854" s="20" t="n">
        <v>11</v>
      </c>
      <c r="H854" s="21" t="n">
        <v>259.87</v>
      </c>
      <c r="I854" s="21" t="n">
        <v>-7.99</v>
      </c>
      <c r="J854" s="21" t="n">
        <v>-59.97</v>
      </c>
      <c r="K854" s="22" t="n">
        <f aca="false">H854+I854+J854</f>
        <v>191.91</v>
      </c>
      <c r="L854" s="23" t="n">
        <f aca="false">IF($K$1282=0,0,K854/$K$1282)</f>
        <v>1.58975245846921E-005</v>
      </c>
      <c r="M854" s="24" t="n">
        <f aca="false">IF(F854&lt;=0,0,K854/F854)</f>
        <v>19.191</v>
      </c>
      <c r="N854" s="21" t="n">
        <v>19.99</v>
      </c>
      <c r="O854" s="49" t="n">
        <v>0.42</v>
      </c>
      <c r="P854" s="24" t="n">
        <f aca="false">O854*'Price Groups'!$B$5</f>
        <v>9.45</v>
      </c>
      <c r="Q854" s="26" t="n">
        <f aca="false">IF(OR(N854="",P854=""),"",(N854-P854)/N854)</f>
        <v>0.527263631815908</v>
      </c>
      <c r="R854" s="27" t="n">
        <v>1</v>
      </c>
      <c r="S854" s="28" t="n">
        <f aca="false">IF(R854="-",0,IFERROR(VLOOKUP(R854,'Price Groups'!$A$13:$C$17,3,FALSE()),0))</f>
        <v>0.22</v>
      </c>
      <c r="T854" s="22" t="n">
        <f aca="false">IF(OR(N854="",R854="-"),"",CEILING(ROUND(N854*(1+S854),2),IF(N854*(1+S854)&lt;100,0.5,IF(N854*(1+S854)&lt;1000,1,5))))</f>
        <v>24.5</v>
      </c>
      <c r="U854" s="26" t="n">
        <f aca="false">IF(OR(T854="",P854=""),"",(T854-P854)/T854)</f>
        <v>0.614285714285714</v>
      </c>
      <c r="V854" s="26" t="n">
        <f aca="false">IF(T854="",0,T854/N854-1)</f>
        <v>0.225612806403202</v>
      </c>
      <c r="W854" s="19" t="s">
        <v>94</v>
      </c>
    </row>
    <row r="855" customFormat="false" ht="15" hidden="false" customHeight="false" outlineLevel="0" collapsed="false">
      <c r="A855" s="38" t="n">
        <v>804</v>
      </c>
      <c r="B855" s="38" t="s">
        <v>1026</v>
      </c>
      <c r="C855" s="38" t="s">
        <v>57</v>
      </c>
      <c r="D855" s="38"/>
      <c r="E855" s="38" t="s">
        <v>58</v>
      </c>
      <c r="F855" s="39" t="n">
        <v>9</v>
      </c>
      <c r="G855" s="39" t="n">
        <v>5</v>
      </c>
      <c r="H855" s="40" t="n">
        <v>2685</v>
      </c>
      <c r="I855" s="40" t="n">
        <v>0</v>
      </c>
      <c r="J855" s="40" t="n">
        <v>0</v>
      </c>
      <c r="K855" s="41" t="n">
        <f aca="false">H855+I855+J855</f>
        <v>2685</v>
      </c>
      <c r="L855" s="42" t="n">
        <f aca="false">IF($K$1282=0,0,K855/$K$1282)</f>
        <v>0.00022242120530404</v>
      </c>
      <c r="M855" s="43" t="n">
        <f aca="false">IF(F855&lt;=0,0,K855/F855)</f>
        <v>298.333333333333</v>
      </c>
      <c r="N855" s="40" t="n">
        <v>199.99</v>
      </c>
      <c r="O855" s="44" t="n">
        <v>11.98</v>
      </c>
      <c r="P855" s="43" t="n">
        <f aca="false">O855*'Price Groups'!$B$5</f>
        <v>269.55</v>
      </c>
      <c r="Q855" s="45" t="n">
        <f aca="false">IF(OR(N855="",P855=""),"",(N855-P855)/N855)</f>
        <v>-0.347817390869544</v>
      </c>
      <c r="R855" s="46" t="n">
        <v>1</v>
      </c>
      <c r="S855" s="47" t="n">
        <f aca="false">IF(R855="-",0,IFERROR(VLOOKUP(R855,'Price Groups'!$A$13:$C$17,3,FALSE()),0))</f>
        <v>0.22</v>
      </c>
      <c r="T855" s="41" t="n">
        <f aca="false">IF(OR(N855="",R855="-"),"",CEILING(ROUND(N855*(1+S855),2),IF(N855*(1+S855)&lt;100,0.5,IF(N855*(1+S855)&lt;1000,1,5))))</f>
        <v>244</v>
      </c>
      <c r="U855" s="45" t="n">
        <f aca="false">IF(OR(T855="",P855=""),"",(T855-P855)/T855)</f>
        <v>-0.104713114754098</v>
      </c>
      <c r="V855" s="45" t="n">
        <f aca="false">IF(T855="",0,T855/N855-1)</f>
        <v>0.220061003050152</v>
      </c>
      <c r="W855" s="38" t="s">
        <v>759</v>
      </c>
    </row>
    <row r="856" customFormat="false" ht="15" hidden="false" customHeight="false" outlineLevel="0" collapsed="false">
      <c r="A856" s="19" t="n">
        <v>805</v>
      </c>
      <c r="B856" s="19" t="s">
        <v>464</v>
      </c>
      <c r="C856" s="19" t="s">
        <v>307</v>
      </c>
      <c r="D856" s="19" t="s">
        <v>463</v>
      </c>
      <c r="E856" s="19" t="s">
        <v>58</v>
      </c>
      <c r="F856" s="20" t="n">
        <v>9</v>
      </c>
      <c r="G856" s="20" t="n">
        <v>9</v>
      </c>
      <c r="H856" s="21" t="n">
        <v>2320</v>
      </c>
      <c r="I856" s="21" t="n">
        <v>0</v>
      </c>
      <c r="J856" s="21" t="n">
        <v>0</v>
      </c>
      <c r="K856" s="22" t="n">
        <f aca="false">H856+I856+J856</f>
        <v>2320</v>
      </c>
      <c r="L856" s="23" t="n">
        <f aca="false">IF($K$1282=0,0,K856/$K$1282)</f>
        <v>0.000192185175532728</v>
      </c>
      <c r="M856" s="24" t="n">
        <f aca="false">IF(F856&lt;=0,0,K856/F856)</f>
        <v>257.777777777778</v>
      </c>
      <c r="N856" s="21" t="n">
        <v>255</v>
      </c>
      <c r="O856" s="49" t="n">
        <v>5</v>
      </c>
      <c r="P856" s="24" t="n">
        <f aca="false">O856*'Price Groups'!$B$5</f>
        <v>112.5</v>
      </c>
      <c r="Q856" s="26" t="n">
        <f aca="false">IF(OR(N856="",P856=""),"",(N856-P856)/N856)</f>
        <v>0.558823529411765</v>
      </c>
      <c r="R856" s="27" t="n">
        <v>1</v>
      </c>
      <c r="S856" s="28" t="n">
        <f aca="false">IF(R856="-",0,IFERROR(VLOOKUP(R856,'Price Groups'!$A$13:$C$17,3,FALSE()),0))</f>
        <v>0.22</v>
      </c>
      <c r="T856" s="22" t="n">
        <f aca="false">IF(OR(N856="",R856="-"),"",CEILING(ROUND(N856*(1+S856),2),IF(N856*(1+S856)&lt;100,0.5,IF(N856*(1+S856)&lt;1000,1,5))))</f>
        <v>312</v>
      </c>
      <c r="U856" s="26" t="n">
        <f aca="false">IF(OR(T856="",P856=""),"",(T856-P856)/T856)</f>
        <v>0.639423076923077</v>
      </c>
      <c r="V856" s="26" t="n">
        <f aca="false">IF(T856="",0,T856/N856-1)</f>
        <v>0.223529411764706</v>
      </c>
      <c r="W856" s="19" t="s">
        <v>1027</v>
      </c>
    </row>
    <row r="857" customFormat="false" ht="15" hidden="false" customHeight="false" outlineLevel="0" collapsed="false">
      <c r="A857" s="38" t="n">
        <v>806</v>
      </c>
      <c r="B857" s="38" t="s">
        <v>1028</v>
      </c>
      <c r="C857" s="38" t="s">
        <v>57</v>
      </c>
      <c r="D857" s="38"/>
      <c r="E857" s="38" t="s">
        <v>58</v>
      </c>
      <c r="F857" s="39" t="n">
        <v>9</v>
      </c>
      <c r="G857" s="39" t="n">
        <v>8</v>
      </c>
      <c r="H857" s="40" t="n">
        <v>1312.11</v>
      </c>
      <c r="I857" s="40" t="n">
        <v>-19.61</v>
      </c>
      <c r="J857" s="40" t="n">
        <v>0</v>
      </c>
      <c r="K857" s="41" t="n">
        <f aca="false">H857+I857+J857</f>
        <v>1292.5</v>
      </c>
      <c r="L857" s="42" t="n">
        <f aca="false">IF($K$1282=0,0,K857/$K$1282)</f>
        <v>0.000107068680765539</v>
      </c>
      <c r="M857" s="43" t="n">
        <f aca="false">IF(F857&lt;=0,0,K857/F857)</f>
        <v>143.611111111111</v>
      </c>
      <c r="N857" s="40" t="n">
        <v>139.99</v>
      </c>
      <c r="O857" s="44" t="n">
        <v>4.5</v>
      </c>
      <c r="P857" s="43" t="n">
        <f aca="false">O857*'Price Groups'!$B$5</f>
        <v>101.25</v>
      </c>
      <c r="Q857" s="45" t="n">
        <f aca="false">IF(OR(N857="",P857=""),"",(N857-P857)/N857)</f>
        <v>0.276734052432317</v>
      </c>
      <c r="R857" s="46" t="n">
        <v>1</v>
      </c>
      <c r="S857" s="47" t="n">
        <f aca="false">IF(R857="-",0,IFERROR(VLOOKUP(R857,'Price Groups'!$A$13:$C$17,3,FALSE()),0))</f>
        <v>0.22</v>
      </c>
      <c r="T857" s="41" t="n">
        <f aca="false">IF(OR(N857="",R857="-"),"",CEILING(ROUND(N857*(1+S857),2),IF(N857*(1+S857)&lt;100,0.5,IF(N857*(1+S857)&lt;1000,1,5))))</f>
        <v>171</v>
      </c>
      <c r="U857" s="45" t="n">
        <f aca="false">IF(OR(T857="",P857=""),"",(T857-P857)/T857)</f>
        <v>0.407894736842105</v>
      </c>
      <c r="V857" s="45" t="n">
        <f aca="false">IF(T857="",0,T857/N857-1)</f>
        <v>0.221515822558754</v>
      </c>
      <c r="W857" s="38" t="s">
        <v>94</v>
      </c>
    </row>
    <row r="858" customFormat="false" ht="15" hidden="false" customHeight="false" outlineLevel="0" collapsed="false">
      <c r="A858" s="19" t="n">
        <v>807</v>
      </c>
      <c r="B858" s="19" t="s">
        <v>1029</v>
      </c>
      <c r="C858" s="19" t="s">
        <v>57</v>
      </c>
      <c r="D858" s="19"/>
      <c r="E858" s="19" t="s">
        <v>58</v>
      </c>
      <c r="F858" s="20" t="n">
        <v>9</v>
      </c>
      <c r="G858" s="20" t="n">
        <v>10</v>
      </c>
      <c r="H858" s="21" t="n">
        <v>2499.9</v>
      </c>
      <c r="I858" s="21" t="n">
        <v>0</v>
      </c>
      <c r="J858" s="21" t="n">
        <v>-249.99</v>
      </c>
      <c r="K858" s="22" t="n">
        <f aca="false">H858+I858+J858</f>
        <v>2249.91</v>
      </c>
      <c r="L858" s="23" t="n">
        <f aca="false">IF($K$1282=0,0,K858/$K$1282)</f>
        <v>0.000186379029432258</v>
      </c>
      <c r="M858" s="24" t="n">
        <f aca="false">IF(F858&lt;=0,0,K858/F858)</f>
        <v>249.99</v>
      </c>
      <c r="N858" s="21" t="n">
        <v>174.33</v>
      </c>
      <c r="O858" s="49" t="n">
        <v>5.44</v>
      </c>
      <c r="P858" s="24" t="n">
        <f aca="false">O858*'Price Groups'!$B$5</f>
        <v>122.4</v>
      </c>
      <c r="Q858" s="26" t="n">
        <f aca="false">IF(OR(N858="",P858=""),"",(N858-P858)/N858)</f>
        <v>0.297883324728962</v>
      </c>
      <c r="R858" s="27" t="n">
        <v>1</v>
      </c>
      <c r="S858" s="28" t="n">
        <f aca="false">IF(R858="-",0,IFERROR(VLOOKUP(R858,'Price Groups'!$A$13:$C$17,3,FALSE()),0))</f>
        <v>0.22</v>
      </c>
      <c r="T858" s="22" t="n">
        <f aca="false">IF(OR(N858="",R858="-"),"",CEILING(ROUND(N858*(1+S858),2),IF(N858*(1+S858)&lt;100,0.5,IF(N858*(1+S858)&lt;1000,1,5))))</f>
        <v>213</v>
      </c>
      <c r="U858" s="26" t="n">
        <f aca="false">IF(OR(T858="",P858=""),"",(T858-P858)/T858)</f>
        <v>0.425352112676056</v>
      </c>
      <c r="V858" s="26" t="n">
        <f aca="false">IF(T858="",0,T858/N858-1)</f>
        <v>0.221820684907933</v>
      </c>
      <c r="W858" s="19" t="s">
        <v>94</v>
      </c>
    </row>
    <row r="859" customFormat="false" ht="15" hidden="false" customHeight="false" outlineLevel="0" collapsed="false">
      <c r="A859" s="38" t="n">
        <v>808</v>
      </c>
      <c r="B859" s="38" t="s">
        <v>1030</v>
      </c>
      <c r="C859" s="38" t="s">
        <v>57</v>
      </c>
      <c r="D859" s="38"/>
      <c r="E859" s="38" t="s">
        <v>58</v>
      </c>
      <c r="F859" s="39" t="n">
        <v>9</v>
      </c>
      <c r="G859" s="39" t="n">
        <v>7</v>
      </c>
      <c r="H859" s="40" t="n">
        <v>629.91</v>
      </c>
      <c r="I859" s="40" t="n">
        <v>-6.99</v>
      </c>
      <c r="J859" s="40" t="n">
        <v>0</v>
      </c>
      <c r="K859" s="41" t="n">
        <f aca="false">H859+I859+J859</f>
        <v>622.92</v>
      </c>
      <c r="L859" s="42" t="n">
        <f aca="false">IF($K$1282=0,0,K859/$K$1282)</f>
        <v>5.16017196305374E-005</v>
      </c>
      <c r="M859" s="43" t="n">
        <f aca="false">IF(F859&lt;=0,0,K859/F859)</f>
        <v>69.2133333333333</v>
      </c>
      <c r="N859" s="40" t="n">
        <v>69.99</v>
      </c>
      <c r="O859" s="44" t="n">
        <v>1.57</v>
      </c>
      <c r="P859" s="43" t="n">
        <f aca="false">O859*'Price Groups'!$B$5</f>
        <v>35.325</v>
      </c>
      <c r="Q859" s="45" t="n">
        <f aca="false">IF(OR(N859="",P859=""),"",(N859-P859)/N859)</f>
        <v>0.495285040720103</v>
      </c>
      <c r="R859" s="46" t="n">
        <v>1</v>
      </c>
      <c r="S859" s="47" t="n">
        <f aca="false">IF(R859="-",0,IFERROR(VLOOKUP(R859,'Price Groups'!$A$13:$C$17,3,FALSE()),0))</f>
        <v>0.22</v>
      </c>
      <c r="T859" s="41" t="n">
        <f aca="false">IF(OR(N859="",R859="-"),"",CEILING(ROUND(N859*(1+S859),2),IF(N859*(1+S859)&lt;100,0.5,IF(N859*(1+S859)&lt;1000,1,5))))</f>
        <v>85.5</v>
      </c>
      <c r="U859" s="45" t="n">
        <f aca="false">IF(OR(T859="",P859=""),"",(T859-P859)/T859)</f>
        <v>0.586842105263158</v>
      </c>
      <c r="V859" s="45" t="n">
        <f aca="false">IF(T859="",0,T859/N859-1)</f>
        <v>0.221603086155165</v>
      </c>
      <c r="W859" s="38" t="s">
        <v>94</v>
      </c>
    </row>
    <row r="860" customFormat="false" ht="15" hidden="false" customHeight="false" outlineLevel="0" collapsed="false">
      <c r="A860" s="19" t="n">
        <v>809</v>
      </c>
      <c r="B860" s="19" t="s">
        <v>1031</v>
      </c>
      <c r="C860" s="19" t="s">
        <v>57</v>
      </c>
      <c r="D860" s="19"/>
      <c r="E860" s="19" t="s">
        <v>58</v>
      </c>
      <c r="F860" s="20" t="n">
        <v>9</v>
      </c>
      <c r="G860" s="20" t="n">
        <v>9</v>
      </c>
      <c r="H860" s="21" t="n">
        <v>769.89</v>
      </c>
      <c r="I860" s="21" t="n">
        <v>0</v>
      </c>
      <c r="J860" s="21" t="n">
        <v>-139.98</v>
      </c>
      <c r="K860" s="22" t="n">
        <f aca="false">H860+I860+J860</f>
        <v>629.91</v>
      </c>
      <c r="L860" s="23" t="n">
        <f aca="false">IF($K$1282=0,0,K860/$K$1282)</f>
        <v>5.21807603102675E-005</v>
      </c>
      <c r="M860" s="24" t="n">
        <f aca="false">IF(F860&lt;=0,0,K860/F860)</f>
        <v>69.99</v>
      </c>
      <c r="N860" s="21" t="n">
        <v>69.99</v>
      </c>
      <c r="O860" s="49" t="n">
        <v>1.75</v>
      </c>
      <c r="P860" s="24" t="n">
        <f aca="false">O860*'Price Groups'!$B$5</f>
        <v>39.375</v>
      </c>
      <c r="Q860" s="26" t="n">
        <f aca="false">IF(OR(N860="",P860=""),"",(N860-P860)/N860)</f>
        <v>0.437419631375911</v>
      </c>
      <c r="R860" s="27" t="n">
        <v>1</v>
      </c>
      <c r="S860" s="28" t="n">
        <f aca="false">IF(R860="-",0,IFERROR(VLOOKUP(R860,'Price Groups'!$A$13:$C$17,3,FALSE()),0))</f>
        <v>0.22</v>
      </c>
      <c r="T860" s="22" t="n">
        <f aca="false">IF(OR(N860="",R860="-"),"",CEILING(ROUND(N860*(1+S860),2),IF(N860*(1+S860)&lt;100,0.5,IF(N860*(1+S860)&lt;1000,1,5))))</f>
        <v>85.5</v>
      </c>
      <c r="U860" s="26" t="n">
        <f aca="false">IF(OR(T860="",P860=""),"",(T860-P860)/T860)</f>
        <v>0.539473684210526</v>
      </c>
      <c r="V860" s="26" t="n">
        <f aca="false">IF(T860="",0,T860/N860-1)</f>
        <v>0.221603086155165</v>
      </c>
      <c r="W860" s="19" t="s">
        <v>94</v>
      </c>
    </row>
    <row r="861" customFormat="false" ht="15" hidden="false" customHeight="false" outlineLevel="0" collapsed="false">
      <c r="A861" s="38" t="n">
        <v>810</v>
      </c>
      <c r="B861" s="38" t="s">
        <v>1032</v>
      </c>
      <c r="C861" s="38" t="s">
        <v>57</v>
      </c>
      <c r="D861" s="38"/>
      <c r="E861" s="38" t="s">
        <v>58</v>
      </c>
      <c r="F861" s="39" t="n">
        <v>9</v>
      </c>
      <c r="G861" s="39" t="n">
        <v>11</v>
      </c>
      <c r="H861" s="40" t="n">
        <v>8241.6</v>
      </c>
      <c r="I861" s="40" t="n">
        <v>0</v>
      </c>
      <c r="J861" s="40" t="n">
        <v>-2080.8</v>
      </c>
      <c r="K861" s="41" t="n">
        <f aca="false">H861+I861+J861</f>
        <v>6160.8</v>
      </c>
      <c r="L861" s="42" t="n">
        <f aca="false">IF($K$1282=0,0,K861/$K$1282)</f>
        <v>0.000510351047164668</v>
      </c>
      <c r="M861" s="43" t="n">
        <f aca="false">IF(F861&lt;=0,0,K861/F861)</f>
        <v>684.533333333333</v>
      </c>
      <c r="N861" s="40" t="n">
        <v>720.8</v>
      </c>
      <c r="O861" s="44" t="n">
        <v>16</v>
      </c>
      <c r="P861" s="43" t="n">
        <f aca="false">O861*'Price Groups'!$B$5</f>
        <v>360</v>
      </c>
      <c r="Q861" s="45" t="n">
        <f aca="false">IF(OR(N861="",P861=""),"",(N861-P861)/N861)</f>
        <v>0.500554938956715</v>
      </c>
      <c r="R861" s="46" t="n">
        <v>1</v>
      </c>
      <c r="S861" s="47" t="n">
        <f aca="false">IF(R861="-",0,IFERROR(VLOOKUP(R861,'Price Groups'!$A$13:$C$17,3,FALSE()),0))</f>
        <v>0.22</v>
      </c>
      <c r="T861" s="41" t="n">
        <f aca="false">IF(OR(N861="",R861="-"),"",CEILING(ROUND(N861*(1+S861),2),IF(N861*(1+S861)&lt;100,0.5,IF(N861*(1+S861)&lt;1000,1,5))))</f>
        <v>880</v>
      </c>
      <c r="U861" s="45" t="n">
        <f aca="false">IF(OR(T861="",P861=""),"",(T861-P861)/T861)</f>
        <v>0.590909090909091</v>
      </c>
      <c r="V861" s="45" t="n">
        <f aca="false">IF(T861="",0,T861/N861-1)</f>
        <v>0.220865704772475</v>
      </c>
      <c r="W861" s="38" t="s">
        <v>94</v>
      </c>
    </row>
    <row r="862" customFormat="false" ht="15" hidden="false" customHeight="false" outlineLevel="0" collapsed="false">
      <c r="A862" s="19" t="n">
        <v>811</v>
      </c>
      <c r="B862" s="19" t="s">
        <v>1033</v>
      </c>
      <c r="C862" s="19" t="s">
        <v>57</v>
      </c>
      <c r="D862" s="19"/>
      <c r="E862" s="19" t="s">
        <v>58</v>
      </c>
      <c r="F862" s="20" t="n">
        <v>9</v>
      </c>
      <c r="G862" s="20" t="n">
        <v>9</v>
      </c>
      <c r="H862" s="21" t="n">
        <v>775.9</v>
      </c>
      <c r="I862" s="21" t="n">
        <v>0</v>
      </c>
      <c r="J862" s="21" t="n">
        <v>-79.99</v>
      </c>
      <c r="K862" s="22" t="n">
        <f aca="false">H862+I862+J862</f>
        <v>695.91</v>
      </c>
      <c r="L862" s="23" t="n">
        <f aca="false">IF($K$1282=0,0,K862/$K$1282)</f>
        <v>5.76480972004226E-005</v>
      </c>
      <c r="M862" s="24" t="n">
        <f aca="false">IF(F862&lt;=0,0,K862/F862)</f>
        <v>77.3233333333333</v>
      </c>
      <c r="N862" s="21" t="n">
        <v>75.99</v>
      </c>
      <c r="O862" s="49" t="n">
        <v>1.65</v>
      </c>
      <c r="P862" s="24" t="n">
        <f aca="false">O862*'Price Groups'!$B$5</f>
        <v>37.125</v>
      </c>
      <c r="Q862" s="26" t="n">
        <f aca="false">IF(OR(N862="",P862=""),"",(N862-P862)/N862)</f>
        <v>0.511448874851954</v>
      </c>
      <c r="R862" s="27" t="n">
        <v>1</v>
      </c>
      <c r="S862" s="28" t="n">
        <f aca="false">IF(R862="-",0,IFERROR(VLOOKUP(R862,'Price Groups'!$A$13:$C$17,3,FALSE()),0))</f>
        <v>0.22</v>
      </c>
      <c r="T862" s="22" t="n">
        <f aca="false">IF(OR(N862="",R862="-"),"",CEILING(ROUND(N862*(1+S862),2),IF(N862*(1+S862)&lt;100,0.5,IF(N862*(1+S862)&lt;1000,1,5))))</f>
        <v>93</v>
      </c>
      <c r="U862" s="26" t="n">
        <f aca="false">IF(OR(T862="",P862=""),"",(T862-P862)/T862)</f>
        <v>0.600806451612903</v>
      </c>
      <c r="V862" s="26" t="n">
        <f aca="false">IF(T862="",0,T862/N862-1)</f>
        <v>0.223845242795105</v>
      </c>
      <c r="W862" s="19" t="s">
        <v>94</v>
      </c>
    </row>
    <row r="863" customFormat="false" ht="15" hidden="false" customHeight="false" outlineLevel="0" collapsed="false">
      <c r="A863" s="38" t="n">
        <v>812</v>
      </c>
      <c r="B863" s="38" t="s">
        <v>1034</v>
      </c>
      <c r="C863" s="38" t="s">
        <v>57</v>
      </c>
      <c r="D863" s="38"/>
      <c r="E863" s="38" t="s">
        <v>58</v>
      </c>
      <c r="F863" s="39" t="n">
        <v>9</v>
      </c>
      <c r="G863" s="39" t="n">
        <v>8</v>
      </c>
      <c r="H863" s="40" t="n">
        <v>611.43</v>
      </c>
      <c r="I863" s="40" t="n">
        <v>0</v>
      </c>
      <c r="J863" s="40" t="n">
        <v>0</v>
      </c>
      <c r="K863" s="41" t="n">
        <f aca="false">H863+I863+J863</f>
        <v>611.43</v>
      </c>
      <c r="L863" s="42" t="n">
        <f aca="false">IF($K$1282=0,0,K863/$K$1282)</f>
        <v>5.0649905981024E-005</v>
      </c>
      <c r="M863" s="43" t="n">
        <f aca="false">IF(F863&lt;=0,0,K863/F863)</f>
        <v>67.9366666666667</v>
      </c>
      <c r="N863" s="40" t="n">
        <v>69</v>
      </c>
      <c r="O863" s="44" t="n">
        <v>1.65</v>
      </c>
      <c r="P863" s="43" t="n">
        <f aca="false">O863*'Price Groups'!$B$5</f>
        <v>37.125</v>
      </c>
      <c r="Q863" s="45" t="n">
        <f aca="false">IF(OR(N863="",P863=""),"",(N863-P863)/N863)</f>
        <v>0.46195652173913</v>
      </c>
      <c r="R863" s="46" t="n">
        <v>1</v>
      </c>
      <c r="S863" s="47" t="n">
        <f aca="false">IF(R863="-",0,IFERROR(VLOOKUP(R863,'Price Groups'!$A$13:$C$17,3,FALSE()),0))</f>
        <v>0.22</v>
      </c>
      <c r="T863" s="41" t="n">
        <f aca="false">IF(OR(N863="",R863="-"),"",CEILING(ROUND(N863*(1+S863),2),IF(N863*(1+S863)&lt;100,0.5,IF(N863*(1+S863)&lt;1000,1,5))))</f>
        <v>84.5</v>
      </c>
      <c r="U863" s="45" t="n">
        <f aca="false">IF(OR(T863="",P863=""),"",(T863-P863)/T863)</f>
        <v>0.560650887573965</v>
      </c>
      <c r="V863" s="45" t="n">
        <f aca="false">IF(T863="",0,T863/N863-1)</f>
        <v>0.22463768115942</v>
      </c>
      <c r="W863" s="38" t="s">
        <v>94</v>
      </c>
    </row>
    <row r="864" customFormat="false" ht="15" hidden="false" customHeight="false" outlineLevel="0" collapsed="false">
      <c r="A864" s="19" t="n">
        <v>813</v>
      </c>
      <c r="B864" s="19" t="s">
        <v>1035</v>
      </c>
      <c r="C864" s="19" t="s">
        <v>57</v>
      </c>
      <c r="D864" s="19"/>
      <c r="E864" s="19" t="s">
        <v>58</v>
      </c>
      <c r="F864" s="20" t="n">
        <v>9</v>
      </c>
      <c r="G864" s="20" t="n">
        <v>7</v>
      </c>
      <c r="H864" s="21" t="n">
        <v>701.35</v>
      </c>
      <c r="I864" s="21" t="n">
        <v>-8.05</v>
      </c>
      <c r="J864" s="21" t="n">
        <v>0</v>
      </c>
      <c r="K864" s="22" t="n">
        <f aca="false">H864+I864+J864</f>
        <v>693.3</v>
      </c>
      <c r="L864" s="23" t="n">
        <f aca="false">IF($K$1282=0,0,K864/$K$1282)</f>
        <v>5.74318888779483E-005</v>
      </c>
      <c r="M864" s="24" t="n">
        <f aca="false">IF(F864&lt;=0,0,K864/F864)</f>
        <v>77.0333333333334</v>
      </c>
      <c r="N864" s="21" t="n">
        <v>79.55</v>
      </c>
      <c r="O864" s="49" t="n">
        <v>1.61</v>
      </c>
      <c r="P864" s="24" t="n">
        <f aca="false">O864*'Price Groups'!$B$5</f>
        <v>36.225</v>
      </c>
      <c r="Q864" s="26" t="n">
        <f aca="false">IF(OR(N864="",P864=""),"",(N864-P864)/N864)</f>
        <v>0.544626021370207</v>
      </c>
      <c r="R864" s="27" t="n">
        <v>1</v>
      </c>
      <c r="S864" s="28" t="n">
        <f aca="false">IF(R864="-",0,IFERROR(VLOOKUP(R864,'Price Groups'!$A$13:$C$17,3,FALSE()),0))</f>
        <v>0.22</v>
      </c>
      <c r="T864" s="22" t="n">
        <f aca="false">IF(OR(N864="",R864="-"),"",CEILING(ROUND(N864*(1+S864),2),IF(N864*(1+S864)&lt;100,0.5,IF(N864*(1+S864)&lt;1000,1,5))))</f>
        <v>97.5</v>
      </c>
      <c r="U864" s="26" t="n">
        <f aca="false">IF(OR(T864="",P864=""),"",(T864-P864)/T864)</f>
        <v>0.628461538461538</v>
      </c>
      <c r="V864" s="26" t="n">
        <f aca="false">IF(T864="",0,T864/N864-1)</f>
        <v>0.225644248900063</v>
      </c>
      <c r="W864" s="19" t="s">
        <v>94</v>
      </c>
    </row>
    <row r="865" customFormat="false" ht="15" hidden="false" customHeight="false" outlineLevel="0" collapsed="false">
      <c r="A865" s="38" t="n">
        <v>814</v>
      </c>
      <c r="B865" s="38" t="s">
        <v>1036</v>
      </c>
      <c r="C865" s="38" t="s">
        <v>57</v>
      </c>
      <c r="D865" s="38"/>
      <c r="E865" s="38" t="s">
        <v>58</v>
      </c>
      <c r="F865" s="39" t="n">
        <v>9</v>
      </c>
      <c r="G865" s="39" t="n">
        <v>9</v>
      </c>
      <c r="H865" s="40" t="n">
        <v>5399.91</v>
      </c>
      <c r="I865" s="40" t="n">
        <v>-59.99</v>
      </c>
      <c r="J865" s="40" t="n">
        <v>0</v>
      </c>
      <c r="K865" s="41" t="n">
        <f aca="false">H865+I865+J865</f>
        <v>5339.92</v>
      </c>
      <c r="L865" s="42" t="n">
        <f aca="false">IF($K$1282=0,0,K865/$K$1282)</f>
        <v>0.000442350630401174</v>
      </c>
      <c r="M865" s="43" t="n">
        <f aca="false">IF(F865&lt;=0,0,K865/F865)</f>
        <v>593.324444444445</v>
      </c>
      <c r="N865" s="40" t="n">
        <v>690</v>
      </c>
      <c r="O865" s="50"/>
      <c r="P865" s="43"/>
      <c r="Q865" s="45" t="str">
        <f aca="false">IF(OR(N865="",P865=""),"",(N865-P865)/N865)</f>
        <v/>
      </c>
      <c r="R865" s="46" t="n">
        <v>2</v>
      </c>
      <c r="S865" s="47" t="n">
        <f aca="false">IF(R865="-",0,IFERROR(VLOOKUP(R865,'Price Groups'!$A$13:$C$17,3,FALSE()),0))</f>
        <v>0.18</v>
      </c>
      <c r="T865" s="41" t="n">
        <f aca="false">IF(OR(N865="",R865="-"),"",CEILING(ROUND(N865*(1+S865),2),IF(N865*(1+S865)&lt;100,0.5,IF(N865*(1+S865)&lt;1000,1,5))))</f>
        <v>815</v>
      </c>
      <c r="U865" s="45" t="str">
        <f aca="false">IF(OR(T865="",P865=""),"",(T865-P865)/T865)</f>
        <v/>
      </c>
      <c r="V865" s="45" t="n">
        <f aca="false">IF(T865="",0,T865/N865-1)</f>
        <v>0.181159420289855</v>
      </c>
      <c r="W865" s="38" t="s">
        <v>129</v>
      </c>
    </row>
    <row r="866" customFormat="false" ht="15" hidden="false" customHeight="false" outlineLevel="0" collapsed="false">
      <c r="A866" s="19" t="n">
        <v>815</v>
      </c>
      <c r="B866" s="19" t="s">
        <v>1037</v>
      </c>
      <c r="C866" s="19" t="s">
        <v>57</v>
      </c>
      <c r="D866" s="19"/>
      <c r="E866" s="19" t="s">
        <v>58</v>
      </c>
      <c r="F866" s="20" t="n">
        <v>9</v>
      </c>
      <c r="G866" s="20" t="n">
        <v>9</v>
      </c>
      <c r="H866" s="21" t="n">
        <v>1499.88</v>
      </c>
      <c r="I866" s="21" t="n">
        <v>-15.19</v>
      </c>
      <c r="J866" s="21" t="n">
        <v>-362.47</v>
      </c>
      <c r="K866" s="22" t="n">
        <f aca="false">H866+I866+J866</f>
        <v>1122.22</v>
      </c>
      <c r="L866" s="23" t="n">
        <f aca="false">IF($K$1282=0,0,K866/$K$1282)</f>
        <v>9.29629515889387E-005</v>
      </c>
      <c r="M866" s="24" t="n">
        <f aca="false">IF(F866&lt;=0,0,K866/F866)</f>
        <v>124.691111111111</v>
      </c>
      <c r="N866" s="21" t="n">
        <v>124.99</v>
      </c>
      <c r="O866" s="49" t="n">
        <v>3.55</v>
      </c>
      <c r="P866" s="24" t="n">
        <f aca="false">O866*'Price Groups'!$B$5</f>
        <v>79.875</v>
      </c>
      <c r="Q866" s="26" t="n">
        <f aca="false">IF(OR(N866="",P866=""),"",(N866-P866)/N866)</f>
        <v>0.360948875910073</v>
      </c>
      <c r="R866" s="27" t="n">
        <v>1</v>
      </c>
      <c r="S866" s="28" t="n">
        <f aca="false">IF(R866="-",0,IFERROR(VLOOKUP(R866,'Price Groups'!$A$13:$C$17,3,FALSE()),0))</f>
        <v>0.22</v>
      </c>
      <c r="T866" s="22" t="n">
        <f aca="false">IF(OR(N866="",R866="-"),"",CEILING(ROUND(N866*(1+S866),2),IF(N866*(1+S866)&lt;100,0.5,IF(N866*(1+S866)&lt;1000,1,5))))</f>
        <v>153</v>
      </c>
      <c r="U866" s="26" t="n">
        <f aca="false">IF(OR(T866="",P866=""),"",(T866-P866)/T866)</f>
        <v>0.477941176470588</v>
      </c>
      <c r="V866" s="26" t="n">
        <f aca="false">IF(T866="",0,T866/N866-1)</f>
        <v>0.224097927834227</v>
      </c>
      <c r="W866" s="19" t="s">
        <v>94</v>
      </c>
    </row>
    <row r="867" customFormat="false" ht="15" hidden="false" customHeight="false" outlineLevel="0" collapsed="false">
      <c r="A867" s="38" t="n">
        <v>816</v>
      </c>
      <c r="B867" s="38" t="s">
        <v>1038</v>
      </c>
      <c r="C867" s="38" t="s">
        <v>57</v>
      </c>
      <c r="D867" s="38"/>
      <c r="E867" s="38" t="s">
        <v>58</v>
      </c>
      <c r="F867" s="39" t="n">
        <v>9</v>
      </c>
      <c r="G867" s="39" t="n">
        <v>7</v>
      </c>
      <c r="H867" s="40" t="n">
        <v>158.56</v>
      </c>
      <c r="I867" s="40" t="n">
        <v>0</v>
      </c>
      <c r="J867" s="40" t="n">
        <v>-15.07</v>
      </c>
      <c r="K867" s="41" t="n">
        <f aca="false">H867+I867+J867</f>
        <v>143.49</v>
      </c>
      <c r="L867" s="42" t="n">
        <f aca="false">IF($K$1282=0,0,K867/$K$1282)</f>
        <v>1.18864874298237E-005</v>
      </c>
      <c r="M867" s="43" t="n">
        <f aca="false">IF(F867&lt;=0,0,K867/F867)</f>
        <v>15.9433333333333</v>
      </c>
      <c r="N867" s="40" t="n">
        <v>15.07</v>
      </c>
      <c r="O867" s="44" t="n">
        <v>0.47</v>
      </c>
      <c r="P867" s="43" t="n">
        <f aca="false">O867*'Price Groups'!$B$5</f>
        <v>10.575</v>
      </c>
      <c r="Q867" s="45" t="n">
        <f aca="false">IF(OR(N867="",P867=""),"",(N867-P867)/N867)</f>
        <v>0.298274717982747</v>
      </c>
      <c r="R867" s="46" t="n">
        <v>1</v>
      </c>
      <c r="S867" s="47" t="n">
        <f aca="false">IF(R867="-",0,IFERROR(VLOOKUP(R867,'Price Groups'!$A$13:$C$17,3,FALSE()),0))</f>
        <v>0.22</v>
      </c>
      <c r="T867" s="41" t="n">
        <f aca="false">IF(OR(N867="",R867="-"),"",CEILING(ROUND(N867*(1+S867),2),IF(N867*(1+S867)&lt;100,0.5,IF(N867*(1+S867)&lt;1000,1,5))))</f>
        <v>18.5</v>
      </c>
      <c r="U867" s="45" t="n">
        <f aca="false">IF(OR(T867="",P867=""),"",(T867-P867)/T867)</f>
        <v>0.428378378378378</v>
      </c>
      <c r="V867" s="45" t="n">
        <f aca="false">IF(T867="",0,T867/N867-1)</f>
        <v>0.227604512276045</v>
      </c>
      <c r="W867" s="38" t="s">
        <v>94</v>
      </c>
    </row>
    <row r="868" customFormat="false" ht="15" hidden="false" customHeight="false" outlineLevel="0" collapsed="false">
      <c r="A868" s="19" t="n">
        <v>817</v>
      </c>
      <c r="B868" s="19" t="s">
        <v>1039</v>
      </c>
      <c r="C868" s="19" t="s">
        <v>57</v>
      </c>
      <c r="D868" s="19"/>
      <c r="E868" s="19" t="s">
        <v>58</v>
      </c>
      <c r="F868" s="20" t="n">
        <v>9</v>
      </c>
      <c r="G868" s="20" t="n">
        <v>5</v>
      </c>
      <c r="H868" s="21" t="n">
        <v>990</v>
      </c>
      <c r="I868" s="21" t="n">
        <v>0</v>
      </c>
      <c r="J868" s="21" t="n">
        <v>0</v>
      </c>
      <c r="K868" s="22" t="n">
        <f aca="false">H868+I868+J868</f>
        <v>990</v>
      </c>
      <c r="L868" s="23" t="n">
        <f aca="false">IF($K$1282=0,0,K868/$K$1282)</f>
        <v>8.20100533523278E-005</v>
      </c>
      <c r="M868" s="24" t="n">
        <f aca="false">IF(F868&lt;=0,0,K868/F868)</f>
        <v>110</v>
      </c>
      <c r="N868" s="21" t="n">
        <v>110</v>
      </c>
      <c r="O868" s="49" t="n">
        <v>3</v>
      </c>
      <c r="P868" s="24" t="n">
        <f aca="false">O868*'Price Groups'!$B$5</f>
        <v>67.5</v>
      </c>
      <c r="Q868" s="26" t="n">
        <f aca="false">IF(OR(N868="",P868=""),"",(N868-P868)/N868)</f>
        <v>0.386363636363636</v>
      </c>
      <c r="R868" s="27" t="n">
        <v>1</v>
      </c>
      <c r="S868" s="28" t="n">
        <f aca="false">IF(R868="-",0,IFERROR(VLOOKUP(R868,'Price Groups'!$A$13:$C$17,3,FALSE()),0))</f>
        <v>0.22</v>
      </c>
      <c r="T868" s="22" t="n">
        <f aca="false">IF(OR(N868="",R868="-"),"",CEILING(ROUND(N868*(1+S868),2),IF(N868*(1+S868)&lt;100,0.5,IF(N868*(1+S868)&lt;1000,1,5))))</f>
        <v>135</v>
      </c>
      <c r="U868" s="26" t="n">
        <f aca="false">IF(OR(T868="",P868=""),"",(T868-P868)/T868)</f>
        <v>0.5</v>
      </c>
      <c r="V868" s="26" t="n">
        <f aca="false">IF(T868="",0,T868/N868-1)</f>
        <v>0.227272727272727</v>
      </c>
      <c r="W868" s="19" t="s">
        <v>94</v>
      </c>
    </row>
    <row r="869" customFormat="false" ht="15" hidden="false" customHeight="false" outlineLevel="0" collapsed="false">
      <c r="A869" s="38" t="n">
        <v>818</v>
      </c>
      <c r="B869" s="38" t="s">
        <v>1040</v>
      </c>
      <c r="C869" s="38" t="s">
        <v>57</v>
      </c>
      <c r="D869" s="38"/>
      <c r="E869" s="38" t="s">
        <v>58</v>
      </c>
      <c r="F869" s="39" t="n">
        <v>9</v>
      </c>
      <c r="G869" s="39" t="n">
        <v>9</v>
      </c>
      <c r="H869" s="40" t="n">
        <v>209</v>
      </c>
      <c r="I869" s="40" t="n">
        <v>0</v>
      </c>
      <c r="J869" s="40" t="n">
        <v>-38</v>
      </c>
      <c r="K869" s="41" t="n">
        <f aca="false">H869+I869+J869</f>
        <v>171</v>
      </c>
      <c r="L869" s="42" t="n">
        <f aca="false">IF($K$1282=0,0,K869/$K$1282)</f>
        <v>1.41653728517657E-005</v>
      </c>
      <c r="M869" s="43" t="n">
        <f aca="false">IF(F869&lt;=0,0,K869/F869)</f>
        <v>19</v>
      </c>
      <c r="N869" s="40" t="n">
        <v>19</v>
      </c>
      <c r="O869" s="44" t="n">
        <v>0.39</v>
      </c>
      <c r="P869" s="43" t="n">
        <f aca="false">O869*'Price Groups'!$B$5</f>
        <v>8.775</v>
      </c>
      <c r="Q869" s="45" t="n">
        <f aca="false">IF(OR(N869="",P869=""),"",(N869-P869)/N869)</f>
        <v>0.538157894736842</v>
      </c>
      <c r="R869" s="46" t="n">
        <v>1</v>
      </c>
      <c r="S869" s="47" t="n">
        <f aca="false">IF(R869="-",0,IFERROR(VLOOKUP(R869,'Price Groups'!$A$13:$C$17,3,FALSE()),0))</f>
        <v>0.22</v>
      </c>
      <c r="T869" s="41" t="n">
        <f aca="false">IF(OR(N869="",R869="-"),"",CEILING(ROUND(N869*(1+S869),2),IF(N869*(1+S869)&lt;100,0.5,IF(N869*(1+S869)&lt;1000,1,5))))</f>
        <v>23.5</v>
      </c>
      <c r="U869" s="45" t="n">
        <f aca="false">IF(OR(T869="",P869=""),"",(T869-P869)/T869)</f>
        <v>0.626595744680851</v>
      </c>
      <c r="V869" s="45" t="n">
        <f aca="false">IF(T869="",0,T869/N869-1)</f>
        <v>0.236842105263158</v>
      </c>
      <c r="W869" s="38" t="s">
        <v>94</v>
      </c>
    </row>
    <row r="870" customFormat="false" ht="15" hidden="false" customHeight="false" outlineLevel="0" collapsed="false">
      <c r="A870" s="19" t="n">
        <v>819</v>
      </c>
      <c r="B870" s="19" t="s">
        <v>1041</v>
      </c>
      <c r="C870" s="19" t="s">
        <v>57</v>
      </c>
      <c r="D870" s="19"/>
      <c r="E870" s="19" t="s">
        <v>58</v>
      </c>
      <c r="F870" s="20" t="n">
        <v>9</v>
      </c>
      <c r="G870" s="20" t="n">
        <v>4</v>
      </c>
      <c r="H870" s="21" t="n">
        <v>7661.98</v>
      </c>
      <c r="I870" s="21" t="n">
        <v>0</v>
      </c>
      <c r="J870" s="21" t="n">
        <v>-839</v>
      </c>
      <c r="K870" s="22" t="n">
        <f aca="false">H870+I870+J870</f>
        <v>6822.98</v>
      </c>
      <c r="L870" s="23" t="n">
        <f aca="false">IF($K$1282=0,0,K870/$K$1282)</f>
        <v>0.00056520500386047</v>
      </c>
      <c r="M870" s="24" t="n">
        <f aca="false">IF(F870&lt;=0,0,K870/F870)</f>
        <v>758.108888888889</v>
      </c>
      <c r="N870" s="21" t="n">
        <v>549.99</v>
      </c>
      <c r="O870" s="49" t="n">
        <v>18.95</v>
      </c>
      <c r="P870" s="24" t="n">
        <f aca="false">O870*'Price Groups'!$B$5</f>
        <v>426.375</v>
      </c>
      <c r="Q870" s="26" t="n">
        <f aca="false">IF(OR(N870="",P870=""),"",(N870-P870)/N870)</f>
        <v>0.224758631975127</v>
      </c>
      <c r="R870" s="27" t="n">
        <v>1</v>
      </c>
      <c r="S870" s="28" t="n">
        <f aca="false">IF(R870="-",0,IFERROR(VLOOKUP(R870,'Price Groups'!$A$13:$C$17,3,FALSE()),0))</f>
        <v>0.22</v>
      </c>
      <c r="T870" s="22" t="n">
        <f aca="false">IF(OR(N870="",R870="-"),"",CEILING(ROUND(N870*(1+S870),2),IF(N870*(1+S870)&lt;100,0.5,IF(N870*(1+S870)&lt;1000,1,5))))</f>
        <v>671</v>
      </c>
      <c r="U870" s="26" t="n">
        <f aca="false">IF(OR(T870="",P870=""),"",(T870-P870)/T870)</f>
        <v>0.36456780923994</v>
      </c>
      <c r="V870" s="26" t="n">
        <f aca="false">IF(T870="",0,T870/N870-1)</f>
        <v>0.220022182221495</v>
      </c>
      <c r="W870" s="19" t="s">
        <v>423</v>
      </c>
    </row>
    <row r="871" customFormat="false" ht="15" hidden="false" customHeight="false" outlineLevel="0" collapsed="false">
      <c r="A871" s="38" t="n">
        <v>820</v>
      </c>
      <c r="B871" s="38" t="s">
        <v>1042</v>
      </c>
      <c r="C871" s="38" t="s">
        <v>57</v>
      </c>
      <c r="D871" s="38"/>
      <c r="E871" s="38" t="s">
        <v>58</v>
      </c>
      <c r="F871" s="39" t="n">
        <v>9</v>
      </c>
      <c r="G871" s="39" t="n">
        <v>10</v>
      </c>
      <c r="H871" s="40" t="n">
        <v>2089.89</v>
      </c>
      <c r="I871" s="40" t="n">
        <v>0</v>
      </c>
      <c r="J871" s="40" t="n">
        <v>-379.98</v>
      </c>
      <c r="K871" s="41" t="n">
        <f aca="false">H871+I871+J871</f>
        <v>1709.91</v>
      </c>
      <c r="L871" s="42" t="n">
        <f aca="false">IF($K$1282=0,0,K871/$K$1282)</f>
        <v>0.000141646273058261</v>
      </c>
      <c r="M871" s="43" t="n">
        <f aca="false">IF(F871&lt;=0,0,K871/F871)</f>
        <v>189.99</v>
      </c>
      <c r="N871" s="40" t="n">
        <v>189.99</v>
      </c>
      <c r="O871" s="44" t="n">
        <v>6</v>
      </c>
      <c r="P871" s="43" t="n">
        <f aca="false">O871*'Price Groups'!$B$5</f>
        <v>135</v>
      </c>
      <c r="Q871" s="45" t="n">
        <f aca="false">IF(OR(N871="",P871=""),"",(N871-P871)/N871)</f>
        <v>0.289436286120322</v>
      </c>
      <c r="R871" s="46" t="n">
        <v>1</v>
      </c>
      <c r="S871" s="47" t="n">
        <f aca="false">IF(R871="-",0,IFERROR(VLOOKUP(R871,'Price Groups'!$A$13:$C$17,3,FALSE()),0))</f>
        <v>0.22</v>
      </c>
      <c r="T871" s="41" t="n">
        <f aca="false">IF(OR(N871="",R871="-"),"",CEILING(ROUND(N871*(1+S871),2),IF(N871*(1+S871)&lt;100,0.5,IF(N871*(1+S871)&lt;1000,1,5))))</f>
        <v>232</v>
      </c>
      <c r="U871" s="45" t="n">
        <f aca="false">IF(OR(T871="",P871=""),"",(T871-P871)/T871)</f>
        <v>0.418103448275862</v>
      </c>
      <c r="V871" s="45" t="n">
        <f aca="false">IF(T871="",0,T871/N871-1)</f>
        <v>0.22111690088952</v>
      </c>
      <c r="W871" s="38" t="s">
        <v>94</v>
      </c>
    </row>
    <row r="872" customFormat="false" ht="15" hidden="false" customHeight="false" outlineLevel="0" collapsed="false">
      <c r="A872" s="19" t="n">
        <v>821</v>
      </c>
      <c r="B872" s="19" t="s">
        <v>1043</v>
      </c>
      <c r="C872" s="19" t="s">
        <v>57</v>
      </c>
      <c r="D872" s="19"/>
      <c r="E872" s="19" t="s">
        <v>58</v>
      </c>
      <c r="F872" s="20" t="n">
        <v>9</v>
      </c>
      <c r="G872" s="20" t="n">
        <v>4</v>
      </c>
      <c r="H872" s="21" t="n">
        <v>990</v>
      </c>
      <c r="I872" s="21" t="n">
        <v>0</v>
      </c>
      <c r="J872" s="21" t="n">
        <v>0</v>
      </c>
      <c r="K872" s="22" t="n">
        <f aca="false">H872+I872+J872</f>
        <v>990</v>
      </c>
      <c r="L872" s="23" t="n">
        <f aca="false">IF($K$1282=0,0,K872/$K$1282)</f>
        <v>8.20100533523278E-005</v>
      </c>
      <c r="M872" s="24" t="n">
        <f aca="false">IF(F872&lt;=0,0,K872/F872)</f>
        <v>110</v>
      </c>
      <c r="N872" s="21" t="n">
        <v>110</v>
      </c>
      <c r="O872" s="49" t="n">
        <v>2.43</v>
      </c>
      <c r="P872" s="24" t="n">
        <f aca="false">O872*'Price Groups'!$B$5</f>
        <v>54.675</v>
      </c>
      <c r="Q872" s="26" t="n">
        <f aca="false">IF(OR(N872="",P872=""),"",(N872-P872)/N872)</f>
        <v>0.502954545454545</v>
      </c>
      <c r="R872" s="27" t="n">
        <v>1</v>
      </c>
      <c r="S872" s="28" t="n">
        <f aca="false">IF(R872="-",0,IFERROR(VLOOKUP(R872,'Price Groups'!$A$13:$C$17,3,FALSE()),0))</f>
        <v>0.22</v>
      </c>
      <c r="T872" s="22" t="n">
        <f aca="false">IF(OR(N872="",R872="-"),"",CEILING(ROUND(N872*(1+S872),2),IF(N872*(1+S872)&lt;100,0.5,IF(N872*(1+S872)&lt;1000,1,5))))</f>
        <v>135</v>
      </c>
      <c r="U872" s="26" t="n">
        <f aca="false">IF(OR(T872="",P872=""),"",(T872-P872)/T872)</f>
        <v>0.595</v>
      </c>
      <c r="V872" s="26" t="n">
        <f aca="false">IF(T872="",0,T872/N872-1)</f>
        <v>0.227272727272727</v>
      </c>
      <c r="W872" s="19" t="s">
        <v>94</v>
      </c>
    </row>
    <row r="873" customFormat="false" ht="15" hidden="false" customHeight="false" outlineLevel="0" collapsed="false">
      <c r="A873" s="38" t="n">
        <v>822</v>
      </c>
      <c r="B873" s="38" t="s">
        <v>1044</v>
      </c>
      <c r="C873" s="38" t="s">
        <v>57</v>
      </c>
      <c r="D873" s="38"/>
      <c r="E873" s="38" t="s">
        <v>58</v>
      </c>
      <c r="F873" s="39" t="n">
        <v>9</v>
      </c>
      <c r="G873" s="39" t="n">
        <v>2</v>
      </c>
      <c r="H873" s="40" t="n">
        <v>990</v>
      </c>
      <c r="I873" s="40" t="n">
        <v>0</v>
      </c>
      <c r="J873" s="40" t="n">
        <v>0</v>
      </c>
      <c r="K873" s="41" t="n">
        <f aca="false">H873+I873+J873</f>
        <v>990</v>
      </c>
      <c r="L873" s="42" t="n">
        <f aca="false">IF($K$1282=0,0,K873/$K$1282)</f>
        <v>8.20100533523278E-005</v>
      </c>
      <c r="M873" s="43" t="n">
        <f aca="false">IF(F873&lt;=0,0,K873/F873)</f>
        <v>110</v>
      </c>
      <c r="N873" s="40" t="n">
        <v>110</v>
      </c>
      <c r="O873" s="44" t="n">
        <v>2.43</v>
      </c>
      <c r="P873" s="43" t="n">
        <f aca="false">O873*'Price Groups'!$B$5</f>
        <v>54.675</v>
      </c>
      <c r="Q873" s="45" t="n">
        <f aca="false">IF(OR(N873="",P873=""),"",(N873-P873)/N873)</f>
        <v>0.502954545454545</v>
      </c>
      <c r="R873" s="46" t="n">
        <v>1</v>
      </c>
      <c r="S873" s="47" t="n">
        <f aca="false">IF(R873="-",0,IFERROR(VLOOKUP(R873,'Price Groups'!$A$13:$C$17,3,FALSE()),0))</f>
        <v>0.22</v>
      </c>
      <c r="T873" s="41" t="n">
        <f aca="false">IF(OR(N873="",R873="-"),"",CEILING(ROUND(N873*(1+S873),2),IF(N873*(1+S873)&lt;100,0.5,IF(N873*(1+S873)&lt;1000,1,5))))</f>
        <v>135</v>
      </c>
      <c r="U873" s="45" t="n">
        <f aca="false">IF(OR(T873="",P873=""),"",(T873-P873)/T873)</f>
        <v>0.595</v>
      </c>
      <c r="V873" s="45" t="n">
        <f aca="false">IF(T873="",0,T873/N873-1)</f>
        <v>0.227272727272727</v>
      </c>
      <c r="W873" s="38" t="s">
        <v>94</v>
      </c>
    </row>
    <row r="874" customFormat="false" ht="15" hidden="false" customHeight="false" outlineLevel="0" collapsed="false">
      <c r="A874" s="19" t="n">
        <v>823</v>
      </c>
      <c r="B874" s="19" t="s">
        <v>1045</v>
      </c>
      <c r="C874" s="19" t="s">
        <v>57</v>
      </c>
      <c r="D874" s="19"/>
      <c r="E874" s="19" t="s">
        <v>58</v>
      </c>
      <c r="F874" s="20" t="n">
        <v>9</v>
      </c>
      <c r="G874" s="20" t="n">
        <v>9</v>
      </c>
      <c r="H874" s="21" t="n">
        <v>999.9</v>
      </c>
      <c r="I874" s="21" t="n">
        <v>-20.11</v>
      </c>
      <c r="J874" s="21" t="n">
        <v>-99.99</v>
      </c>
      <c r="K874" s="22" t="n">
        <f aca="false">H874+I874+J874</f>
        <v>879.8</v>
      </c>
      <c r="L874" s="23" t="n">
        <f aca="false">IF($K$1282=0,0,K874/$K$1282)</f>
        <v>7.28812575145232E-005</v>
      </c>
      <c r="M874" s="24" t="n">
        <f aca="false">IF(F874&lt;=0,0,K874/F874)</f>
        <v>97.7555555555556</v>
      </c>
      <c r="N874" s="21" t="n">
        <v>99.99</v>
      </c>
      <c r="O874" s="49" t="n">
        <v>2.19</v>
      </c>
      <c r="P874" s="24" t="n">
        <f aca="false">O874*'Price Groups'!$B$5</f>
        <v>49.275</v>
      </c>
      <c r="Q874" s="26" t="n">
        <f aca="false">IF(OR(N874="",P874=""),"",(N874-P874)/N874)</f>
        <v>0.507200720072007</v>
      </c>
      <c r="R874" s="27" t="n">
        <v>1</v>
      </c>
      <c r="S874" s="28" t="n">
        <f aca="false">IF(R874="-",0,IFERROR(VLOOKUP(R874,'Price Groups'!$A$13:$C$17,3,FALSE()),0))</f>
        <v>0.22</v>
      </c>
      <c r="T874" s="22" t="n">
        <f aca="false">IF(OR(N874="",R874="-"),"",CEILING(ROUND(N874*(1+S874),2),IF(N874*(1+S874)&lt;100,0.5,IF(N874*(1+S874)&lt;1000,1,5))))</f>
        <v>122</v>
      </c>
      <c r="U874" s="26" t="n">
        <f aca="false">IF(OR(T874="",P874=""),"",(T874-P874)/T874)</f>
        <v>0.596106557377049</v>
      </c>
      <c r="V874" s="26" t="n">
        <f aca="false">IF(T874="",0,T874/N874-1)</f>
        <v>0.22012201220122</v>
      </c>
      <c r="W874" s="19" t="s">
        <v>94</v>
      </c>
    </row>
    <row r="875" customFormat="false" ht="15" hidden="false" customHeight="false" outlineLevel="0" collapsed="false">
      <c r="A875" s="38" t="n">
        <v>824</v>
      </c>
      <c r="B875" s="38" t="s">
        <v>1046</v>
      </c>
      <c r="C875" s="38" t="s">
        <v>57</v>
      </c>
      <c r="D875" s="38"/>
      <c r="E875" s="38" t="s">
        <v>58</v>
      </c>
      <c r="F875" s="39" t="n">
        <v>9</v>
      </c>
      <c r="G875" s="39" t="n">
        <v>9</v>
      </c>
      <c r="H875" s="40" t="n">
        <v>1099.89</v>
      </c>
      <c r="I875" s="40" t="n">
        <v>-1.23</v>
      </c>
      <c r="J875" s="40" t="n">
        <v>-199.98</v>
      </c>
      <c r="K875" s="41" t="n">
        <f aca="false">H875+I875+J875</f>
        <v>898.68</v>
      </c>
      <c r="L875" s="42" t="n">
        <f aca="false">IF($K$1282=0,0,K875/$K$1282)</f>
        <v>7.44452472188585E-005</v>
      </c>
      <c r="M875" s="43" t="n">
        <f aca="false">IF(F875&lt;=0,0,K875/F875)</f>
        <v>99.8533333333333</v>
      </c>
      <c r="N875" s="40" t="n">
        <v>99.99</v>
      </c>
      <c r="O875" s="44" t="n">
        <v>2.53</v>
      </c>
      <c r="P875" s="43" t="n">
        <f aca="false">O875*'Price Groups'!$B$5</f>
        <v>56.925</v>
      </c>
      <c r="Q875" s="45" t="n">
        <f aca="false">IF(OR(N875="",P875=""),"",(N875-P875)/N875)</f>
        <v>0.430693069306931</v>
      </c>
      <c r="R875" s="46" t="n">
        <v>1</v>
      </c>
      <c r="S875" s="47" t="n">
        <f aca="false">IF(R875="-",0,IFERROR(VLOOKUP(R875,'Price Groups'!$A$13:$C$17,3,FALSE()),0))</f>
        <v>0.22</v>
      </c>
      <c r="T875" s="41" t="n">
        <f aca="false">IF(OR(N875="",R875="-"),"",CEILING(ROUND(N875*(1+S875),2),IF(N875*(1+S875)&lt;100,0.5,IF(N875*(1+S875)&lt;1000,1,5))))</f>
        <v>122</v>
      </c>
      <c r="U875" s="45" t="n">
        <f aca="false">IF(OR(T875="",P875=""),"",(T875-P875)/T875)</f>
        <v>0.533401639344262</v>
      </c>
      <c r="V875" s="45" t="n">
        <f aca="false">IF(T875="",0,T875/N875-1)</f>
        <v>0.22012201220122</v>
      </c>
      <c r="W875" s="38" t="s">
        <v>94</v>
      </c>
    </row>
    <row r="876" customFormat="false" ht="15" hidden="false" customHeight="false" outlineLevel="0" collapsed="false">
      <c r="A876" s="19" t="n">
        <v>825</v>
      </c>
      <c r="B876" s="19" t="s">
        <v>1047</v>
      </c>
      <c r="C876" s="19" t="s">
        <v>57</v>
      </c>
      <c r="D876" s="19"/>
      <c r="E876" s="19" t="s">
        <v>58</v>
      </c>
      <c r="F876" s="20" t="n">
        <v>9</v>
      </c>
      <c r="G876" s="20" t="n">
        <v>8</v>
      </c>
      <c r="H876" s="21" t="n">
        <v>4749.87</v>
      </c>
      <c r="I876" s="21" t="n">
        <v>0</v>
      </c>
      <c r="J876" s="21" t="n">
        <v>-1749.95</v>
      </c>
      <c r="K876" s="22" t="n">
        <f aca="false">H876+I876+J876</f>
        <v>2999.92</v>
      </c>
      <c r="L876" s="23" t="n">
        <f aca="false">IF($K$1282=0,0,K876/$K$1282)</f>
        <v>0.000248508686113854</v>
      </c>
      <c r="M876" s="24" t="n">
        <f aca="false">IF(F876&lt;=0,0,K876/F876)</f>
        <v>333.324444444444</v>
      </c>
      <c r="N876" s="21" t="n">
        <v>200</v>
      </c>
      <c r="O876" s="49" t="n">
        <v>9.58</v>
      </c>
      <c r="P876" s="24" t="n">
        <f aca="false">O876*'Price Groups'!$B$5</f>
        <v>215.55</v>
      </c>
      <c r="Q876" s="26" t="n">
        <f aca="false">IF(OR(N876="",P876=""),"",(N876-P876)/N876)</f>
        <v>-0.0777500000000001</v>
      </c>
      <c r="R876" s="27" t="n">
        <v>1</v>
      </c>
      <c r="S876" s="28" t="n">
        <f aca="false">IF(R876="-",0,IFERROR(VLOOKUP(R876,'Price Groups'!$A$13:$C$17,3,FALSE()),0))</f>
        <v>0.22</v>
      </c>
      <c r="T876" s="22" t="n">
        <f aca="false">IF(OR(N876="",R876="-"),"",CEILING(ROUND(N876*(1+S876),2),IF(N876*(1+S876)&lt;100,0.5,IF(N876*(1+S876)&lt;1000,1,5))))</f>
        <v>244</v>
      </c>
      <c r="U876" s="26" t="n">
        <f aca="false">IF(OR(T876="",P876=""),"",(T876-P876)/T876)</f>
        <v>0.116598360655738</v>
      </c>
      <c r="V876" s="26" t="n">
        <f aca="false">IF(T876="",0,T876/N876-1)</f>
        <v>0.22</v>
      </c>
      <c r="W876" s="19" t="s">
        <v>1048</v>
      </c>
    </row>
    <row r="877" customFormat="false" ht="15" hidden="false" customHeight="false" outlineLevel="0" collapsed="false">
      <c r="A877" s="38" t="n">
        <v>826</v>
      </c>
      <c r="B877" s="38" t="s">
        <v>1049</v>
      </c>
      <c r="C877" s="38" t="s">
        <v>57</v>
      </c>
      <c r="D877" s="38"/>
      <c r="E877" s="38" t="s">
        <v>58</v>
      </c>
      <c r="F877" s="39" t="n">
        <v>9</v>
      </c>
      <c r="G877" s="39" t="n">
        <v>7</v>
      </c>
      <c r="H877" s="40" t="n">
        <v>198</v>
      </c>
      <c r="I877" s="40" t="n">
        <v>-2.2</v>
      </c>
      <c r="J877" s="40" t="n">
        <v>0</v>
      </c>
      <c r="K877" s="41" t="n">
        <f aca="false">H877+I877+J877</f>
        <v>195.8</v>
      </c>
      <c r="L877" s="42" t="n">
        <f aca="false">IF($K$1282=0,0,K877/$K$1282)</f>
        <v>1.62197661074604E-005</v>
      </c>
      <c r="M877" s="43" t="n">
        <f aca="false">IF(F877&lt;=0,0,K877/F877)</f>
        <v>21.7555555555556</v>
      </c>
      <c r="N877" s="40" t="n">
        <v>22</v>
      </c>
      <c r="O877" s="44" t="n">
        <v>0.47</v>
      </c>
      <c r="P877" s="43" t="n">
        <f aca="false">O877*'Price Groups'!$B$5</f>
        <v>10.575</v>
      </c>
      <c r="Q877" s="45" t="n">
        <f aca="false">IF(OR(N877="",P877=""),"",(N877-P877)/N877)</f>
        <v>0.519318181818182</v>
      </c>
      <c r="R877" s="46" t="n">
        <v>1</v>
      </c>
      <c r="S877" s="47" t="n">
        <f aca="false">IF(R877="-",0,IFERROR(VLOOKUP(R877,'Price Groups'!$A$13:$C$17,3,FALSE()),0))</f>
        <v>0.22</v>
      </c>
      <c r="T877" s="41" t="n">
        <f aca="false">IF(OR(N877="",R877="-"),"",CEILING(ROUND(N877*(1+S877),2),IF(N877*(1+S877)&lt;100,0.5,IF(N877*(1+S877)&lt;1000,1,5))))</f>
        <v>27</v>
      </c>
      <c r="U877" s="45" t="n">
        <f aca="false">IF(OR(T877="",P877=""),"",(T877-P877)/T877)</f>
        <v>0.608333333333333</v>
      </c>
      <c r="V877" s="45" t="n">
        <f aca="false">IF(T877="",0,T877/N877-1)</f>
        <v>0.227272727272727</v>
      </c>
      <c r="W877" s="38" t="s">
        <v>94</v>
      </c>
    </row>
    <row r="878" customFormat="false" ht="15" hidden="false" customHeight="false" outlineLevel="0" collapsed="false">
      <c r="A878" s="19" t="n">
        <v>827</v>
      </c>
      <c r="B878" s="19" t="s">
        <v>1050</v>
      </c>
      <c r="C878" s="19" t="s">
        <v>57</v>
      </c>
      <c r="D878" s="19"/>
      <c r="E878" s="19" t="s">
        <v>58</v>
      </c>
      <c r="F878" s="20" t="n">
        <v>9</v>
      </c>
      <c r="G878" s="20" t="n">
        <v>10</v>
      </c>
      <c r="H878" s="21" t="n">
        <v>7208.92</v>
      </c>
      <c r="I878" s="21" t="n">
        <v>0</v>
      </c>
      <c r="J878" s="21" t="n">
        <v>-1329.99</v>
      </c>
      <c r="K878" s="22" t="n">
        <f aca="false">H878+I878+J878</f>
        <v>5878.93</v>
      </c>
      <c r="L878" s="23" t="n">
        <f aca="false">IF($K$1282=0,0,K878/$K$1282)</f>
        <v>0.000487001376721819</v>
      </c>
      <c r="M878" s="24" t="n">
        <f aca="false">IF(F878&lt;=0,0,K878/F878)</f>
        <v>653.214444444444</v>
      </c>
      <c r="N878" s="21" t="n">
        <v>680</v>
      </c>
      <c r="O878" s="49" t="n">
        <v>26</v>
      </c>
      <c r="P878" s="24" t="n">
        <f aca="false">O878*'Price Groups'!$B$5</f>
        <v>585</v>
      </c>
      <c r="Q878" s="26" t="n">
        <f aca="false">IF(OR(N878="",P878=""),"",(N878-P878)/N878)</f>
        <v>0.139705882352941</v>
      </c>
      <c r="R878" s="27" t="n">
        <v>1</v>
      </c>
      <c r="S878" s="28" t="n">
        <f aca="false">IF(R878="-",0,IFERROR(VLOOKUP(R878,'Price Groups'!$A$13:$C$17,3,FALSE()),0))</f>
        <v>0.22</v>
      </c>
      <c r="T878" s="22" t="n">
        <f aca="false">IF(OR(N878="",R878="-"),"",CEILING(ROUND(N878*(1+S878),2),IF(N878*(1+S878)&lt;100,0.5,IF(N878*(1+S878)&lt;1000,1,5))))</f>
        <v>830</v>
      </c>
      <c r="U878" s="26" t="n">
        <f aca="false">IF(OR(T878="",P878=""),"",(T878-P878)/T878)</f>
        <v>0.295180722891566</v>
      </c>
      <c r="V878" s="26" t="n">
        <f aca="false">IF(T878="",0,T878/N878-1)</f>
        <v>0.220588235294118</v>
      </c>
      <c r="W878" s="19" t="s">
        <v>842</v>
      </c>
    </row>
    <row r="879" customFormat="false" ht="15" hidden="false" customHeight="false" outlineLevel="0" collapsed="false">
      <c r="A879" s="38" t="n">
        <v>828</v>
      </c>
      <c r="B879" s="38" t="s">
        <v>1051</v>
      </c>
      <c r="C879" s="38" t="s">
        <v>57</v>
      </c>
      <c r="D879" s="38"/>
      <c r="E879" s="38" t="s">
        <v>58</v>
      </c>
      <c r="F879" s="39" t="n">
        <v>8</v>
      </c>
      <c r="G879" s="39" t="n">
        <v>6</v>
      </c>
      <c r="H879" s="40" t="n">
        <v>916.47</v>
      </c>
      <c r="I879" s="40" t="n">
        <v>-6.28</v>
      </c>
      <c r="J879" s="40" t="n">
        <v>0</v>
      </c>
      <c r="K879" s="41" t="n">
        <f aca="false">H879+I879+J879</f>
        <v>910.19</v>
      </c>
      <c r="L879" s="42" t="n">
        <f aca="false">IF($K$1282=0,0,K879/$K$1282)</f>
        <v>7.53987176371265E-005</v>
      </c>
      <c r="M879" s="43" t="n">
        <f aca="false">IF(F879&lt;=0,0,K879/F879)</f>
        <v>113.77375</v>
      </c>
      <c r="N879" s="40" t="n">
        <v>119.99</v>
      </c>
      <c r="O879" s="44" t="n">
        <v>2.7</v>
      </c>
      <c r="P879" s="43" t="n">
        <f aca="false">O879*'Price Groups'!$B$5</f>
        <v>60.75</v>
      </c>
      <c r="Q879" s="45" t="n">
        <f aca="false">IF(OR(N879="",P879=""),"",(N879-P879)/N879)</f>
        <v>0.493707808984082</v>
      </c>
      <c r="R879" s="46" t="n">
        <v>1</v>
      </c>
      <c r="S879" s="47" t="n">
        <f aca="false">IF(R879="-",0,IFERROR(VLOOKUP(R879,'Price Groups'!$A$13:$C$17,3,FALSE()),0))</f>
        <v>0.22</v>
      </c>
      <c r="T879" s="41" t="n">
        <f aca="false">IF(OR(N879="",R879="-"),"",CEILING(ROUND(N879*(1+S879),2),IF(N879*(1+S879)&lt;100,0.5,IF(N879*(1+S879)&lt;1000,1,5))))</f>
        <v>147</v>
      </c>
      <c r="U879" s="45" t="n">
        <f aca="false">IF(OR(T879="",P879=""),"",(T879-P879)/T879)</f>
        <v>0.586734693877551</v>
      </c>
      <c r="V879" s="45" t="n">
        <f aca="false">IF(T879="",0,T879/N879-1)</f>
        <v>0.225102091840987</v>
      </c>
      <c r="W879" s="38" t="s">
        <v>94</v>
      </c>
    </row>
    <row r="880" customFormat="false" ht="15" hidden="false" customHeight="false" outlineLevel="0" collapsed="false">
      <c r="A880" s="19" t="n">
        <v>829</v>
      </c>
      <c r="B880" s="19" t="s">
        <v>1052</v>
      </c>
      <c r="C880" s="19" t="s">
        <v>57</v>
      </c>
      <c r="D880" s="19"/>
      <c r="E880" s="19" t="s">
        <v>58</v>
      </c>
      <c r="F880" s="20" t="n">
        <v>8</v>
      </c>
      <c r="G880" s="20" t="n">
        <v>3</v>
      </c>
      <c r="H880" s="21" t="n">
        <v>120</v>
      </c>
      <c r="I880" s="21" t="n">
        <v>0</v>
      </c>
      <c r="J880" s="21" t="n">
        <v>0</v>
      </c>
      <c r="K880" s="22" t="n">
        <f aca="false">H880+I880+J880</f>
        <v>120</v>
      </c>
      <c r="L880" s="23" t="n">
        <f aca="false">IF($K$1282=0,0,K880/$K$1282)</f>
        <v>9.94061252755488E-006</v>
      </c>
      <c r="M880" s="24" t="n">
        <f aca="false">IF(F880&lt;=0,0,K880/F880)</f>
        <v>15</v>
      </c>
      <c r="N880" s="21" t="n">
        <v>15</v>
      </c>
      <c r="O880" s="49" t="n">
        <v>0.29</v>
      </c>
      <c r="P880" s="24" t="n">
        <f aca="false">O880*'Price Groups'!$B$5</f>
        <v>6.525</v>
      </c>
      <c r="Q880" s="26" t="n">
        <f aca="false">IF(OR(N880="",P880=""),"",(N880-P880)/N880)</f>
        <v>0.565</v>
      </c>
      <c r="R880" s="27" t="n">
        <v>1</v>
      </c>
      <c r="S880" s="28" t="n">
        <f aca="false">IF(R880="-",0,IFERROR(VLOOKUP(R880,'Price Groups'!$A$13:$C$17,3,FALSE()),0))</f>
        <v>0.22</v>
      </c>
      <c r="T880" s="22" t="n">
        <f aca="false">IF(OR(N880="",R880="-"),"",CEILING(ROUND(N880*(1+S880),2),IF(N880*(1+S880)&lt;100,0.5,IF(N880*(1+S880)&lt;1000,1,5))))</f>
        <v>18.5</v>
      </c>
      <c r="U880" s="26" t="n">
        <f aca="false">IF(OR(T880="",P880=""),"",(T880-P880)/T880)</f>
        <v>0.647297297297297</v>
      </c>
      <c r="V880" s="26" t="n">
        <f aca="false">IF(T880="",0,T880/N880-1)</f>
        <v>0.233333333333333</v>
      </c>
      <c r="W880" s="19" t="s">
        <v>94</v>
      </c>
    </row>
    <row r="881" customFormat="false" ht="15" hidden="false" customHeight="false" outlineLevel="0" collapsed="false">
      <c r="A881" s="38" t="n">
        <v>830</v>
      </c>
      <c r="B881" s="38" t="s">
        <v>1053</v>
      </c>
      <c r="C881" s="38" t="s">
        <v>57</v>
      </c>
      <c r="D881" s="38"/>
      <c r="E881" s="38" t="s">
        <v>58</v>
      </c>
      <c r="F881" s="39" t="n">
        <v>8</v>
      </c>
      <c r="G881" s="39" t="n">
        <v>6</v>
      </c>
      <c r="H881" s="40" t="n">
        <v>2097</v>
      </c>
      <c r="I881" s="40" t="n">
        <v>0</v>
      </c>
      <c r="J881" s="40" t="n">
        <v>-233</v>
      </c>
      <c r="K881" s="41" t="n">
        <f aca="false">H881+I881+J881</f>
        <v>1864</v>
      </c>
      <c r="L881" s="42" t="n">
        <f aca="false">IF($K$1282=0,0,K881/$K$1282)</f>
        <v>0.000154410847928019</v>
      </c>
      <c r="M881" s="43" t="n">
        <f aca="false">IF(F881&lt;=0,0,K881/F881)</f>
        <v>233</v>
      </c>
      <c r="N881" s="40" t="n">
        <v>233</v>
      </c>
      <c r="O881" s="44" t="n">
        <v>6</v>
      </c>
      <c r="P881" s="43" t="n">
        <f aca="false">O881*'Price Groups'!$B$5</f>
        <v>135</v>
      </c>
      <c r="Q881" s="45" t="n">
        <f aca="false">IF(OR(N881="",P881=""),"",(N881-P881)/N881)</f>
        <v>0.420600858369099</v>
      </c>
      <c r="R881" s="46" t="n">
        <v>1</v>
      </c>
      <c r="S881" s="47" t="n">
        <f aca="false">IF(R881="-",0,IFERROR(VLOOKUP(R881,'Price Groups'!$A$13:$C$17,3,FALSE()),0))</f>
        <v>0.22</v>
      </c>
      <c r="T881" s="41" t="n">
        <f aca="false">IF(OR(N881="",R881="-"),"",CEILING(ROUND(N881*(1+S881),2),IF(N881*(1+S881)&lt;100,0.5,IF(N881*(1+S881)&lt;1000,1,5))))</f>
        <v>285</v>
      </c>
      <c r="U881" s="45" t="n">
        <f aca="false">IF(OR(T881="",P881=""),"",(T881-P881)/T881)</f>
        <v>0.526315789473684</v>
      </c>
      <c r="V881" s="45" t="n">
        <f aca="false">IF(T881="",0,T881/N881-1)</f>
        <v>0.223175965665236</v>
      </c>
      <c r="W881" s="38" t="s">
        <v>94</v>
      </c>
    </row>
    <row r="882" customFormat="false" ht="15" hidden="false" customHeight="false" outlineLevel="0" collapsed="false">
      <c r="A882" s="19" t="n">
        <v>831</v>
      </c>
      <c r="B882" s="19" t="s">
        <v>324</v>
      </c>
      <c r="C882" s="19" t="s">
        <v>307</v>
      </c>
      <c r="D882" s="19" t="s">
        <v>323</v>
      </c>
      <c r="E882" s="19" t="s">
        <v>58</v>
      </c>
      <c r="F882" s="20" t="n">
        <v>8</v>
      </c>
      <c r="G882" s="20" t="n">
        <v>7</v>
      </c>
      <c r="H882" s="21" t="n">
        <v>5370</v>
      </c>
      <c r="I882" s="21" t="n">
        <v>-132</v>
      </c>
      <c r="J882" s="21" t="n">
        <v>0</v>
      </c>
      <c r="K882" s="22" t="n">
        <f aca="false">H882+I882+J882</f>
        <v>5238</v>
      </c>
      <c r="L882" s="23" t="n">
        <f aca="false">IF($K$1282=0,0,K882/$K$1282)</f>
        <v>0.000433907736827771</v>
      </c>
      <c r="M882" s="24" t="n">
        <f aca="false">IF(F882&lt;=0,0,K882/F882)</f>
        <v>654.75</v>
      </c>
      <c r="N882" s="21" t="n">
        <v>765</v>
      </c>
      <c r="O882" s="49" t="n">
        <v>15.75</v>
      </c>
      <c r="P882" s="24" t="n">
        <f aca="false">O882*'Price Groups'!$B$5</f>
        <v>354.375</v>
      </c>
      <c r="Q882" s="26" t="n">
        <f aca="false">IF(OR(N882="",P882=""),"",(N882-P882)/N882)</f>
        <v>0.536764705882353</v>
      </c>
      <c r="R882" s="27" t="n">
        <v>3</v>
      </c>
      <c r="S882" s="28" t="n">
        <f aca="false">IF(R882="-",0,IFERROR(VLOOKUP(R882,'Price Groups'!$A$13:$C$17,3,FALSE()),0))</f>
        <v>0.16</v>
      </c>
      <c r="T882" s="22" t="n">
        <f aca="false">IF(OR(N882="",R882="-"),"",CEILING(ROUND(N882*(1+S882),2),IF(N882*(1+S882)&lt;100,0.5,IF(N882*(1+S882)&lt;1000,1,5))))</f>
        <v>888</v>
      </c>
      <c r="U882" s="26" t="n">
        <f aca="false">IF(OR(T882="",P882=""),"",(T882-P882)/T882)</f>
        <v>0.600929054054054</v>
      </c>
      <c r="V882" s="26" t="n">
        <f aca="false">IF(T882="",0,T882/N882-1)</f>
        <v>0.16078431372549</v>
      </c>
      <c r="W882" s="19" t="s">
        <v>1054</v>
      </c>
    </row>
    <row r="883" customFormat="false" ht="15" hidden="false" customHeight="false" outlineLevel="0" collapsed="false">
      <c r="A883" s="38" t="n">
        <v>832</v>
      </c>
      <c r="B883" s="38" t="s">
        <v>1055</v>
      </c>
      <c r="C883" s="38" t="s">
        <v>57</v>
      </c>
      <c r="D883" s="38"/>
      <c r="E883" s="38" t="s">
        <v>58</v>
      </c>
      <c r="F883" s="39" t="n">
        <v>8</v>
      </c>
      <c r="G883" s="39" t="n">
        <v>8</v>
      </c>
      <c r="H883" s="40" t="n">
        <v>45102.5</v>
      </c>
      <c r="I883" s="40" t="n">
        <v>-970</v>
      </c>
      <c r="J883" s="40" t="n">
        <v>-4850</v>
      </c>
      <c r="K883" s="41" t="n">
        <f aca="false">H883+I883+J883</f>
        <v>39282.5</v>
      </c>
      <c r="L883" s="42" t="n">
        <f aca="false">IF($K$1282=0,0,K883/$K$1282)</f>
        <v>0.00325410093011396</v>
      </c>
      <c r="M883" s="43" t="n">
        <f aca="false">IF(F883&lt;=0,0,K883/F883)</f>
        <v>4910.3125</v>
      </c>
      <c r="N883" s="40" t="n">
        <v>6412.5</v>
      </c>
      <c r="O883" s="44" t="n">
        <v>244</v>
      </c>
      <c r="P883" s="43" t="n">
        <f aca="false">O883*'Price Groups'!$B$5</f>
        <v>5490</v>
      </c>
      <c r="Q883" s="45" t="n">
        <f aca="false">IF(OR(N883="",P883=""),"",(N883-P883)/N883)</f>
        <v>0.143859649122807</v>
      </c>
      <c r="R883" s="46" t="n">
        <v>1</v>
      </c>
      <c r="S883" s="47" t="n">
        <f aca="false">IF(R883="-",0,IFERROR(VLOOKUP(R883,'Price Groups'!$A$13:$C$17,3,FALSE()),0))</f>
        <v>0.22</v>
      </c>
      <c r="T883" s="41" t="n">
        <f aca="false">IF(OR(N883="",R883="-"),"",CEILING(ROUND(N883*(1+S883),2),IF(N883*(1+S883)&lt;100,0.5,IF(N883*(1+S883)&lt;1000,1,5))))</f>
        <v>7825</v>
      </c>
      <c r="U883" s="45" t="n">
        <f aca="false">IF(OR(T883="",P883=""),"",(T883-P883)/T883)</f>
        <v>0.298402555910543</v>
      </c>
      <c r="V883" s="45" t="n">
        <f aca="false">IF(T883="",0,T883/N883-1)</f>
        <v>0.220272904483431</v>
      </c>
      <c r="W883" s="38" t="s">
        <v>842</v>
      </c>
    </row>
    <row r="884" customFormat="false" ht="15" hidden="false" customHeight="false" outlineLevel="0" collapsed="false">
      <c r="A884" s="19" t="n">
        <v>833</v>
      </c>
      <c r="B884" s="19" t="s">
        <v>1056</v>
      </c>
      <c r="C884" s="19" t="s">
        <v>57</v>
      </c>
      <c r="D884" s="19"/>
      <c r="E884" s="19" t="s">
        <v>58</v>
      </c>
      <c r="F884" s="20" t="n">
        <v>8</v>
      </c>
      <c r="G884" s="20" t="n">
        <v>4</v>
      </c>
      <c r="H884" s="21" t="n">
        <v>799.92</v>
      </c>
      <c r="I884" s="21" t="n">
        <v>-19.98</v>
      </c>
      <c r="J884" s="21" t="n">
        <v>0</v>
      </c>
      <c r="K884" s="22" t="n">
        <f aca="false">H884+I884+J884</f>
        <v>779.94</v>
      </c>
      <c r="L884" s="23" t="n">
        <f aca="false">IF($K$1282=0,0,K884/$K$1282)</f>
        <v>6.46090111228429E-005</v>
      </c>
      <c r="M884" s="24" t="n">
        <f aca="false">IF(F884&lt;=0,0,K884/F884)</f>
        <v>97.4925</v>
      </c>
      <c r="N884" s="21" t="n">
        <v>99.99</v>
      </c>
      <c r="O884" s="49" t="n">
        <v>3.04</v>
      </c>
      <c r="P884" s="24" t="n">
        <f aca="false">O884*'Price Groups'!$B$5</f>
        <v>68.4</v>
      </c>
      <c r="Q884" s="26" t="n">
        <f aca="false">IF(OR(N884="",P884=""),"",(N884-P884)/N884)</f>
        <v>0.315931593159316</v>
      </c>
      <c r="R884" s="27" t="n">
        <v>1</v>
      </c>
      <c r="S884" s="28" t="n">
        <f aca="false">IF(R884="-",0,IFERROR(VLOOKUP(R884,'Price Groups'!$A$13:$C$17,3,FALSE()),0))</f>
        <v>0.22</v>
      </c>
      <c r="T884" s="22" t="n">
        <f aca="false">IF(OR(N884="",R884="-"),"",CEILING(ROUND(N884*(1+S884),2),IF(N884*(1+S884)&lt;100,0.5,IF(N884*(1+S884)&lt;1000,1,5))))</f>
        <v>122</v>
      </c>
      <c r="U884" s="26" t="n">
        <f aca="false">IF(OR(T884="",P884=""),"",(T884-P884)/T884)</f>
        <v>0.439344262295082</v>
      </c>
      <c r="V884" s="26" t="n">
        <f aca="false">IF(T884="",0,T884/N884-1)</f>
        <v>0.22012201220122</v>
      </c>
      <c r="W884" s="19" t="s">
        <v>94</v>
      </c>
    </row>
    <row r="885" customFormat="false" ht="15" hidden="false" customHeight="false" outlineLevel="0" collapsed="false">
      <c r="A885" s="38" t="n">
        <v>834</v>
      </c>
      <c r="B885" s="38" t="s">
        <v>1057</v>
      </c>
      <c r="C885" s="38" t="s">
        <v>57</v>
      </c>
      <c r="D885" s="38"/>
      <c r="E885" s="38" t="s">
        <v>58</v>
      </c>
      <c r="F885" s="39" t="n">
        <v>8</v>
      </c>
      <c r="G885" s="39" t="n">
        <v>5</v>
      </c>
      <c r="H885" s="40" t="n">
        <v>799.92</v>
      </c>
      <c r="I885" s="40" t="n">
        <v>-299.97</v>
      </c>
      <c r="J885" s="40" t="n">
        <v>0</v>
      </c>
      <c r="K885" s="41" t="n">
        <f aca="false">H885+I885+J885</f>
        <v>499.95</v>
      </c>
      <c r="L885" s="42" t="n">
        <f aca="false">IF($K$1282=0,0,K885/$K$1282)</f>
        <v>4.14150769429255E-005</v>
      </c>
      <c r="M885" s="43" t="n">
        <f aca="false">IF(F885&lt;=0,0,K885/F885)</f>
        <v>62.49375</v>
      </c>
      <c r="N885" s="40" t="n">
        <v>99.99</v>
      </c>
      <c r="O885" s="44" t="n">
        <v>3.04</v>
      </c>
      <c r="P885" s="43" t="n">
        <f aca="false">O885*'Price Groups'!$B$5</f>
        <v>68.4</v>
      </c>
      <c r="Q885" s="45" t="n">
        <f aca="false">IF(OR(N885="",P885=""),"",(N885-P885)/N885)</f>
        <v>0.315931593159316</v>
      </c>
      <c r="R885" s="46" t="n">
        <v>1</v>
      </c>
      <c r="S885" s="47" t="n">
        <f aca="false">IF(R885="-",0,IFERROR(VLOOKUP(R885,'Price Groups'!$A$13:$C$17,3,FALSE()),0))</f>
        <v>0.22</v>
      </c>
      <c r="T885" s="41" t="n">
        <f aca="false">IF(OR(N885="",R885="-"),"",CEILING(ROUND(N885*(1+S885),2),IF(N885*(1+S885)&lt;100,0.5,IF(N885*(1+S885)&lt;1000,1,5))))</f>
        <v>122</v>
      </c>
      <c r="U885" s="45" t="n">
        <f aca="false">IF(OR(T885="",P885=""),"",(T885-P885)/T885)</f>
        <v>0.439344262295082</v>
      </c>
      <c r="V885" s="45" t="n">
        <f aca="false">IF(T885="",0,T885/N885-1)</f>
        <v>0.22012201220122</v>
      </c>
      <c r="W885" s="38" t="s">
        <v>94</v>
      </c>
    </row>
    <row r="886" customFormat="false" ht="15" hidden="false" customHeight="false" outlineLevel="0" collapsed="false">
      <c r="A886" s="19" t="n">
        <v>835</v>
      </c>
      <c r="B886" s="19" t="s">
        <v>1058</v>
      </c>
      <c r="C886" s="19" t="s">
        <v>57</v>
      </c>
      <c r="D886" s="19"/>
      <c r="E886" s="19" t="s">
        <v>58</v>
      </c>
      <c r="F886" s="20" t="n">
        <v>8</v>
      </c>
      <c r="G886" s="20" t="n">
        <v>11</v>
      </c>
      <c r="H886" s="21" t="n">
        <v>2712.39</v>
      </c>
      <c r="I886" s="21" t="n">
        <v>0</v>
      </c>
      <c r="J886" s="21" t="n">
        <v>-749.97</v>
      </c>
      <c r="K886" s="22" t="n">
        <f aca="false">H886+I886+J886</f>
        <v>1962.42</v>
      </c>
      <c r="L886" s="23" t="n">
        <f aca="false">IF($K$1282=0,0,K886/$K$1282)</f>
        <v>0.000162563806969369</v>
      </c>
      <c r="M886" s="24" t="n">
        <f aca="false">IF(F886&lt;=0,0,K886/F886)</f>
        <v>245.3025</v>
      </c>
      <c r="N886" s="21" t="n">
        <v>249.36</v>
      </c>
      <c r="O886" s="49" t="n">
        <v>6.26</v>
      </c>
      <c r="P886" s="24" t="n">
        <f aca="false">O886*'Price Groups'!$B$5</f>
        <v>140.85</v>
      </c>
      <c r="Q886" s="26" t="n">
        <f aca="false">IF(OR(N886="",P886=""),"",(N886-P886)/N886)</f>
        <v>0.435153994225217</v>
      </c>
      <c r="R886" s="27" t="n">
        <v>1</v>
      </c>
      <c r="S886" s="28" t="n">
        <f aca="false">IF(R886="-",0,IFERROR(VLOOKUP(R886,'Price Groups'!$A$13:$C$17,3,FALSE()),0))</f>
        <v>0.22</v>
      </c>
      <c r="T886" s="22" t="n">
        <f aca="false">IF(OR(N886="",R886="-"),"",CEILING(ROUND(N886*(1+S886),2),IF(N886*(1+S886)&lt;100,0.5,IF(N886*(1+S886)&lt;1000,1,5))))</f>
        <v>305</v>
      </c>
      <c r="U886" s="26" t="n">
        <f aca="false">IF(OR(T886="",P886=""),"",(T886-P886)/T886)</f>
        <v>0.538196721311475</v>
      </c>
      <c r="V886" s="26" t="n">
        <f aca="false">IF(T886="",0,T886/N886-1)</f>
        <v>0.223131215912737</v>
      </c>
      <c r="W886" s="19" t="s">
        <v>94</v>
      </c>
    </row>
    <row r="887" customFormat="false" ht="15" hidden="false" customHeight="false" outlineLevel="0" collapsed="false">
      <c r="A887" s="38" t="n">
        <v>836</v>
      </c>
      <c r="B887" s="38" t="s">
        <v>1059</v>
      </c>
      <c r="C887" s="38" t="s">
        <v>57</v>
      </c>
      <c r="D887" s="38"/>
      <c r="E887" s="38" t="s">
        <v>58</v>
      </c>
      <c r="F887" s="39" t="n">
        <v>8</v>
      </c>
      <c r="G887" s="39" t="n">
        <v>7</v>
      </c>
      <c r="H887" s="40" t="n">
        <v>503.67</v>
      </c>
      <c r="I887" s="40" t="n">
        <v>0</v>
      </c>
      <c r="J887" s="40" t="n">
        <v>0</v>
      </c>
      <c r="K887" s="41" t="n">
        <f aca="false">H887+I887+J887</f>
        <v>503.67</v>
      </c>
      <c r="L887" s="42" t="n">
        <f aca="false">IF($K$1282=0,0,K887/$K$1282)</f>
        <v>4.17232359312797E-005</v>
      </c>
      <c r="M887" s="43" t="n">
        <f aca="false">IF(F887&lt;=0,0,K887/F887)</f>
        <v>62.95875</v>
      </c>
      <c r="N887" s="40" t="n">
        <v>79.99</v>
      </c>
      <c r="O887" s="44" t="n">
        <v>1.92</v>
      </c>
      <c r="P887" s="43" t="n">
        <f aca="false">O887*'Price Groups'!$B$5</f>
        <v>43.2</v>
      </c>
      <c r="Q887" s="45" t="n">
        <f aca="false">IF(OR(N887="",P887=""),"",(N887-P887)/N887)</f>
        <v>0.459932491561445</v>
      </c>
      <c r="R887" s="46" t="n">
        <v>1</v>
      </c>
      <c r="S887" s="47" t="n">
        <f aca="false">IF(R887="-",0,IFERROR(VLOOKUP(R887,'Price Groups'!$A$13:$C$17,3,FALSE()),0))</f>
        <v>0.22</v>
      </c>
      <c r="T887" s="41" t="n">
        <f aca="false">IF(OR(N887="",R887="-"),"",CEILING(ROUND(N887*(1+S887),2),IF(N887*(1+S887)&lt;100,0.5,IF(N887*(1+S887)&lt;1000,1,5))))</f>
        <v>98</v>
      </c>
      <c r="U887" s="45" t="n">
        <f aca="false">IF(OR(T887="",P887=""),"",(T887-P887)/T887)</f>
        <v>0.559183673469388</v>
      </c>
      <c r="V887" s="45" t="n">
        <f aca="false">IF(T887="",0,T887/N887-1)</f>
        <v>0.225153144143018</v>
      </c>
      <c r="W887" s="38" t="s">
        <v>94</v>
      </c>
    </row>
    <row r="888" customFormat="false" ht="15" hidden="false" customHeight="false" outlineLevel="0" collapsed="false">
      <c r="A888" s="19" t="n">
        <v>837</v>
      </c>
      <c r="B888" s="19" t="s">
        <v>1060</v>
      </c>
      <c r="C888" s="19" t="s">
        <v>57</v>
      </c>
      <c r="D888" s="19"/>
      <c r="E888" s="19" t="s">
        <v>58</v>
      </c>
      <c r="F888" s="20" t="n">
        <v>8</v>
      </c>
      <c r="G888" s="20" t="n">
        <v>4</v>
      </c>
      <c r="H888" s="21" t="n">
        <v>1199.92</v>
      </c>
      <c r="I888" s="21" t="n">
        <v>0</v>
      </c>
      <c r="J888" s="21" t="n">
        <v>0</v>
      </c>
      <c r="K888" s="22" t="n">
        <f aca="false">H888+I888+J888</f>
        <v>1199.92</v>
      </c>
      <c r="L888" s="23" t="n">
        <f aca="false">IF($K$1282=0,0,K888/$K$1282)</f>
        <v>9.93994982005305E-005</v>
      </c>
      <c r="M888" s="24" t="n">
        <f aca="false">IF(F888&lt;=0,0,K888/F888)</f>
        <v>149.99</v>
      </c>
      <c r="N888" s="21" t="n">
        <v>177</v>
      </c>
      <c r="O888" s="49" t="n">
        <v>3.48</v>
      </c>
      <c r="P888" s="24" t="n">
        <f aca="false">O888*'Price Groups'!$B$5</f>
        <v>78.3</v>
      </c>
      <c r="Q888" s="26" t="n">
        <f aca="false">IF(OR(N888="",P888=""),"",(N888-P888)/N888)</f>
        <v>0.557627118644068</v>
      </c>
      <c r="R888" s="27" t="n">
        <v>1</v>
      </c>
      <c r="S888" s="28" t="n">
        <f aca="false">IF(R888="-",0,IFERROR(VLOOKUP(R888,'Price Groups'!$A$13:$C$17,3,FALSE()),0))</f>
        <v>0.22</v>
      </c>
      <c r="T888" s="22" t="n">
        <f aca="false">IF(OR(N888="",R888="-"),"",CEILING(ROUND(N888*(1+S888),2),IF(N888*(1+S888)&lt;100,0.5,IF(N888*(1+S888)&lt;1000,1,5))))</f>
        <v>216</v>
      </c>
      <c r="U888" s="26" t="n">
        <f aca="false">IF(OR(T888="",P888=""),"",(T888-P888)/T888)</f>
        <v>0.6375</v>
      </c>
      <c r="V888" s="26" t="n">
        <f aca="false">IF(T888="",0,T888/N888-1)</f>
        <v>0.220338983050848</v>
      </c>
      <c r="W888" s="19" t="s">
        <v>94</v>
      </c>
    </row>
    <row r="889" customFormat="false" ht="15" hidden="false" customHeight="false" outlineLevel="0" collapsed="false">
      <c r="A889" s="38" t="n">
        <v>838</v>
      </c>
      <c r="B889" s="38" t="s">
        <v>1061</v>
      </c>
      <c r="C889" s="38" t="s">
        <v>57</v>
      </c>
      <c r="D889" s="38"/>
      <c r="E889" s="38" t="s">
        <v>58</v>
      </c>
      <c r="F889" s="39" t="n">
        <v>8</v>
      </c>
      <c r="G889" s="39" t="n">
        <v>9</v>
      </c>
      <c r="H889" s="40" t="n">
        <v>2274.87</v>
      </c>
      <c r="I889" s="40" t="n">
        <v>0</v>
      </c>
      <c r="J889" s="40" t="n">
        <v>-874.95</v>
      </c>
      <c r="K889" s="41" t="n">
        <f aca="false">H889+I889+J889</f>
        <v>1399.92</v>
      </c>
      <c r="L889" s="42" t="n">
        <f aca="false">IF($K$1282=0,0,K889/$K$1282)</f>
        <v>0.000115967185746455</v>
      </c>
      <c r="M889" s="43" t="n">
        <f aca="false">IF(F889&lt;=0,0,K889/F889)</f>
        <v>174.99</v>
      </c>
      <c r="N889" s="40" t="n">
        <v>174.99</v>
      </c>
      <c r="O889" s="44" t="n">
        <v>4.13</v>
      </c>
      <c r="P889" s="43" t="n">
        <f aca="false">O889*'Price Groups'!$B$5</f>
        <v>92.925</v>
      </c>
      <c r="Q889" s="45" t="n">
        <f aca="false">IF(OR(N889="",P889=""),"",(N889-P889)/N889)</f>
        <v>0.468969655408881</v>
      </c>
      <c r="R889" s="46" t="n">
        <v>1</v>
      </c>
      <c r="S889" s="47" t="n">
        <f aca="false">IF(R889="-",0,IFERROR(VLOOKUP(R889,'Price Groups'!$A$13:$C$17,3,FALSE()),0))</f>
        <v>0.22</v>
      </c>
      <c r="T889" s="41" t="n">
        <f aca="false">IF(OR(N889="",R889="-"),"",CEILING(ROUND(N889*(1+S889),2),IF(N889*(1+S889)&lt;100,0.5,IF(N889*(1+S889)&lt;1000,1,5))))</f>
        <v>214</v>
      </c>
      <c r="U889" s="45" t="n">
        <f aca="false">IF(OR(T889="",P889=""),"",(T889-P889)/T889)</f>
        <v>0.565771028037383</v>
      </c>
      <c r="V889" s="45" t="n">
        <f aca="false">IF(T889="",0,T889/N889-1)</f>
        <v>0.222927024401394</v>
      </c>
      <c r="W889" s="38" t="s">
        <v>94</v>
      </c>
    </row>
    <row r="890" customFormat="false" ht="15" hidden="false" customHeight="false" outlineLevel="0" collapsed="false">
      <c r="A890" s="19" t="n">
        <v>839</v>
      </c>
      <c r="B890" s="19" t="s">
        <v>1062</v>
      </c>
      <c r="C890" s="19" t="s">
        <v>57</v>
      </c>
      <c r="D890" s="19"/>
      <c r="E890" s="19" t="s">
        <v>58</v>
      </c>
      <c r="F890" s="20" t="n">
        <v>8</v>
      </c>
      <c r="G890" s="20" t="n">
        <v>7</v>
      </c>
      <c r="H890" s="21" t="n">
        <v>621</v>
      </c>
      <c r="I890" s="21" t="n">
        <v>0</v>
      </c>
      <c r="J890" s="21" t="n">
        <v>-69</v>
      </c>
      <c r="K890" s="22" t="n">
        <f aca="false">H890+I890+J890</f>
        <v>552</v>
      </c>
      <c r="L890" s="23" t="n">
        <f aca="false">IF($K$1282=0,0,K890/$K$1282)</f>
        <v>4.57268176267525E-005</v>
      </c>
      <c r="M890" s="24" t="n">
        <f aca="false">IF(F890&lt;=0,0,K890/F890)</f>
        <v>69</v>
      </c>
      <c r="N890" s="21" t="n">
        <v>79.99</v>
      </c>
      <c r="O890" s="49" t="n">
        <v>1.92</v>
      </c>
      <c r="P890" s="24" t="n">
        <f aca="false">O890*'Price Groups'!$B$5</f>
        <v>43.2</v>
      </c>
      <c r="Q890" s="26" t="n">
        <f aca="false">IF(OR(N890="",P890=""),"",(N890-P890)/N890)</f>
        <v>0.459932491561445</v>
      </c>
      <c r="R890" s="27" t="n">
        <v>1</v>
      </c>
      <c r="S890" s="28" t="n">
        <f aca="false">IF(R890="-",0,IFERROR(VLOOKUP(R890,'Price Groups'!$A$13:$C$17,3,FALSE()),0))</f>
        <v>0.22</v>
      </c>
      <c r="T890" s="22" t="n">
        <f aca="false">IF(OR(N890="",R890="-"),"",CEILING(ROUND(N890*(1+S890),2),IF(N890*(1+S890)&lt;100,0.5,IF(N890*(1+S890)&lt;1000,1,5))))</f>
        <v>98</v>
      </c>
      <c r="U890" s="26" t="n">
        <f aca="false">IF(OR(T890="",P890=""),"",(T890-P890)/T890)</f>
        <v>0.559183673469388</v>
      </c>
      <c r="V890" s="26" t="n">
        <f aca="false">IF(T890="",0,T890/N890-1)</f>
        <v>0.225153144143018</v>
      </c>
      <c r="W890" s="19" t="s">
        <v>94</v>
      </c>
    </row>
    <row r="891" customFormat="false" ht="15" hidden="false" customHeight="false" outlineLevel="0" collapsed="false">
      <c r="A891" s="38" t="n">
        <v>840</v>
      </c>
      <c r="B891" s="38" t="s">
        <v>1063</v>
      </c>
      <c r="C891" s="38" t="s">
        <v>57</v>
      </c>
      <c r="D891" s="38"/>
      <c r="E891" s="38" t="s">
        <v>58</v>
      </c>
      <c r="F891" s="39" t="n">
        <v>8</v>
      </c>
      <c r="G891" s="39" t="n">
        <v>3</v>
      </c>
      <c r="H891" s="40" t="n">
        <v>680</v>
      </c>
      <c r="I891" s="40" t="n">
        <v>0</v>
      </c>
      <c r="J891" s="40" t="n">
        <v>0</v>
      </c>
      <c r="K891" s="41" t="n">
        <f aca="false">H891+I891+J891</f>
        <v>680</v>
      </c>
      <c r="L891" s="42" t="n">
        <f aca="false">IF($K$1282=0,0,K891/$K$1282)</f>
        <v>5.63301376561443E-005</v>
      </c>
      <c r="M891" s="43" t="n">
        <f aca="false">IF(F891&lt;=0,0,K891/F891)</f>
        <v>85</v>
      </c>
      <c r="N891" s="40" t="n">
        <v>85</v>
      </c>
      <c r="O891" s="44" t="n">
        <v>1.47</v>
      </c>
      <c r="P891" s="43" t="n">
        <f aca="false">O891*'Price Groups'!$B$5</f>
        <v>33.075</v>
      </c>
      <c r="Q891" s="45" t="n">
        <f aca="false">IF(OR(N891="",P891=""),"",(N891-P891)/N891)</f>
        <v>0.610882352941176</v>
      </c>
      <c r="R891" s="46" t="n">
        <v>1</v>
      </c>
      <c r="S891" s="47" t="n">
        <f aca="false">IF(R891="-",0,IFERROR(VLOOKUP(R891,'Price Groups'!$A$13:$C$17,3,FALSE()),0))</f>
        <v>0.22</v>
      </c>
      <c r="T891" s="41" t="n">
        <f aca="false">IF(OR(N891="",R891="-"),"",CEILING(ROUND(N891*(1+S891),2),IF(N891*(1+S891)&lt;100,0.5,IF(N891*(1+S891)&lt;1000,1,5))))</f>
        <v>104</v>
      </c>
      <c r="U891" s="45" t="n">
        <f aca="false">IF(OR(T891="",P891=""),"",(T891-P891)/T891)</f>
        <v>0.681971153846154</v>
      </c>
      <c r="V891" s="45" t="n">
        <f aca="false">IF(T891="",0,T891/N891-1)</f>
        <v>0.223529411764706</v>
      </c>
      <c r="W891" s="38" t="s">
        <v>94</v>
      </c>
    </row>
    <row r="892" customFormat="false" ht="15" hidden="false" customHeight="false" outlineLevel="0" collapsed="false">
      <c r="A892" s="19" t="n">
        <v>841</v>
      </c>
      <c r="B892" s="19" t="s">
        <v>1064</v>
      </c>
      <c r="C892" s="19" t="s">
        <v>57</v>
      </c>
      <c r="D892" s="19"/>
      <c r="E892" s="19" t="s">
        <v>58</v>
      </c>
      <c r="F892" s="20" t="n">
        <v>8</v>
      </c>
      <c r="G892" s="20" t="n">
        <v>9</v>
      </c>
      <c r="H892" s="21" t="n">
        <v>3419.91</v>
      </c>
      <c r="I892" s="21" t="n">
        <v>-38</v>
      </c>
      <c r="J892" s="21" t="n">
        <v>-379.99</v>
      </c>
      <c r="K892" s="22" t="n">
        <f aca="false">H892+I892+J892</f>
        <v>3001.92</v>
      </c>
      <c r="L892" s="23" t="n">
        <f aca="false">IF($K$1282=0,0,K892/$K$1282)</f>
        <v>0.000248674362989313</v>
      </c>
      <c r="M892" s="24" t="n">
        <f aca="false">IF(F892&lt;=0,0,K892/F892)</f>
        <v>375.24</v>
      </c>
      <c r="N892" s="21" t="n">
        <v>379.99</v>
      </c>
      <c r="O892" s="49" t="n">
        <v>13</v>
      </c>
      <c r="P892" s="24" t="n">
        <f aca="false">O892*'Price Groups'!$B$5</f>
        <v>292.5</v>
      </c>
      <c r="Q892" s="26" t="n">
        <f aca="false">IF(OR(N892="",P892=""),"",(N892-P892)/N892)</f>
        <v>0.230242901128977</v>
      </c>
      <c r="R892" s="27" t="n">
        <v>1</v>
      </c>
      <c r="S892" s="28" t="n">
        <f aca="false">IF(R892="-",0,IFERROR(VLOOKUP(R892,'Price Groups'!$A$13:$C$17,3,FALSE()),0))</f>
        <v>0.22</v>
      </c>
      <c r="T892" s="22" t="n">
        <f aca="false">IF(OR(N892="",R892="-"),"",CEILING(ROUND(N892*(1+S892),2),IF(N892*(1+S892)&lt;100,0.5,IF(N892*(1+S892)&lt;1000,1,5))))</f>
        <v>464</v>
      </c>
      <c r="U892" s="26" t="n">
        <f aca="false">IF(OR(T892="",P892=""),"",(T892-P892)/T892)</f>
        <v>0.369612068965517</v>
      </c>
      <c r="V892" s="26" t="n">
        <f aca="false">IF(T892="",0,T892/N892-1)</f>
        <v>0.221084765388563</v>
      </c>
      <c r="W892" s="19" t="s">
        <v>633</v>
      </c>
    </row>
    <row r="893" customFormat="false" ht="15" hidden="false" customHeight="false" outlineLevel="0" collapsed="false">
      <c r="A893" s="38" t="n">
        <v>842</v>
      </c>
      <c r="B893" s="38" t="s">
        <v>174</v>
      </c>
      <c r="C893" s="38" t="s">
        <v>307</v>
      </c>
      <c r="D893" s="38" t="s">
        <v>173</v>
      </c>
      <c r="E893" s="38" t="s">
        <v>58</v>
      </c>
      <c r="F893" s="39" t="n">
        <v>8</v>
      </c>
      <c r="G893" s="39" t="n">
        <v>8</v>
      </c>
      <c r="H893" s="40" t="n">
        <v>3200</v>
      </c>
      <c r="I893" s="40" t="n">
        <v>0</v>
      </c>
      <c r="J893" s="40" t="n">
        <v>0</v>
      </c>
      <c r="K893" s="41" t="n">
        <f aca="false">H893+I893+J893</f>
        <v>3200</v>
      </c>
      <c r="L893" s="42" t="n">
        <f aca="false">IF($K$1282=0,0,K893/$K$1282)</f>
        <v>0.000265083000734797</v>
      </c>
      <c r="M893" s="43" t="n">
        <f aca="false">IF(F893&lt;=0,0,K893/F893)</f>
        <v>400</v>
      </c>
      <c r="N893" s="40" t="n">
        <v>440</v>
      </c>
      <c r="O893" s="44" t="n">
        <v>8</v>
      </c>
      <c r="P893" s="43" t="n">
        <f aca="false">O893*'Price Groups'!$B$5</f>
        <v>180</v>
      </c>
      <c r="Q893" s="45" t="n">
        <f aca="false">IF(OR(N893="",P893=""),"",(N893-P893)/N893)</f>
        <v>0.590909090909091</v>
      </c>
      <c r="R893" s="46" t="n">
        <v>1</v>
      </c>
      <c r="S893" s="47" t="n">
        <f aca="false">IF(R893="-",0,IFERROR(VLOOKUP(R893,'Price Groups'!$A$13:$C$17,3,FALSE()),0))</f>
        <v>0.22</v>
      </c>
      <c r="T893" s="41" t="n">
        <f aca="false">IF(OR(N893="",R893="-"),"",CEILING(ROUND(N893*(1+S893),2),IF(N893*(1+S893)&lt;100,0.5,IF(N893*(1+S893)&lt;1000,1,5))))</f>
        <v>537</v>
      </c>
      <c r="U893" s="45" t="n">
        <f aca="false">IF(OR(T893="",P893=""),"",(T893-P893)/T893)</f>
        <v>0.664804469273743</v>
      </c>
      <c r="V893" s="45" t="n">
        <f aca="false">IF(T893="",0,T893/N893-1)</f>
        <v>0.220454545454545</v>
      </c>
      <c r="W893" s="38" t="s">
        <v>1065</v>
      </c>
    </row>
    <row r="894" customFormat="false" ht="15" hidden="false" customHeight="false" outlineLevel="0" collapsed="false">
      <c r="A894" s="19" t="n">
        <v>843</v>
      </c>
      <c r="B894" s="19" t="s">
        <v>1066</v>
      </c>
      <c r="C894" s="19" t="s">
        <v>57</v>
      </c>
      <c r="D894" s="19"/>
      <c r="E894" s="19" t="s">
        <v>58</v>
      </c>
      <c r="F894" s="20" t="n">
        <v>8</v>
      </c>
      <c r="G894" s="20" t="n">
        <v>7</v>
      </c>
      <c r="H894" s="21" t="n">
        <v>325.63</v>
      </c>
      <c r="I894" s="21" t="n">
        <v>-5.2</v>
      </c>
      <c r="J894" s="21" t="n">
        <v>-39.99</v>
      </c>
      <c r="K894" s="22" t="n">
        <f aca="false">H894+I894+J894</f>
        <v>280.44</v>
      </c>
      <c r="L894" s="23" t="n">
        <f aca="false">IF($K$1282=0,0,K894/$K$1282)</f>
        <v>2.32312114768958E-005</v>
      </c>
      <c r="M894" s="24" t="n">
        <f aca="false">IF(F894&lt;=0,0,K894/F894)</f>
        <v>35.055</v>
      </c>
      <c r="N894" s="21" t="n">
        <v>34.61</v>
      </c>
      <c r="O894" s="49" t="n">
        <v>1.08</v>
      </c>
      <c r="P894" s="24" t="n">
        <f aca="false">O894*'Price Groups'!$B$5</f>
        <v>24.3</v>
      </c>
      <c r="Q894" s="26" t="n">
        <f aca="false">IF(OR(N894="",P894=""),"",(N894-P894)/N894)</f>
        <v>0.297890783010691</v>
      </c>
      <c r="R894" s="27" t="n">
        <v>1</v>
      </c>
      <c r="S894" s="28" t="n">
        <f aca="false">IF(R894="-",0,IFERROR(VLOOKUP(R894,'Price Groups'!$A$13:$C$17,3,FALSE()),0))</f>
        <v>0.22</v>
      </c>
      <c r="T894" s="22" t="n">
        <f aca="false">IF(OR(N894="",R894="-"),"",CEILING(ROUND(N894*(1+S894),2),IF(N894*(1+S894)&lt;100,0.5,IF(N894*(1+S894)&lt;1000,1,5))))</f>
        <v>42.5</v>
      </c>
      <c r="U894" s="26" t="n">
        <f aca="false">IF(OR(T894="",P894=""),"",(T894-P894)/T894)</f>
        <v>0.428235294117647</v>
      </c>
      <c r="V894" s="26" t="n">
        <f aca="false">IF(T894="",0,T894/N894-1)</f>
        <v>0.227968795145912</v>
      </c>
      <c r="W894" s="19" t="s">
        <v>94</v>
      </c>
    </row>
    <row r="895" customFormat="false" ht="15" hidden="false" customHeight="false" outlineLevel="0" collapsed="false">
      <c r="A895" s="38" t="n">
        <v>844</v>
      </c>
      <c r="B895" s="38" t="s">
        <v>1067</v>
      </c>
      <c r="C895" s="38" t="s">
        <v>57</v>
      </c>
      <c r="D895" s="38"/>
      <c r="E895" s="38" t="s">
        <v>58</v>
      </c>
      <c r="F895" s="39" t="n">
        <v>8</v>
      </c>
      <c r="G895" s="39" t="n">
        <v>8</v>
      </c>
      <c r="H895" s="40" t="n">
        <v>1989.95</v>
      </c>
      <c r="I895" s="40" t="n">
        <v>0</v>
      </c>
      <c r="J895" s="40" t="n">
        <v>-210</v>
      </c>
      <c r="K895" s="41" t="n">
        <f aca="false">H895+I895+J895</f>
        <v>1779.95</v>
      </c>
      <c r="L895" s="42" t="n">
        <f aca="false">IF($K$1282=0,0,K895/$K$1282)</f>
        <v>0.000147448277236844</v>
      </c>
      <c r="M895" s="43" t="n">
        <f aca="false">IF(F895&lt;=0,0,K895/F895)</f>
        <v>222.49375</v>
      </c>
      <c r="N895" s="40" t="n">
        <v>210</v>
      </c>
      <c r="O895" s="44" t="n">
        <v>4.46</v>
      </c>
      <c r="P895" s="43" t="n">
        <f aca="false">O895*'Price Groups'!$B$5</f>
        <v>100.35</v>
      </c>
      <c r="Q895" s="45" t="n">
        <f aca="false">IF(OR(N895="",P895=""),"",(N895-P895)/N895)</f>
        <v>0.522142857142857</v>
      </c>
      <c r="R895" s="46" t="n">
        <v>1</v>
      </c>
      <c r="S895" s="47" t="n">
        <f aca="false">IF(R895="-",0,IFERROR(VLOOKUP(R895,'Price Groups'!$A$13:$C$17,3,FALSE()),0))</f>
        <v>0.22</v>
      </c>
      <c r="T895" s="41" t="n">
        <f aca="false">IF(OR(N895="",R895="-"),"",CEILING(ROUND(N895*(1+S895),2),IF(N895*(1+S895)&lt;100,0.5,IF(N895*(1+S895)&lt;1000,1,5))))</f>
        <v>257</v>
      </c>
      <c r="U895" s="45" t="n">
        <f aca="false">IF(OR(T895="",P895=""),"",(T895-P895)/T895)</f>
        <v>0.609533073929961</v>
      </c>
      <c r="V895" s="45" t="n">
        <f aca="false">IF(T895="",0,T895/N895-1)</f>
        <v>0.223809523809524</v>
      </c>
      <c r="W895" s="38" t="s">
        <v>94</v>
      </c>
    </row>
    <row r="896" customFormat="false" ht="15" hidden="false" customHeight="false" outlineLevel="0" collapsed="false">
      <c r="A896" s="19" t="n">
        <v>845</v>
      </c>
      <c r="B896" s="19" t="s">
        <v>1068</v>
      </c>
      <c r="C896" s="19" t="s">
        <v>57</v>
      </c>
      <c r="D896" s="19"/>
      <c r="E896" s="19" t="s">
        <v>58</v>
      </c>
      <c r="F896" s="20" t="n">
        <v>8</v>
      </c>
      <c r="G896" s="20" t="n">
        <v>7</v>
      </c>
      <c r="H896" s="21" t="n">
        <v>1527.23</v>
      </c>
      <c r="I896" s="21" t="n">
        <v>-23.86</v>
      </c>
      <c r="J896" s="21" t="n">
        <v>-119.32</v>
      </c>
      <c r="K896" s="22" t="n">
        <f aca="false">H896+I896+J896</f>
        <v>1384.05</v>
      </c>
      <c r="L896" s="23" t="n">
        <f aca="false">IF($K$1282=0,0,K896/$K$1282)</f>
        <v>0.000114652539739686</v>
      </c>
      <c r="M896" s="24" t="n">
        <f aca="false">IF(F896&lt;=0,0,K896/F896)</f>
        <v>173.00625</v>
      </c>
      <c r="N896" s="21" t="n">
        <v>219.99</v>
      </c>
      <c r="O896" s="49" t="n">
        <v>4.52</v>
      </c>
      <c r="P896" s="24" t="n">
        <f aca="false">O896*'Price Groups'!$B$5</f>
        <v>101.7</v>
      </c>
      <c r="Q896" s="26" t="n">
        <f aca="false">IF(OR(N896="",P896=""),"",(N896-P896)/N896)</f>
        <v>0.537706259375426</v>
      </c>
      <c r="R896" s="27" t="n">
        <v>1</v>
      </c>
      <c r="S896" s="28" t="n">
        <f aca="false">IF(R896="-",0,IFERROR(VLOOKUP(R896,'Price Groups'!$A$13:$C$17,3,FALSE()),0))</f>
        <v>0.22</v>
      </c>
      <c r="T896" s="22" t="n">
        <f aca="false">IF(OR(N896="",R896="-"),"",CEILING(ROUND(N896*(1+S896),2),IF(N896*(1+S896)&lt;100,0.5,IF(N896*(1+S896)&lt;1000,1,5))))</f>
        <v>269</v>
      </c>
      <c r="U896" s="26" t="n">
        <f aca="false">IF(OR(T896="",P896=""),"",(T896-P896)/T896)</f>
        <v>0.621933085501859</v>
      </c>
      <c r="V896" s="26" t="n">
        <f aca="false">IF(T896="",0,T896/N896-1)</f>
        <v>0.22278285376608</v>
      </c>
      <c r="W896" s="19" t="s">
        <v>94</v>
      </c>
    </row>
    <row r="897" customFormat="false" ht="15" hidden="false" customHeight="false" outlineLevel="0" collapsed="false">
      <c r="A897" s="38" t="n">
        <v>846</v>
      </c>
      <c r="B897" s="38" t="s">
        <v>1069</v>
      </c>
      <c r="C897" s="38" t="s">
        <v>57</v>
      </c>
      <c r="D897" s="38"/>
      <c r="E897" s="38" t="s">
        <v>58</v>
      </c>
      <c r="F897" s="39" t="n">
        <v>8</v>
      </c>
      <c r="G897" s="39" t="n">
        <v>7</v>
      </c>
      <c r="H897" s="40" t="n">
        <v>2320</v>
      </c>
      <c r="I897" s="40" t="n">
        <v>-6.71</v>
      </c>
      <c r="J897" s="40" t="n">
        <v>0</v>
      </c>
      <c r="K897" s="41" t="n">
        <f aca="false">H897+I897+J897</f>
        <v>2313.29</v>
      </c>
      <c r="L897" s="42" t="n">
        <f aca="false">IF($K$1282=0,0,K897/$K$1282)</f>
        <v>0.000191629329615562</v>
      </c>
      <c r="M897" s="43" t="n">
        <f aca="false">IF(F897&lt;=0,0,K897/F897)</f>
        <v>289.16125</v>
      </c>
      <c r="N897" s="40" t="n">
        <v>290</v>
      </c>
      <c r="O897" s="44" t="n">
        <v>14</v>
      </c>
      <c r="P897" s="43" t="n">
        <f aca="false">O897*'Price Groups'!$B$5</f>
        <v>315</v>
      </c>
      <c r="Q897" s="45" t="n">
        <f aca="false">IF(OR(N897="",P897=""),"",(N897-P897)/N897)</f>
        <v>-0.0862068965517241</v>
      </c>
      <c r="R897" s="46" t="n">
        <v>1</v>
      </c>
      <c r="S897" s="47" t="n">
        <f aca="false">IF(R897="-",0,IFERROR(VLOOKUP(R897,'Price Groups'!$A$13:$C$17,3,FALSE()),0))</f>
        <v>0.22</v>
      </c>
      <c r="T897" s="41" t="n">
        <f aca="false">IF(OR(N897="",R897="-"),"",CEILING(ROUND(N897*(1+S897),2),IF(N897*(1+S897)&lt;100,0.5,IF(N897*(1+S897)&lt;1000,1,5))))</f>
        <v>354</v>
      </c>
      <c r="U897" s="45" t="n">
        <f aca="false">IF(OR(T897="",P897=""),"",(T897-P897)/T897)</f>
        <v>0.110169491525424</v>
      </c>
      <c r="V897" s="45" t="n">
        <f aca="false">IF(T897="",0,T897/N897-1)</f>
        <v>0.220689655172414</v>
      </c>
      <c r="W897" s="38" t="s">
        <v>1070</v>
      </c>
    </row>
    <row r="898" customFormat="false" ht="15" hidden="false" customHeight="false" outlineLevel="0" collapsed="false">
      <c r="A898" s="19" t="n">
        <v>847</v>
      </c>
      <c r="B898" s="19" t="s">
        <v>1071</v>
      </c>
      <c r="C898" s="19" t="s">
        <v>57</v>
      </c>
      <c r="D898" s="19"/>
      <c r="E898" s="19" t="s">
        <v>58</v>
      </c>
      <c r="F898" s="20" t="n">
        <v>8</v>
      </c>
      <c r="G898" s="20" t="n">
        <v>8</v>
      </c>
      <c r="H898" s="21" t="n">
        <v>11685</v>
      </c>
      <c r="I898" s="21" t="n">
        <v>0</v>
      </c>
      <c r="J898" s="21" t="n">
        <v>-1200</v>
      </c>
      <c r="K898" s="22" t="n">
        <f aca="false">H898+I898+J898</f>
        <v>10485</v>
      </c>
      <c r="L898" s="23" t="n">
        <f aca="false">IF($K$1282=0,0,K898/$K$1282)</f>
        <v>0.000868561019595108</v>
      </c>
      <c r="M898" s="24" t="n">
        <f aca="false">IF(F898&lt;=0,0,K898/F898)</f>
        <v>1310.625</v>
      </c>
      <c r="N898" s="21" t="n">
        <v>990</v>
      </c>
      <c r="O898" s="49" t="n">
        <v>32.5</v>
      </c>
      <c r="P898" s="24" t="n">
        <f aca="false">O898*'Price Groups'!$B$5</f>
        <v>731.25</v>
      </c>
      <c r="Q898" s="26" t="n">
        <f aca="false">IF(OR(N898="",P898=""),"",(N898-P898)/N898)</f>
        <v>0.261363636363636</v>
      </c>
      <c r="R898" s="27" t="n">
        <v>1</v>
      </c>
      <c r="S898" s="28" t="n">
        <f aca="false">IF(R898="-",0,IFERROR(VLOOKUP(R898,'Price Groups'!$A$13:$C$17,3,FALSE()),0))</f>
        <v>0.22</v>
      </c>
      <c r="T898" s="22" t="n">
        <f aca="false">IF(OR(N898="",R898="-"),"",CEILING(ROUND(N898*(1+S898),2),IF(N898*(1+S898)&lt;100,0.5,IF(N898*(1+S898)&lt;1000,1,5))))</f>
        <v>1210</v>
      </c>
      <c r="U898" s="26" t="n">
        <f aca="false">IF(OR(T898="",P898=""),"",(T898-P898)/T898)</f>
        <v>0.395661157024793</v>
      </c>
      <c r="V898" s="26" t="n">
        <f aca="false">IF(T898="",0,T898/N898-1)</f>
        <v>0.222222222222222</v>
      </c>
      <c r="W898" s="19" t="s">
        <v>94</v>
      </c>
    </row>
    <row r="899" customFormat="false" ht="15" hidden="false" customHeight="false" outlineLevel="0" collapsed="false">
      <c r="A899" s="38" t="n">
        <v>848</v>
      </c>
      <c r="B899" s="38" t="s">
        <v>1072</v>
      </c>
      <c r="C899" s="38" t="s">
        <v>57</v>
      </c>
      <c r="D899" s="38"/>
      <c r="E899" s="38" t="s">
        <v>58</v>
      </c>
      <c r="F899" s="39" t="n">
        <v>8</v>
      </c>
      <c r="G899" s="39" t="n">
        <v>9</v>
      </c>
      <c r="H899" s="40" t="n">
        <v>12720</v>
      </c>
      <c r="I899" s="40" t="n">
        <v>-151.24</v>
      </c>
      <c r="J899" s="40" t="n">
        <v>-1495</v>
      </c>
      <c r="K899" s="41" t="n">
        <f aca="false">H899+I899+J899</f>
        <v>11073.76</v>
      </c>
      <c r="L899" s="42" t="n">
        <f aca="false">IF($K$1282=0,0,K899/$K$1282)</f>
        <v>0.000917332978192801</v>
      </c>
      <c r="M899" s="43" t="n">
        <f aca="false">IF(F899&lt;=0,0,K899/F899)</f>
        <v>1384.22</v>
      </c>
      <c r="N899" s="40" t="n">
        <v>1250</v>
      </c>
      <c r="O899" s="44" t="n">
        <v>32.26</v>
      </c>
      <c r="P899" s="43" t="n">
        <f aca="false">O899*'Price Groups'!$B$5</f>
        <v>725.85</v>
      </c>
      <c r="Q899" s="45" t="n">
        <f aca="false">IF(OR(N899="",P899=""),"",(N899-P899)/N899)</f>
        <v>0.41932</v>
      </c>
      <c r="R899" s="46" t="n">
        <v>3</v>
      </c>
      <c r="S899" s="47" t="n">
        <f aca="false">IF(R899="-",0,IFERROR(VLOOKUP(R899,'Price Groups'!$A$13:$C$17,3,FALSE()),0))</f>
        <v>0.16</v>
      </c>
      <c r="T899" s="41" t="n">
        <f aca="false">IF(OR(N899="",R899="-"),"",CEILING(ROUND(N899*(1+S899),2),IF(N899*(1+S899)&lt;100,0.5,IF(N899*(1+S899)&lt;1000,1,5))))</f>
        <v>1450</v>
      </c>
      <c r="U899" s="45" t="n">
        <f aca="false">IF(OR(T899="",P899=""),"",(T899-P899)/T899)</f>
        <v>0.499413793103448</v>
      </c>
      <c r="V899" s="45" t="n">
        <f aca="false">IF(T899="",0,T899/N899-1)</f>
        <v>0.16</v>
      </c>
      <c r="W899" s="38" t="s">
        <v>107</v>
      </c>
    </row>
    <row r="900" customFormat="false" ht="15" hidden="false" customHeight="false" outlineLevel="0" collapsed="false">
      <c r="A900" s="19" t="n">
        <v>849</v>
      </c>
      <c r="B900" s="19" t="s">
        <v>419</v>
      </c>
      <c r="C900" s="19" t="s">
        <v>307</v>
      </c>
      <c r="D900" s="19" t="s">
        <v>418</v>
      </c>
      <c r="E900" s="19" t="s">
        <v>58</v>
      </c>
      <c r="F900" s="20" t="n">
        <v>8</v>
      </c>
      <c r="G900" s="20" t="n">
        <v>10</v>
      </c>
      <c r="H900" s="21" t="n">
        <v>3919.94</v>
      </c>
      <c r="I900" s="21" t="n">
        <v>0</v>
      </c>
      <c r="J900" s="21" t="n">
        <v>-809.99</v>
      </c>
      <c r="K900" s="22" t="n">
        <f aca="false">H900+I900+J900</f>
        <v>3109.95</v>
      </c>
      <c r="L900" s="23" t="n">
        <f aca="false">IF($K$1282=0,0,K900/$K$1282)</f>
        <v>0.000257623399417244</v>
      </c>
      <c r="M900" s="24" t="n">
        <f aca="false">IF(F900&lt;=0,0,K900/F900)</f>
        <v>388.74375</v>
      </c>
      <c r="N900" s="21" t="n">
        <v>510</v>
      </c>
      <c r="O900" s="49" t="n">
        <v>11.8</v>
      </c>
      <c r="P900" s="24" t="n">
        <f aca="false">O900*'Price Groups'!$B$5</f>
        <v>265.5</v>
      </c>
      <c r="Q900" s="26" t="n">
        <f aca="false">IF(OR(N900="",P900=""),"",(N900-P900)/N900)</f>
        <v>0.479411764705882</v>
      </c>
      <c r="R900" s="27" t="n">
        <v>1</v>
      </c>
      <c r="S900" s="28" t="n">
        <f aca="false">IF(R900="-",0,IFERROR(VLOOKUP(R900,'Price Groups'!$A$13:$C$17,3,FALSE()),0))</f>
        <v>0.22</v>
      </c>
      <c r="T900" s="22" t="n">
        <f aca="false">IF(OR(N900="",R900="-"),"",CEILING(ROUND(N900*(1+S900),2),IF(N900*(1+S900)&lt;100,0.5,IF(N900*(1+S900)&lt;1000,1,5))))</f>
        <v>623</v>
      </c>
      <c r="U900" s="26" t="n">
        <f aca="false">IF(OR(T900="",P900=""),"",(T900-P900)/T900)</f>
        <v>0.573836276083467</v>
      </c>
      <c r="V900" s="26" t="n">
        <f aca="false">IF(T900="",0,T900/N900-1)</f>
        <v>0.221568627450981</v>
      </c>
      <c r="W900" s="19" t="s">
        <v>1073</v>
      </c>
    </row>
    <row r="901" customFormat="false" ht="15" hidden="false" customHeight="false" outlineLevel="0" collapsed="false">
      <c r="A901" s="38" t="n">
        <v>850</v>
      </c>
      <c r="B901" s="38" t="s">
        <v>1074</v>
      </c>
      <c r="C901" s="38" t="s">
        <v>57</v>
      </c>
      <c r="D901" s="38"/>
      <c r="E901" s="38" t="s">
        <v>58</v>
      </c>
      <c r="F901" s="39" t="n">
        <v>8</v>
      </c>
      <c r="G901" s="39" t="n">
        <v>8</v>
      </c>
      <c r="H901" s="40" t="n">
        <v>2880</v>
      </c>
      <c r="I901" s="40" t="n">
        <v>-96</v>
      </c>
      <c r="J901" s="40" t="n">
        <v>-320</v>
      </c>
      <c r="K901" s="41" t="n">
        <f aca="false">H901+I901+J901</f>
        <v>2464</v>
      </c>
      <c r="L901" s="42" t="n">
        <f aca="false">IF($K$1282=0,0,K901/$K$1282)</f>
        <v>0.000204113910565794</v>
      </c>
      <c r="M901" s="43" t="n">
        <f aca="false">IF(F901&lt;=0,0,K901/F901)</f>
        <v>308</v>
      </c>
      <c r="N901" s="40" t="n">
        <v>320</v>
      </c>
      <c r="O901" s="44" t="n">
        <v>6.89</v>
      </c>
      <c r="P901" s="43" t="n">
        <f aca="false">O901*'Price Groups'!$B$5</f>
        <v>155.025</v>
      </c>
      <c r="Q901" s="45" t="n">
        <f aca="false">IF(OR(N901="",P901=""),"",(N901-P901)/N901)</f>
        <v>0.515546875</v>
      </c>
      <c r="R901" s="46" t="n">
        <v>1</v>
      </c>
      <c r="S901" s="47" t="n">
        <f aca="false">IF(R901="-",0,IFERROR(VLOOKUP(R901,'Price Groups'!$A$13:$C$17,3,FALSE()),0))</f>
        <v>0.22</v>
      </c>
      <c r="T901" s="41" t="n">
        <f aca="false">IF(OR(N901="",R901="-"),"",CEILING(ROUND(N901*(1+S901),2),IF(N901*(1+S901)&lt;100,0.5,IF(N901*(1+S901)&lt;1000,1,5))))</f>
        <v>391</v>
      </c>
      <c r="U901" s="45" t="n">
        <f aca="false">IF(OR(T901="",P901=""),"",(T901-P901)/T901)</f>
        <v>0.603516624040921</v>
      </c>
      <c r="V901" s="45" t="n">
        <f aca="false">IF(T901="",0,T901/N901-1)</f>
        <v>0.221875</v>
      </c>
      <c r="W901" s="38" t="s">
        <v>94</v>
      </c>
    </row>
    <row r="902" customFormat="false" ht="15" hidden="false" customHeight="false" outlineLevel="0" collapsed="false">
      <c r="A902" s="19" t="n">
        <v>851</v>
      </c>
      <c r="B902" s="19" t="s">
        <v>1075</v>
      </c>
      <c r="C902" s="19" t="s">
        <v>57</v>
      </c>
      <c r="D902" s="19"/>
      <c r="E902" s="19" t="s">
        <v>58</v>
      </c>
      <c r="F902" s="20" t="n">
        <v>8</v>
      </c>
      <c r="G902" s="20" t="n">
        <v>4</v>
      </c>
      <c r="H902" s="21" t="n">
        <v>4374.92</v>
      </c>
      <c r="I902" s="21" t="n">
        <v>-354.94</v>
      </c>
      <c r="J902" s="21" t="n">
        <v>0</v>
      </c>
      <c r="K902" s="22" t="n">
        <f aca="false">H902+I902+J902</f>
        <v>4019.98</v>
      </c>
      <c r="L902" s="23" t="n">
        <f aca="false">IF($K$1282=0,0,K902/$K$1282)</f>
        <v>0.000333008862904334</v>
      </c>
      <c r="M902" s="24" t="n">
        <f aca="false">IF(F902&lt;=0,0,K902/F902)</f>
        <v>502.4975</v>
      </c>
      <c r="N902" s="21" t="n">
        <v>499.99</v>
      </c>
      <c r="O902" s="49" t="n">
        <v>12.67</v>
      </c>
      <c r="P902" s="24" t="n">
        <f aca="false">O902*'Price Groups'!$B$5</f>
        <v>285.075</v>
      </c>
      <c r="Q902" s="26" t="n">
        <f aca="false">IF(OR(N902="",P902=""),"",(N902-P902)/N902)</f>
        <v>0.429838596771936</v>
      </c>
      <c r="R902" s="27" t="n">
        <v>1</v>
      </c>
      <c r="S902" s="28" t="n">
        <f aca="false">IF(R902="-",0,IFERROR(VLOOKUP(R902,'Price Groups'!$A$13:$C$17,3,FALSE()),0))</f>
        <v>0.22</v>
      </c>
      <c r="T902" s="22" t="n">
        <f aca="false">IF(OR(N902="",R902="-"),"",CEILING(ROUND(N902*(1+S902),2),IF(N902*(1+S902)&lt;100,0.5,IF(N902*(1+S902)&lt;1000,1,5))))</f>
        <v>610</v>
      </c>
      <c r="U902" s="26" t="n">
        <f aca="false">IF(OR(T902="",P902=""),"",(T902-P902)/T902)</f>
        <v>0.53266393442623</v>
      </c>
      <c r="V902" s="26" t="n">
        <f aca="false">IF(T902="",0,T902/N902-1)</f>
        <v>0.22002440048801</v>
      </c>
      <c r="W902" s="19" t="s">
        <v>94</v>
      </c>
    </row>
    <row r="903" customFormat="false" ht="15" hidden="false" customHeight="false" outlineLevel="0" collapsed="false">
      <c r="A903" s="38" t="n">
        <v>852</v>
      </c>
      <c r="B903" s="38" t="s">
        <v>1076</v>
      </c>
      <c r="C903" s="38" t="s">
        <v>57</v>
      </c>
      <c r="D903" s="38"/>
      <c r="E903" s="38" t="s">
        <v>58</v>
      </c>
      <c r="F903" s="39" t="n">
        <v>8</v>
      </c>
      <c r="G903" s="39" t="n">
        <v>3</v>
      </c>
      <c r="H903" s="40" t="n">
        <v>700</v>
      </c>
      <c r="I903" s="40" t="n">
        <v>-10.5</v>
      </c>
      <c r="J903" s="40" t="n">
        <v>0</v>
      </c>
      <c r="K903" s="41" t="n">
        <f aca="false">H903+I903+J903</f>
        <v>689.5</v>
      </c>
      <c r="L903" s="42" t="n">
        <f aca="false">IF($K$1282=0,0,K903/$K$1282)</f>
        <v>5.71171028145758E-005</v>
      </c>
      <c r="M903" s="43" t="n">
        <f aca="false">IF(F903&lt;=0,0,K903/F903)</f>
        <v>86.1875</v>
      </c>
      <c r="N903" s="40" t="n">
        <v>105</v>
      </c>
      <c r="O903" s="44" t="n">
        <v>1.47</v>
      </c>
      <c r="P903" s="43" t="n">
        <f aca="false">O903*'Price Groups'!$B$5</f>
        <v>33.075</v>
      </c>
      <c r="Q903" s="45" t="n">
        <f aca="false">IF(OR(N903="",P903=""),"",(N903-P903)/N903)</f>
        <v>0.685</v>
      </c>
      <c r="R903" s="46" t="n">
        <v>1</v>
      </c>
      <c r="S903" s="47" t="n">
        <f aca="false">IF(R903="-",0,IFERROR(VLOOKUP(R903,'Price Groups'!$A$13:$C$17,3,FALSE()),0))</f>
        <v>0.22</v>
      </c>
      <c r="T903" s="41" t="n">
        <f aca="false">IF(OR(N903="",R903="-"),"",CEILING(ROUND(N903*(1+S903),2),IF(N903*(1+S903)&lt;100,0.5,IF(N903*(1+S903)&lt;1000,1,5))))</f>
        <v>129</v>
      </c>
      <c r="U903" s="45" t="n">
        <f aca="false">IF(OR(T903="",P903=""),"",(T903-P903)/T903)</f>
        <v>0.743604651162791</v>
      </c>
      <c r="V903" s="45" t="n">
        <f aca="false">IF(T903="",0,T903/N903-1)</f>
        <v>0.228571428571429</v>
      </c>
      <c r="W903" s="38" t="s">
        <v>94</v>
      </c>
    </row>
    <row r="904" customFormat="false" ht="15" hidden="false" customHeight="false" outlineLevel="0" collapsed="false">
      <c r="A904" s="19" t="n">
        <v>853</v>
      </c>
      <c r="B904" s="19" t="s">
        <v>1077</v>
      </c>
      <c r="C904" s="19" t="s">
        <v>57</v>
      </c>
      <c r="D904" s="19"/>
      <c r="E904" s="19" t="s">
        <v>58</v>
      </c>
      <c r="F904" s="20" t="n">
        <v>8</v>
      </c>
      <c r="G904" s="20" t="n">
        <v>9</v>
      </c>
      <c r="H904" s="21" t="n">
        <v>2249.91</v>
      </c>
      <c r="I904" s="21" t="n">
        <v>-7.2</v>
      </c>
      <c r="J904" s="21" t="n">
        <v>-249.99</v>
      </c>
      <c r="K904" s="22" t="n">
        <f aca="false">H904+I904+J904</f>
        <v>1992.72</v>
      </c>
      <c r="L904" s="23" t="n">
        <f aca="false">IF($K$1282=0,0,K904/$K$1282)</f>
        <v>0.000165073811632576</v>
      </c>
      <c r="M904" s="24" t="n">
        <f aca="false">IF(F904&lt;=0,0,K904/F904)</f>
        <v>249.09</v>
      </c>
      <c r="N904" s="21" t="n">
        <v>249.99</v>
      </c>
      <c r="O904" s="49" t="n">
        <v>7.22</v>
      </c>
      <c r="P904" s="24" t="n">
        <f aca="false">O904*'Price Groups'!$B$5</f>
        <v>162.45</v>
      </c>
      <c r="Q904" s="26" t="n">
        <f aca="false">IF(OR(N904="",P904=""),"",(N904-P904)/N904)</f>
        <v>0.350174006960279</v>
      </c>
      <c r="R904" s="27" t="n">
        <v>1</v>
      </c>
      <c r="S904" s="28" t="n">
        <f aca="false">IF(R904="-",0,IFERROR(VLOOKUP(R904,'Price Groups'!$A$13:$C$17,3,FALSE()),0))</f>
        <v>0.22</v>
      </c>
      <c r="T904" s="22" t="n">
        <f aca="false">IF(OR(N904="",R904="-"),"",CEILING(ROUND(N904*(1+S904),2),IF(N904*(1+S904)&lt;100,0.5,IF(N904*(1+S904)&lt;1000,1,5))))</f>
        <v>305</v>
      </c>
      <c r="U904" s="26" t="n">
        <f aca="false">IF(OR(T904="",P904=""),"",(T904-P904)/T904)</f>
        <v>0.467377049180328</v>
      </c>
      <c r="V904" s="26" t="n">
        <f aca="false">IF(T904="",0,T904/N904-1)</f>
        <v>0.220048801952078</v>
      </c>
      <c r="W904" s="19" t="s">
        <v>94</v>
      </c>
    </row>
    <row r="905" customFormat="false" ht="15" hidden="false" customHeight="false" outlineLevel="0" collapsed="false">
      <c r="A905" s="38" t="n">
        <v>854</v>
      </c>
      <c r="B905" s="38" t="s">
        <v>1078</v>
      </c>
      <c r="C905" s="38" t="s">
        <v>57</v>
      </c>
      <c r="D905" s="38"/>
      <c r="E905" s="38" t="s">
        <v>58</v>
      </c>
      <c r="F905" s="39" t="n">
        <v>8</v>
      </c>
      <c r="G905" s="39" t="n">
        <v>10</v>
      </c>
      <c r="H905" s="40" t="n">
        <v>999.9</v>
      </c>
      <c r="I905" s="40" t="n">
        <v>-9.99</v>
      </c>
      <c r="J905" s="40" t="n">
        <v>-199.98</v>
      </c>
      <c r="K905" s="41" t="n">
        <f aca="false">H905+I905+J905</f>
        <v>789.93</v>
      </c>
      <c r="L905" s="42" t="n">
        <f aca="false">IF($K$1282=0,0,K905/$K$1282)</f>
        <v>6.54365671157619E-005</v>
      </c>
      <c r="M905" s="43" t="n">
        <f aca="false">IF(F905&lt;=0,0,K905/F905)</f>
        <v>98.74125</v>
      </c>
      <c r="N905" s="40" t="n">
        <v>99.99</v>
      </c>
      <c r="O905" s="44" t="n">
        <v>2.11</v>
      </c>
      <c r="P905" s="43" t="n">
        <f aca="false">O905*'Price Groups'!$B$5</f>
        <v>47.475</v>
      </c>
      <c r="Q905" s="45" t="n">
        <f aca="false">IF(OR(N905="",P905=""),"",(N905-P905)/N905)</f>
        <v>0.525202520252025</v>
      </c>
      <c r="R905" s="46" t="n">
        <v>1</v>
      </c>
      <c r="S905" s="47" t="n">
        <f aca="false">IF(R905="-",0,IFERROR(VLOOKUP(R905,'Price Groups'!$A$13:$C$17,3,FALSE()),0))</f>
        <v>0.22</v>
      </c>
      <c r="T905" s="41" t="n">
        <f aca="false">IF(OR(N905="",R905="-"),"",CEILING(ROUND(N905*(1+S905),2),IF(N905*(1+S905)&lt;100,0.5,IF(N905*(1+S905)&lt;1000,1,5))))</f>
        <v>122</v>
      </c>
      <c r="U905" s="45" t="n">
        <f aca="false">IF(OR(T905="",P905=""),"",(T905-P905)/T905)</f>
        <v>0.610860655737705</v>
      </c>
      <c r="V905" s="45" t="n">
        <f aca="false">IF(T905="",0,T905/N905-1)</f>
        <v>0.22012201220122</v>
      </c>
      <c r="W905" s="38" t="s">
        <v>94</v>
      </c>
    </row>
    <row r="906" customFormat="false" ht="15" hidden="false" customHeight="false" outlineLevel="0" collapsed="false">
      <c r="A906" s="19" t="n">
        <v>855</v>
      </c>
      <c r="B906" s="19" t="s">
        <v>1079</v>
      </c>
      <c r="C906" s="19" t="s">
        <v>57</v>
      </c>
      <c r="D906" s="19"/>
      <c r="E906" s="19" t="s">
        <v>58</v>
      </c>
      <c r="F906" s="20" t="n">
        <v>8</v>
      </c>
      <c r="G906" s="20" t="n">
        <v>8</v>
      </c>
      <c r="H906" s="21" t="n">
        <v>877.23</v>
      </c>
      <c r="I906" s="21" t="n">
        <v>0</v>
      </c>
      <c r="J906" s="21" t="n">
        <v>-83.71</v>
      </c>
      <c r="K906" s="22" t="n">
        <f aca="false">H906+I906+J906</f>
        <v>793.52</v>
      </c>
      <c r="L906" s="23" t="n">
        <f aca="false">IF($K$1282=0,0,K906/$K$1282)</f>
        <v>6.57339571072112E-005</v>
      </c>
      <c r="M906" s="24" t="n">
        <f aca="false">IF(F906&lt;=0,0,K906/F906)</f>
        <v>99.19</v>
      </c>
      <c r="N906" s="21" t="n">
        <v>110</v>
      </c>
      <c r="O906" s="49" t="n">
        <v>2.63</v>
      </c>
      <c r="P906" s="24" t="n">
        <f aca="false">O906*'Price Groups'!$B$5</f>
        <v>59.175</v>
      </c>
      <c r="Q906" s="26" t="n">
        <f aca="false">IF(OR(N906="",P906=""),"",(N906-P906)/N906)</f>
        <v>0.462045454545455</v>
      </c>
      <c r="R906" s="27" t="n">
        <v>1</v>
      </c>
      <c r="S906" s="28" t="n">
        <f aca="false">IF(R906="-",0,IFERROR(VLOOKUP(R906,'Price Groups'!$A$13:$C$17,3,FALSE()),0))</f>
        <v>0.22</v>
      </c>
      <c r="T906" s="22" t="n">
        <f aca="false">IF(OR(N906="",R906="-"),"",CEILING(ROUND(N906*(1+S906),2),IF(N906*(1+S906)&lt;100,0.5,IF(N906*(1+S906)&lt;1000,1,5))))</f>
        <v>135</v>
      </c>
      <c r="U906" s="26" t="n">
        <f aca="false">IF(OR(T906="",P906=""),"",(T906-P906)/T906)</f>
        <v>0.561666666666667</v>
      </c>
      <c r="V906" s="26" t="n">
        <f aca="false">IF(T906="",0,T906/N906-1)</f>
        <v>0.227272727272727</v>
      </c>
      <c r="W906" s="19" t="s">
        <v>94</v>
      </c>
    </row>
    <row r="907" customFormat="false" ht="15" hidden="false" customHeight="false" outlineLevel="0" collapsed="false">
      <c r="A907" s="38" t="n">
        <v>856</v>
      </c>
      <c r="B907" s="38" t="s">
        <v>1080</v>
      </c>
      <c r="C907" s="38" t="s">
        <v>57</v>
      </c>
      <c r="D907" s="38"/>
      <c r="E907" s="38" t="s">
        <v>58</v>
      </c>
      <c r="F907" s="39" t="n">
        <v>8</v>
      </c>
      <c r="G907" s="39" t="n">
        <v>9</v>
      </c>
      <c r="H907" s="40" t="n">
        <v>269.91</v>
      </c>
      <c r="I907" s="40" t="n">
        <v>0</v>
      </c>
      <c r="J907" s="40" t="n">
        <v>-29.99</v>
      </c>
      <c r="K907" s="41" t="n">
        <f aca="false">H907+I907+J907</f>
        <v>239.92</v>
      </c>
      <c r="L907" s="42" t="n">
        <f aca="false">IF($K$1282=0,0,K907/$K$1282)</f>
        <v>1.98745979800914E-005</v>
      </c>
      <c r="M907" s="43" t="n">
        <f aca="false">IF(F907&lt;=0,0,K907/F907)</f>
        <v>29.99</v>
      </c>
      <c r="N907" s="40" t="n">
        <v>29.99</v>
      </c>
      <c r="O907" s="44" t="n">
        <v>0.48</v>
      </c>
      <c r="P907" s="43" t="n">
        <f aca="false">O907*'Price Groups'!$B$5</f>
        <v>10.8</v>
      </c>
      <c r="Q907" s="45" t="n">
        <f aca="false">IF(OR(N907="",P907=""),"",(N907-P907)/N907)</f>
        <v>0.639879959986662</v>
      </c>
      <c r="R907" s="46" t="n">
        <v>1</v>
      </c>
      <c r="S907" s="47" t="n">
        <f aca="false">IF(R907="-",0,IFERROR(VLOOKUP(R907,'Price Groups'!$A$13:$C$17,3,FALSE()),0))</f>
        <v>0.22</v>
      </c>
      <c r="T907" s="41" t="n">
        <f aca="false">IF(OR(N907="",R907="-"),"",CEILING(ROUND(N907*(1+S907),2),IF(N907*(1+S907)&lt;100,0.5,IF(N907*(1+S907)&lt;1000,1,5))))</f>
        <v>37</v>
      </c>
      <c r="U907" s="45" t="n">
        <f aca="false">IF(OR(T907="",P907=""),"",(T907-P907)/T907)</f>
        <v>0.708108108108108</v>
      </c>
      <c r="V907" s="45" t="n">
        <f aca="false">IF(T907="",0,T907/N907-1)</f>
        <v>0.233744581527176</v>
      </c>
      <c r="W907" s="38" t="s">
        <v>94</v>
      </c>
    </row>
    <row r="908" customFormat="false" ht="15" hidden="false" customHeight="false" outlineLevel="0" collapsed="false">
      <c r="A908" s="19" t="n">
        <v>857</v>
      </c>
      <c r="B908" s="19" t="s">
        <v>1081</v>
      </c>
      <c r="C908" s="19" t="s">
        <v>57</v>
      </c>
      <c r="D908" s="19"/>
      <c r="E908" s="19" t="s">
        <v>58</v>
      </c>
      <c r="F908" s="20" t="n">
        <v>8</v>
      </c>
      <c r="G908" s="20" t="n">
        <v>7</v>
      </c>
      <c r="H908" s="21" t="n">
        <v>176</v>
      </c>
      <c r="I908" s="21" t="n">
        <v>0</v>
      </c>
      <c r="J908" s="21" t="n">
        <v>0</v>
      </c>
      <c r="K908" s="22" t="n">
        <f aca="false">H908+I908+J908</f>
        <v>176</v>
      </c>
      <c r="L908" s="23" t="n">
        <f aca="false">IF($K$1282=0,0,K908/$K$1282)</f>
        <v>1.45795650404138E-005</v>
      </c>
      <c r="M908" s="24" t="n">
        <f aca="false">IF(F908&lt;=0,0,K908/F908)</f>
        <v>22</v>
      </c>
      <c r="N908" s="21" t="n">
        <v>22</v>
      </c>
      <c r="O908" s="49" t="n">
        <v>0.47</v>
      </c>
      <c r="P908" s="24" t="n">
        <f aca="false">O908*'Price Groups'!$B$5</f>
        <v>10.575</v>
      </c>
      <c r="Q908" s="26" t="n">
        <f aca="false">IF(OR(N908="",P908=""),"",(N908-P908)/N908)</f>
        <v>0.519318181818182</v>
      </c>
      <c r="R908" s="27" t="n">
        <v>1</v>
      </c>
      <c r="S908" s="28" t="n">
        <f aca="false">IF(R908="-",0,IFERROR(VLOOKUP(R908,'Price Groups'!$A$13:$C$17,3,FALSE()),0))</f>
        <v>0.22</v>
      </c>
      <c r="T908" s="22" t="n">
        <f aca="false">IF(OR(N908="",R908="-"),"",CEILING(ROUND(N908*(1+S908),2),IF(N908*(1+S908)&lt;100,0.5,IF(N908*(1+S908)&lt;1000,1,5))))</f>
        <v>27</v>
      </c>
      <c r="U908" s="26" t="n">
        <f aca="false">IF(OR(T908="",P908=""),"",(T908-P908)/T908)</f>
        <v>0.608333333333333</v>
      </c>
      <c r="V908" s="26" t="n">
        <f aca="false">IF(T908="",0,T908/N908-1)</f>
        <v>0.227272727272727</v>
      </c>
      <c r="W908" s="19" t="s">
        <v>94</v>
      </c>
    </row>
    <row r="909" customFormat="false" ht="15" hidden="false" customHeight="false" outlineLevel="0" collapsed="false">
      <c r="A909" s="38" t="n">
        <v>858</v>
      </c>
      <c r="B909" s="38" t="s">
        <v>1082</v>
      </c>
      <c r="C909" s="38" t="s">
        <v>57</v>
      </c>
      <c r="D909" s="38"/>
      <c r="E909" s="38" t="s">
        <v>58</v>
      </c>
      <c r="F909" s="39" t="n">
        <v>8</v>
      </c>
      <c r="G909" s="39" t="n">
        <v>10</v>
      </c>
      <c r="H909" s="40" t="n">
        <v>999.9</v>
      </c>
      <c r="I909" s="40" t="n">
        <v>-41.69</v>
      </c>
      <c r="J909" s="40" t="n">
        <v>-199.98</v>
      </c>
      <c r="K909" s="41" t="n">
        <f aca="false">H909+I909+J909</f>
        <v>758.23</v>
      </c>
      <c r="L909" s="42" t="n">
        <f aca="false">IF($K$1282=0,0,K909/$K$1282)</f>
        <v>6.28105886397328E-005</v>
      </c>
      <c r="M909" s="43" t="n">
        <f aca="false">IF(F909&lt;=0,0,K909/F909)</f>
        <v>94.77875</v>
      </c>
      <c r="N909" s="40" t="n">
        <v>99.99</v>
      </c>
      <c r="O909" s="44" t="n">
        <v>1.82</v>
      </c>
      <c r="P909" s="43" t="n">
        <f aca="false">O909*'Price Groups'!$B$5</f>
        <v>40.95</v>
      </c>
      <c r="Q909" s="45" t="n">
        <f aca="false">IF(OR(N909="",P909=""),"",(N909-P909)/N909)</f>
        <v>0.59045904590459</v>
      </c>
      <c r="R909" s="46" t="n">
        <v>1</v>
      </c>
      <c r="S909" s="47" t="n">
        <f aca="false">IF(R909="-",0,IFERROR(VLOOKUP(R909,'Price Groups'!$A$13:$C$17,3,FALSE()),0))</f>
        <v>0.22</v>
      </c>
      <c r="T909" s="41" t="n">
        <f aca="false">IF(OR(N909="",R909="-"),"",CEILING(ROUND(N909*(1+S909),2),IF(N909*(1+S909)&lt;100,0.5,IF(N909*(1+S909)&lt;1000,1,5))))</f>
        <v>122</v>
      </c>
      <c r="U909" s="45" t="n">
        <f aca="false">IF(OR(T909="",P909=""),"",(T909-P909)/T909)</f>
        <v>0.664344262295082</v>
      </c>
      <c r="V909" s="45" t="n">
        <f aca="false">IF(T909="",0,T909/N909-1)</f>
        <v>0.22012201220122</v>
      </c>
      <c r="W909" s="38" t="s">
        <v>94</v>
      </c>
    </row>
    <row r="910" customFormat="false" ht="15" hidden="false" customHeight="false" outlineLevel="0" collapsed="false">
      <c r="A910" s="19" t="n">
        <v>859</v>
      </c>
      <c r="B910" s="19" t="s">
        <v>1083</v>
      </c>
      <c r="C910" s="19" t="s">
        <v>57</v>
      </c>
      <c r="D910" s="19"/>
      <c r="E910" s="19" t="s">
        <v>58</v>
      </c>
      <c r="F910" s="20" t="n">
        <v>8</v>
      </c>
      <c r="G910" s="20" t="n">
        <v>10</v>
      </c>
      <c r="H910" s="21" t="n">
        <v>2498.48</v>
      </c>
      <c r="I910" s="21" t="n">
        <v>-32.71</v>
      </c>
      <c r="J910" s="21" t="n">
        <v>-399.98</v>
      </c>
      <c r="K910" s="22" t="n">
        <f aca="false">H910+I910+J910</f>
        <v>2065.79</v>
      </c>
      <c r="L910" s="23" t="n">
        <f aca="false">IF($K$1282=0,0,K910/$K$1282)</f>
        <v>0.00017112681627748</v>
      </c>
      <c r="M910" s="24" t="n">
        <f aca="false">IF(F910&lt;=0,0,K910/F910)</f>
        <v>258.22375</v>
      </c>
      <c r="N910" s="21" t="n">
        <v>199.99</v>
      </c>
      <c r="O910" s="49" t="n">
        <v>5.07</v>
      </c>
      <c r="P910" s="24" t="n">
        <f aca="false">O910*'Price Groups'!$B$5</f>
        <v>114.075</v>
      </c>
      <c r="Q910" s="26" t="n">
        <f aca="false">IF(OR(N910="",P910=""),"",(N910-P910)/N910)</f>
        <v>0.429596479823991</v>
      </c>
      <c r="R910" s="27" t="n">
        <v>1</v>
      </c>
      <c r="S910" s="28" t="n">
        <f aca="false">IF(R910="-",0,IFERROR(VLOOKUP(R910,'Price Groups'!$A$13:$C$17,3,FALSE()),0))</f>
        <v>0.22</v>
      </c>
      <c r="T910" s="22" t="n">
        <f aca="false">IF(OR(N910="",R910="-"),"",CEILING(ROUND(N910*(1+S910),2),IF(N910*(1+S910)&lt;100,0.5,IF(N910*(1+S910)&lt;1000,1,5))))</f>
        <v>244</v>
      </c>
      <c r="U910" s="26" t="n">
        <f aca="false">IF(OR(T910="",P910=""),"",(T910-P910)/T910)</f>
        <v>0.532479508196721</v>
      </c>
      <c r="V910" s="26" t="n">
        <f aca="false">IF(T910="",0,T910/N910-1)</f>
        <v>0.220061003050152</v>
      </c>
      <c r="W910" s="19" t="s">
        <v>94</v>
      </c>
    </row>
    <row r="911" customFormat="false" ht="15" hidden="false" customHeight="false" outlineLevel="0" collapsed="false">
      <c r="A911" s="38" t="n">
        <v>860</v>
      </c>
      <c r="B911" s="38" t="s">
        <v>1084</v>
      </c>
      <c r="C911" s="38" t="s">
        <v>57</v>
      </c>
      <c r="D911" s="38"/>
      <c r="E911" s="38" t="s">
        <v>58</v>
      </c>
      <c r="F911" s="39" t="n">
        <v>8</v>
      </c>
      <c r="G911" s="39" t="n">
        <v>8</v>
      </c>
      <c r="H911" s="40" t="n">
        <v>1465.95</v>
      </c>
      <c r="I911" s="40" t="n">
        <v>-14.99</v>
      </c>
      <c r="J911" s="40" t="n">
        <v>-149.99</v>
      </c>
      <c r="K911" s="41" t="n">
        <f aca="false">H911+I911+J911</f>
        <v>1300.97</v>
      </c>
      <c r="L911" s="42" t="n">
        <f aca="false">IF($K$1282=0,0,K911/$K$1282)</f>
        <v>0.000107770322333109</v>
      </c>
      <c r="M911" s="43" t="n">
        <f aca="false">IF(F911&lt;=0,0,K911/F911)</f>
        <v>162.62125</v>
      </c>
      <c r="N911" s="40" t="n">
        <v>149.99</v>
      </c>
      <c r="O911" s="44" t="n">
        <v>3.88</v>
      </c>
      <c r="P911" s="43" t="n">
        <f aca="false">O911*'Price Groups'!$B$5</f>
        <v>87.3</v>
      </c>
      <c r="Q911" s="45" t="n">
        <f aca="false">IF(OR(N911="",P911=""),"",(N911-P911)/N911)</f>
        <v>0.417961197413161</v>
      </c>
      <c r="R911" s="46" t="n">
        <v>1</v>
      </c>
      <c r="S911" s="47" t="n">
        <f aca="false">IF(R911="-",0,IFERROR(VLOOKUP(R911,'Price Groups'!$A$13:$C$17,3,FALSE()),0))</f>
        <v>0.22</v>
      </c>
      <c r="T911" s="41" t="n">
        <f aca="false">IF(OR(N911="",R911="-"),"",CEILING(ROUND(N911*(1+S911),2),IF(N911*(1+S911)&lt;100,0.5,IF(N911*(1+S911)&lt;1000,1,5))))</f>
        <v>183</v>
      </c>
      <c r="U911" s="45" t="n">
        <f aca="false">IF(OR(T911="",P911=""),"",(T911-P911)/T911)</f>
        <v>0.522950819672131</v>
      </c>
      <c r="V911" s="45" t="n">
        <f aca="false">IF(T911="",0,T911/N911-1)</f>
        <v>0.220081338755917</v>
      </c>
      <c r="W911" s="38" t="s">
        <v>94</v>
      </c>
    </row>
    <row r="912" customFormat="false" ht="15" hidden="false" customHeight="false" outlineLevel="0" collapsed="false">
      <c r="A912" s="19" t="n">
        <v>861</v>
      </c>
      <c r="B912" s="19" t="s">
        <v>1085</v>
      </c>
      <c r="C912" s="19" t="s">
        <v>57</v>
      </c>
      <c r="D912" s="19"/>
      <c r="E912" s="19" t="s">
        <v>58</v>
      </c>
      <c r="F912" s="20" t="n">
        <v>8</v>
      </c>
      <c r="G912" s="20" t="n">
        <v>4</v>
      </c>
      <c r="H912" s="21" t="n">
        <v>349.9</v>
      </c>
      <c r="I912" s="21" t="n">
        <v>-13.96</v>
      </c>
      <c r="J912" s="21" t="n">
        <v>-69.98</v>
      </c>
      <c r="K912" s="22" t="n">
        <f aca="false">H912+I912+J912</f>
        <v>265.96</v>
      </c>
      <c r="L912" s="23" t="n">
        <f aca="false">IF($K$1282=0,0,K912/$K$1282)</f>
        <v>2.20317108985708E-005</v>
      </c>
      <c r="M912" s="24" t="n">
        <f aca="false">IF(F912&lt;=0,0,K912/F912)</f>
        <v>33.245</v>
      </c>
      <c r="N912" s="21" t="n">
        <v>32.04</v>
      </c>
      <c r="O912" s="49" t="n">
        <v>1</v>
      </c>
      <c r="P912" s="24" t="n">
        <f aca="false">O912*'Price Groups'!$B$5</f>
        <v>22.5</v>
      </c>
      <c r="Q912" s="26" t="n">
        <f aca="false">IF(OR(N912="",P912=""),"",(N912-P912)/N912)</f>
        <v>0.297752808988764</v>
      </c>
      <c r="R912" s="27" t="n">
        <v>1</v>
      </c>
      <c r="S912" s="28" t="n">
        <f aca="false">IF(R912="-",0,IFERROR(VLOOKUP(R912,'Price Groups'!$A$13:$C$17,3,FALSE()),0))</f>
        <v>0.22</v>
      </c>
      <c r="T912" s="22" t="n">
        <f aca="false">IF(OR(N912="",R912="-"),"",CEILING(ROUND(N912*(1+S912),2),IF(N912*(1+S912)&lt;100,0.5,IF(N912*(1+S912)&lt;1000,1,5))))</f>
        <v>39.5</v>
      </c>
      <c r="U912" s="26" t="n">
        <f aca="false">IF(OR(T912="",P912=""),"",(T912-P912)/T912)</f>
        <v>0.430379746835443</v>
      </c>
      <c r="V912" s="26" t="n">
        <f aca="false">IF(T912="",0,T912/N912-1)</f>
        <v>0.232833957553059</v>
      </c>
      <c r="W912" s="19" t="s">
        <v>94</v>
      </c>
    </row>
    <row r="913" customFormat="false" ht="15" hidden="false" customHeight="false" outlineLevel="0" collapsed="false">
      <c r="A913" s="38" t="n">
        <v>862</v>
      </c>
      <c r="B913" s="38" t="s">
        <v>1086</v>
      </c>
      <c r="C913" s="38" t="s">
        <v>57</v>
      </c>
      <c r="D913" s="38"/>
      <c r="E913" s="38" t="s">
        <v>58</v>
      </c>
      <c r="F913" s="39" t="n">
        <v>8</v>
      </c>
      <c r="G913" s="39" t="n">
        <v>8</v>
      </c>
      <c r="H913" s="40" t="n">
        <v>359.92</v>
      </c>
      <c r="I913" s="40" t="n">
        <v>-13.47</v>
      </c>
      <c r="J913" s="40" t="n">
        <v>0</v>
      </c>
      <c r="K913" s="41" t="n">
        <f aca="false">H913+I913+J913</f>
        <v>346.45</v>
      </c>
      <c r="L913" s="42" t="n">
        <f aca="false">IF($K$1282=0,0,K913/$K$1282)</f>
        <v>2.86993767514282E-005</v>
      </c>
      <c r="M913" s="43" t="n">
        <f aca="false">IF(F913&lt;=0,0,K913/F913)</f>
        <v>43.30625</v>
      </c>
      <c r="N913" s="40" t="n">
        <v>44.99</v>
      </c>
      <c r="O913" s="44" t="n">
        <v>0.92</v>
      </c>
      <c r="P913" s="43" t="n">
        <f aca="false">O913*'Price Groups'!$B$5</f>
        <v>20.7</v>
      </c>
      <c r="Q913" s="45" t="n">
        <f aca="false">IF(OR(N913="",P913=""),"",(N913-P913)/N913)</f>
        <v>0.539897755056679</v>
      </c>
      <c r="R913" s="46" t="n">
        <v>1</v>
      </c>
      <c r="S913" s="47" t="n">
        <f aca="false">IF(R913="-",0,IFERROR(VLOOKUP(R913,'Price Groups'!$A$13:$C$17,3,FALSE()),0))</f>
        <v>0.22</v>
      </c>
      <c r="T913" s="41" t="n">
        <f aca="false">IF(OR(N913="",R913="-"),"",CEILING(ROUND(N913*(1+S913),2),IF(N913*(1+S913)&lt;100,0.5,IF(N913*(1+S913)&lt;1000,1,5))))</f>
        <v>55</v>
      </c>
      <c r="U913" s="45" t="n">
        <f aca="false">IF(OR(T913="",P913=""),"",(T913-P913)/T913)</f>
        <v>0.623636363636364</v>
      </c>
      <c r="V913" s="45" t="n">
        <f aca="false">IF(T913="",0,T913/N913-1)</f>
        <v>0.222493887530562</v>
      </c>
      <c r="W913" s="38" t="s">
        <v>94</v>
      </c>
    </row>
    <row r="914" customFormat="false" ht="15" hidden="false" customHeight="false" outlineLevel="0" collapsed="false">
      <c r="A914" s="19" t="n">
        <v>863</v>
      </c>
      <c r="B914" s="19" t="s">
        <v>1087</v>
      </c>
      <c r="C914" s="19" t="s">
        <v>57</v>
      </c>
      <c r="D914" s="19"/>
      <c r="E914" s="19" t="s">
        <v>58</v>
      </c>
      <c r="F914" s="20" t="n">
        <v>7</v>
      </c>
      <c r="G914" s="20" t="n">
        <v>6</v>
      </c>
      <c r="H914" s="21" t="n">
        <v>5318.99</v>
      </c>
      <c r="I914" s="21" t="n">
        <v>-156.9</v>
      </c>
      <c r="J914" s="21" t="n">
        <v>-899.99</v>
      </c>
      <c r="K914" s="22" t="n">
        <f aca="false">H914+I914+J914</f>
        <v>4262.1</v>
      </c>
      <c r="L914" s="23" t="n">
        <f aca="false">IF($K$1282=0,0,K914/$K$1282)</f>
        <v>0.000353065705447431</v>
      </c>
      <c r="M914" s="24" t="n">
        <f aca="false">IF(F914&lt;=0,0,K914/F914)</f>
        <v>608.871428571429</v>
      </c>
      <c r="N914" s="21" t="n">
        <v>700</v>
      </c>
      <c r="O914" s="49" t="n">
        <v>21</v>
      </c>
      <c r="P914" s="24" t="n">
        <f aca="false">O914*'Price Groups'!$B$5</f>
        <v>472.5</v>
      </c>
      <c r="Q914" s="26" t="n">
        <f aca="false">IF(OR(N914="",P914=""),"",(N914-P914)/N914)</f>
        <v>0.325</v>
      </c>
      <c r="R914" s="27" t="n">
        <v>1</v>
      </c>
      <c r="S914" s="28" t="n">
        <f aca="false">IF(R914="-",0,IFERROR(VLOOKUP(R914,'Price Groups'!$A$13:$C$17,3,FALSE()),0))</f>
        <v>0.22</v>
      </c>
      <c r="T914" s="22" t="n">
        <f aca="false">IF(OR(N914="",R914="-"),"",CEILING(ROUND(N914*(1+S914),2),IF(N914*(1+S914)&lt;100,0.5,IF(N914*(1+S914)&lt;1000,1,5))))</f>
        <v>854</v>
      </c>
      <c r="U914" s="26" t="n">
        <f aca="false">IF(OR(T914="",P914=""),"",(T914-P914)/T914)</f>
        <v>0.44672131147541</v>
      </c>
      <c r="V914" s="26" t="n">
        <f aca="false">IF(T914="",0,T914/N914-1)</f>
        <v>0.22</v>
      </c>
      <c r="W914" s="19" t="s">
        <v>94</v>
      </c>
    </row>
    <row r="915" customFormat="false" ht="15" hidden="false" customHeight="false" outlineLevel="0" collapsed="false">
      <c r="A915" s="38" t="n">
        <v>864</v>
      </c>
      <c r="B915" s="38" t="s">
        <v>1088</v>
      </c>
      <c r="C915" s="38" t="s">
        <v>57</v>
      </c>
      <c r="D915" s="38"/>
      <c r="E915" s="38" t="s">
        <v>58</v>
      </c>
      <c r="F915" s="39" t="n">
        <v>7</v>
      </c>
      <c r="G915" s="39" t="n">
        <v>6</v>
      </c>
      <c r="H915" s="40" t="n">
        <v>38400</v>
      </c>
      <c r="I915" s="40" t="n">
        <v>0</v>
      </c>
      <c r="J915" s="40" t="n">
        <v>-4800</v>
      </c>
      <c r="K915" s="41" t="n">
        <f aca="false">H915+I915+J915</f>
        <v>33600</v>
      </c>
      <c r="L915" s="42" t="n">
        <f aca="false">IF($K$1282=0,0,K915/$K$1282)</f>
        <v>0.00278337150771537</v>
      </c>
      <c r="M915" s="43" t="n">
        <f aca="false">IF(F915&lt;=0,0,K915/F915)</f>
        <v>4800</v>
      </c>
      <c r="N915" s="40" t="n">
        <v>4800</v>
      </c>
      <c r="O915" s="44" t="n">
        <v>146.76</v>
      </c>
      <c r="P915" s="43" t="n">
        <f aca="false">O915*'Price Groups'!$B$5</f>
        <v>3302.1</v>
      </c>
      <c r="Q915" s="45" t="n">
        <f aca="false">IF(OR(N915="",P915=""),"",(N915-P915)/N915)</f>
        <v>0.3120625</v>
      </c>
      <c r="R915" s="46" t="n">
        <v>2</v>
      </c>
      <c r="S915" s="47" t="n">
        <f aca="false">IF(R915="-",0,IFERROR(VLOOKUP(R915,'Price Groups'!$A$13:$C$17,3,FALSE()),0))</f>
        <v>0.18</v>
      </c>
      <c r="T915" s="41" t="n">
        <f aca="false">IF(OR(N915="",R915="-"),"",CEILING(ROUND(N915*(1+S915),2),IF(N915*(1+S915)&lt;100,0.5,IF(N915*(1+S915)&lt;1000,1,5))))</f>
        <v>5665</v>
      </c>
      <c r="U915" s="45" t="n">
        <f aca="false">IF(OR(T915="",P915=""),"",(T915-P915)/T915)</f>
        <v>0.417105030891439</v>
      </c>
      <c r="V915" s="45" t="n">
        <f aca="false">IF(T915="",0,T915/N915-1)</f>
        <v>0.180208333333333</v>
      </c>
      <c r="W915" s="38" t="s">
        <v>313</v>
      </c>
    </row>
    <row r="916" customFormat="false" ht="15" hidden="false" customHeight="false" outlineLevel="0" collapsed="false">
      <c r="A916" s="19" t="n">
        <v>865</v>
      </c>
      <c r="B916" s="19" t="s">
        <v>1089</v>
      </c>
      <c r="C916" s="19" t="s">
        <v>57</v>
      </c>
      <c r="D916" s="19"/>
      <c r="E916" s="19" t="s">
        <v>58</v>
      </c>
      <c r="F916" s="20" t="n">
        <v>7</v>
      </c>
      <c r="G916" s="20" t="n">
        <v>7</v>
      </c>
      <c r="H916" s="21" t="n">
        <v>3599.92</v>
      </c>
      <c r="I916" s="21" t="n">
        <v>-134.97</v>
      </c>
      <c r="J916" s="21" t="n">
        <v>-449.99</v>
      </c>
      <c r="K916" s="22" t="n">
        <f aca="false">H916+I916+J916</f>
        <v>3014.96</v>
      </c>
      <c r="L916" s="23" t="n">
        <f aca="false">IF($K$1282=0,0,K916/$K$1282)</f>
        <v>0.000249754576217307</v>
      </c>
      <c r="M916" s="24" t="n">
        <f aca="false">IF(F916&lt;=0,0,K916/F916)</f>
        <v>430.708571428571</v>
      </c>
      <c r="N916" s="21" t="n">
        <v>449.99</v>
      </c>
      <c r="O916" s="49" t="n">
        <v>11.5</v>
      </c>
      <c r="P916" s="24" t="n">
        <f aca="false">O916*'Price Groups'!$B$5</f>
        <v>258.75</v>
      </c>
      <c r="Q916" s="26" t="n">
        <f aca="false">IF(OR(N916="",P916=""),"",(N916-P916)/N916)</f>
        <v>0.424987221938265</v>
      </c>
      <c r="R916" s="27" t="n">
        <v>1</v>
      </c>
      <c r="S916" s="28" t="n">
        <f aca="false">IF(R916="-",0,IFERROR(VLOOKUP(R916,'Price Groups'!$A$13:$C$17,3,FALSE()),0))</f>
        <v>0.22</v>
      </c>
      <c r="T916" s="22" t="n">
        <f aca="false">IF(OR(N916="",R916="-"),"",CEILING(ROUND(N916*(1+S916),2),IF(N916*(1+S916)&lt;100,0.5,IF(N916*(1+S916)&lt;1000,1,5))))</f>
        <v>549</v>
      </c>
      <c r="U916" s="26" t="n">
        <f aca="false">IF(OR(T916="",P916=""),"",(T916-P916)/T916)</f>
        <v>0.528688524590164</v>
      </c>
      <c r="V916" s="26" t="n">
        <f aca="false">IF(T916="",0,T916/N916-1)</f>
        <v>0.220027111713594</v>
      </c>
      <c r="W916" s="19" t="s">
        <v>94</v>
      </c>
    </row>
    <row r="917" customFormat="false" ht="15" hidden="false" customHeight="false" outlineLevel="0" collapsed="false">
      <c r="A917" s="38" t="n">
        <v>866</v>
      </c>
      <c r="B917" s="38" t="s">
        <v>1090</v>
      </c>
      <c r="C917" s="38" t="s">
        <v>57</v>
      </c>
      <c r="D917" s="38"/>
      <c r="E917" s="38" t="s">
        <v>58</v>
      </c>
      <c r="F917" s="39" t="n">
        <v>7</v>
      </c>
      <c r="G917" s="39" t="n">
        <v>12</v>
      </c>
      <c r="H917" s="40" t="n">
        <v>3374.8</v>
      </c>
      <c r="I917" s="40" t="n">
        <v>0</v>
      </c>
      <c r="J917" s="40" t="n">
        <v>-1589.2</v>
      </c>
      <c r="K917" s="41" t="n">
        <f aca="false">H917+I917+J917</f>
        <v>1785.6</v>
      </c>
      <c r="L917" s="42" t="n">
        <f aca="false">IF($K$1282=0,0,K917/$K$1282)</f>
        <v>0.000147916314410017</v>
      </c>
      <c r="M917" s="43" t="n">
        <f aca="false">IF(F917&lt;=0,0,K917/F917)</f>
        <v>255.085714285714</v>
      </c>
      <c r="N917" s="40" t="n">
        <v>182.21</v>
      </c>
      <c r="O917" s="44" t="n">
        <v>6.16</v>
      </c>
      <c r="P917" s="43" t="n">
        <f aca="false">O917*'Price Groups'!$B$5</f>
        <v>138.6</v>
      </c>
      <c r="Q917" s="45" t="n">
        <f aca="false">IF(OR(N917="",P917=""),"",(N917-P917)/N917)</f>
        <v>0.23933922397234</v>
      </c>
      <c r="R917" s="46" t="n">
        <v>1</v>
      </c>
      <c r="S917" s="47" t="n">
        <f aca="false">IF(R917="-",0,IFERROR(VLOOKUP(R917,'Price Groups'!$A$13:$C$17,3,FALSE()),0))</f>
        <v>0.22</v>
      </c>
      <c r="T917" s="41" t="n">
        <f aca="false">IF(OR(N917="",R917="-"),"",CEILING(ROUND(N917*(1+S917),2),IF(N917*(1+S917)&lt;100,0.5,IF(N917*(1+S917)&lt;1000,1,5))))</f>
        <v>223</v>
      </c>
      <c r="U917" s="45" t="n">
        <f aca="false">IF(OR(T917="",P917=""),"",(T917-P917)/T917)</f>
        <v>0.37847533632287</v>
      </c>
      <c r="V917" s="45" t="n">
        <f aca="false">IF(T917="",0,T917/N917-1)</f>
        <v>0.2238625761484</v>
      </c>
      <c r="W917" s="38" t="s">
        <v>244</v>
      </c>
    </row>
    <row r="918" customFormat="false" ht="15" hidden="false" customHeight="false" outlineLevel="0" collapsed="false">
      <c r="A918" s="19" t="n">
        <v>867</v>
      </c>
      <c r="B918" s="19" t="s">
        <v>1091</v>
      </c>
      <c r="C918" s="19" t="s">
        <v>57</v>
      </c>
      <c r="D918" s="19"/>
      <c r="E918" s="19" t="s">
        <v>58</v>
      </c>
      <c r="F918" s="20" t="n">
        <v>7</v>
      </c>
      <c r="G918" s="20" t="n">
        <v>8</v>
      </c>
      <c r="H918" s="21" t="n">
        <v>2997</v>
      </c>
      <c r="I918" s="21" t="n">
        <v>0</v>
      </c>
      <c r="J918" s="21" t="n">
        <v>-666</v>
      </c>
      <c r="K918" s="22" t="n">
        <f aca="false">H918+I918+J918</f>
        <v>2331</v>
      </c>
      <c r="L918" s="23" t="n">
        <f aca="false">IF($K$1282=0,0,K918/$K$1282)</f>
        <v>0.000193096398347754</v>
      </c>
      <c r="M918" s="24" t="n">
        <f aca="false">IF(F918&lt;=0,0,K918/F918)</f>
        <v>333</v>
      </c>
      <c r="N918" s="21" t="n">
        <v>333</v>
      </c>
      <c r="O918" s="49" t="n">
        <v>8.05</v>
      </c>
      <c r="P918" s="24" t="n">
        <f aca="false">O918*'Price Groups'!$B$5</f>
        <v>181.125</v>
      </c>
      <c r="Q918" s="26" t="n">
        <f aca="false">IF(OR(N918="",P918=""),"",(N918-P918)/N918)</f>
        <v>0.456081081081081</v>
      </c>
      <c r="R918" s="27" t="n">
        <v>1</v>
      </c>
      <c r="S918" s="28" t="n">
        <f aca="false">IF(R918="-",0,IFERROR(VLOOKUP(R918,'Price Groups'!$A$13:$C$17,3,FALSE()),0))</f>
        <v>0.22</v>
      </c>
      <c r="T918" s="22" t="n">
        <f aca="false">IF(OR(N918="",R918="-"),"",CEILING(ROUND(N918*(1+S918),2),IF(N918*(1+S918)&lt;100,0.5,IF(N918*(1+S918)&lt;1000,1,5))))</f>
        <v>407</v>
      </c>
      <c r="U918" s="26" t="n">
        <f aca="false">IF(OR(T918="",P918=""),"",(T918-P918)/T918)</f>
        <v>0.55497542997543</v>
      </c>
      <c r="V918" s="26" t="n">
        <f aca="false">IF(T918="",0,T918/N918-1)</f>
        <v>0.222222222222222</v>
      </c>
      <c r="W918" s="19" t="s">
        <v>94</v>
      </c>
    </row>
    <row r="919" customFormat="false" ht="15" hidden="false" customHeight="false" outlineLevel="0" collapsed="false">
      <c r="A919" s="38" t="n">
        <v>868</v>
      </c>
      <c r="B919" s="38" t="s">
        <v>1092</v>
      </c>
      <c r="C919" s="38" t="s">
        <v>57</v>
      </c>
      <c r="D919" s="38"/>
      <c r="E919" s="38" t="s">
        <v>58</v>
      </c>
      <c r="F919" s="39" t="n">
        <v>7</v>
      </c>
      <c r="G919" s="39" t="n">
        <v>9</v>
      </c>
      <c r="H919" s="40" t="n">
        <v>2997</v>
      </c>
      <c r="I919" s="40" t="n">
        <v>-2.09</v>
      </c>
      <c r="J919" s="40" t="n">
        <v>-666</v>
      </c>
      <c r="K919" s="41" t="n">
        <f aca="false">H919+I919+J919</f>
        <v>2328.91</v>
      </c>
      <c r="L919" s="42" t="n">
        <f aca="false">IF($K$1282=0,0,K919/$K$1282)</f>
        <v>0.000192923266012899</v>
      </c>
      <c r="M919" s="43" t="n">
        <f aca="false">IF(F919&lt;=0,0,K919/F919)</f>
        <v>332.701428571429</v>
      </c>
      <c r="N919" s="40" t="n">
        <v>333</v>
      </c>
      <c r="O919" s="44" t="n">
        <v>8.05</v>
      </c>
      <c r="P919" s="43" t="n">
        <f aca="false">O919*'Price Groups'!$B$5</f>
        <v>181.125</v>
      </c>
      <c r="Q919" s="45" t="n">
        <f aca="false">IF(OR(N919="",P919=""),"",(N919-P919)/N919)</f>
        <v>0.456081081081081</v>
      </c>
      <c r="R919" s="46" t="n">
        <v>1</v>
      </c>
      <c r="S919" s="47" t="n">
        <f aca="false">IF(R919="-",0,IFERROR(VLOOKUP(R919,'Price Groups'!$A$13:$C$17,3,FALSE()),0))</f>
        <v>0.22</v>
      </c>
      <c r="T919" s="41" t="n">
        <f aca="false">IF(OR(N919="",R919="-"),"",CEILING(ROUND(N919*(1+S919),2),IF(N919*(1+S919)&lt;100,0.5,IF(N919*(1+S919)&lt;1000,1,5))))</f>
        <v>407</v>
      </c>
      <c r="U919" s="45" t="n">
        <f aca="false">IF(OR(T919="",P919=""),"",(T919-P919)/T919)</f>
        <v>0.55497542997543</v>
      </c>
      <c r="V919" s="45" t="n">
        <f aca="false">IF(T919="",0,T919/N919-1)</f>
        <v>0.222222222222222</v>
      </c>
      <c r="W919" s="38" t="s">
        <v>94</v>
      </c>
    </row>
    <row r="920" customFormat="false" ht="15" hidden="false" customHeight="false" outlineLevel="0" collapsed="false">
      <c r="A920" s="19" t="n">
        <v>869</v>
      </c>
      <c r="B920" s="19" t="s">
        <v>1093</v>
      </c>
      <c r="C920" s="19" t="s">
        <v>57</v>
      </c>
      <c r="D920" s="19"/>
      <c r="E920" s="19" t="s">
        <v>58</v>
      </c>
      <c r="F920" s="20" t="n">
        <v>7</v>
      </c>
      <c r="G920" s="20" t="n">
        <v>6</v>
      </c>
      <c r="H920" s="21" t="n">
        <v>479.92</v>
      </c>
      <c r="I920" s="21" t="n">
        <v>0</v>
      </c>
      <c r="J920" s="21" t="n">
        <v>-59.99</v>
      </c>
      <c r="K920" s="22" t="n">
        <f aca="false">H920+I920+J920</f>
        <v>419.93</v>
      </c>
      <c r="L920" s="23" t="n">
        <f aca="false">IF($K$1282=0,0,K920/$K$1282)</f>
        <v>3.4786345155801E-005</v>
      </c>
      <c r="M920" s="24" t="n">
        <f aca="false">IF(F920&lt;=0,0,K920/F920)</f>
        <v>59.99</v>
      </c>
      <c r="N920" s="21" t="n">
        <v>59.99</v>
      </c>
      <c r="O920" s="49" t="n">
        <v>1.48</v>
      </c>
      <c r="P920" s="24" t="n">
        <f aca="false">O920*'Price Groups'!$B$5</f>
        <v>33.3</v>
      </c>
      <c r="Q920" s="26" t="n">
        <f aca="false">IF(OR(N920="",P920=""),"",(N920-P920)/N920)</f>
        <v>0.444907484580764</v>
      </c>
      <c r="R920" s="27" t="n">
        <v>1</v>
      </c>
      <c r="S920" s="28" t="n">
        <f aca="false">IF(R920="-",0,IFERROR(VLOOKUP(R920,'Price Groups'!$A$13:$C$17,3,FALSE()),0))</f>
        <v>0.22</v>
      </c>
      <c r="T920" s="22" t="n">
        <f aca="false">IF(OR(N920="",R920="-"),"",CEILING(ROUND(N920*(1+S920),2),IF(N920*(1+S920)&lt;100,0.5,IF(N920*(1+S920)&lt;1000,1,5))))</f>
        <v>73.5</v>
      </c>
      <c r="U920" s="26" t="n">
        <f aca="false">IF(OR(T920="",P920=""),"",(T920-P920)/T920)</f>
        <v>0.546938775510204</v>
      </c>
      <c r="V920" s="26" t="n">
        <f aca="false">IF(T920="",0,T920/N920-1)</f>
        <v>0.225204200700117</v>
      </c>
      <c r="W920" s="19" t="s">
        <v>94</v>
      </c>
    </row>
    <row r="921" customFormat="false" ht="15" hidden="false" customHeight="false" outlineLevel="0" collapsed="false">
      <c r="A921" s="38" t="n">
        <v>870</v>
      </c>
      <c r="B921" s="38" t="s">
        <v>1094</v>
      </c>
      <c r="C921" s="38" t="s">
        <v>57</v>
      </c>
      <c r="D921" s="38"/>
      <c r="E921" s="38" t="s">
        <v>58</v>
      </c>
      <c r="F921" s="39" t="n">
        <v>7</v>
      </c>
      <c r="G921" s="39" t="n">
        <v>5</v>
      </c>
      <c r="H921" s="40" t="n">
        <v>699.93</v>
      </c>
      <c r="I921" s="40" t="n">
        <v>-14.98</v>
      </c>
      <c r="J921" s="40" t="n">
        <v>0</v>
      </c>
      <c r="K921" s="41" t="n">
        <f aca="false">H921+I921+J921</f>
        <v>684.95</v>
      </c>
      <c r="L921" s="42" t="n">
        <f aca="false">IF($K$1282=0,0,K921/$K$1282)</f>
        <v>5.6740187922906E-005</v>
      </c>
      <c r="M921" s="43" t="n">
        <f aca="false">IF(F921&lt;=0,0,K921/F921)</f>
        <v>97.85</v>
      </c>
      <c r="N921" s="40" t="n">
        <v>99.99</v>
      </c>
      <c r="O921" s="44" t="n">
        <v>2.19</v>
      </c>
      <c r="P921" s="43" t="n">
        <f aca="false">O921*'Price Groups'!$B$5</f>
        <v>49.275</v>
      </c>
      <c r="Q921" s="45" t="n">
        <f aca="false">IF(OR(N921="",P921=""),"",(N921-P921)/N921)</f>
        <v>0.507200720072007</v>
      </c>
      <c r="R921" s="46" t="n">
        <v>1</v>
      </c>
      <c r="S921" s="47" t="n">
        <f aca="false">IF(R921="-",0,IFERROR(VLOOKUP(R921,'Price Groups'!$A$13:$C$17,3,FALSE()),0))</f>
        <v>0.22</v>
      </c>
      <c r="T921" s="41" t="n">
        <f aca="false">IF(OR(N921="",R921="-"),"",CEILING(ROUND(N921*(1+S921),2),IF(N921*(1+S921)&lt;100,0.5,IF(N921*(1+S921)&lt;1000,1,5))))</f>
        <v>122</v>
      </c>
      <c r="U921" s="45" t="n">
        <f aca="false">IF(OR(T921="",P921=""),"",(T921-P921)/T921)</f>
        <v>0.596106557377049</v>
      </c>
      <c r="V921" s="45" t="n">
        <f aca="false">IF(T921="",0,T921/N921-1)</f>
        <v>0.22012201220122</v>
      </c>
      <c r="W921" s="38" t="s">
        <v>94</v>
      </c>
    </row>
    <row r="922" customFormat="false" ht="15" hidden="false" customHeight="false" outlineLevel="0" collapsed="false">
      <c r="A922" s="19" t="n">
        <v>871</v>
      </c>
      <c r="B922" s="19" t="s">
        <v>1095</v>
      </c>
      <c r="C922" s="19" t="s">
        <v>57</v>
      </c>
      <c r="D922" s="19"/>
      <c r="E922" s="19" t="s">
        <v>58</v>
      </c>
      <c r="F922" s="20" t="n">
        <v>7</v>
      </c>
      <c r="G922" s="20" t="n">
        <v>5</v>
      </c>
      <c r="H922" s="21" t="n">
        <v>2749.89</v>
      </c>
      <c r="I922" s="21" t="n">
        <v>-99.96</v>
      </c>
      <c r="J922" s="21" t="n">
        <v>-999.96</v>
      </c>
      <c r="K922" s="22" t="n">
        <f aca="false">H922+I922+J922</f>
        <v>1649.97</v>
      </c>
      <c r="L922" s="23" t="n">
        <f aca="false">IF($K$1282=0,0,K922/$K$1282)</f>
        <v>0.000136680937100748</v>
      </c>
      <c r="M922" s="24" t="n">
        <f aca="false">IF(F922&lt;=0,0,K922/F922)</f>
        <v>235.71</v>
      </c>
      <c r="N922" s="21" t="n">
        <v>249.99</v>
      </c>
      <c r="O922" s="49" t="n">
        <v>7.84</v>
      </c>
      <c r="P922" s="24" t="n">
        <f aca="false">O922*'Price Groups'!$B$5</f>
        <v>176.4</v>
      </c>
      <c r="Q922" s="26" t="n">
        <f aca="false">IF(OR(N922="",P922=""),"",(N922-P922)/N922)</f>
        <v>0.294371774870995</v>
      </c>
      <c r="R922" s="27" t="n">
        <v>1</v>
      </c>
      <c r="S922" s="28" t="n">
        <f aca="false">IF(R922="-",0,IFERROR(VLOOKUP(R922,'Price Groups'!$A$13:$C$17,3,FALSE()),0))</f>
        <v>0.22</v>
      </c>
      <c r="T922" s="22" t="n">
        <f aca="false">IF(OR(N922="",R922="-"),"",CEILING(ROUND(N922*(1+S922),2),IF(N922*(1+S922)&lt;100,0.5,IF(N922*(1+S922)&lt;1000,1,5))))</f>
        <v>305</v>
      </c>
      <c r="U922" s="26" t="n">
        <f aca="false">IF(OR(T922="",P922=""),"",(T922-P922)/T922)</f>
        <v>0.421639344262295</v>
      </c>
      <c r="V922" s="26" t="n">
        <f aca="false">IF(T922="",0,T922/N922-1)</f>
        <v>0.220048801952078</v>
      </c>
      <c r="W922" s="19" t="s">
        <v>94</v>
      </c>
    </row>
    <row r="923" customFormat="false" ht="15" hidden="false" customHeight="false" outlineLevel="0" collapsed="false">
      <c r="A923" s="38" t="n">
        <v>872</v>
      </c>
      <c r="B923" s="38" t="s">
        <v>1096</v>
      </c>
      <c r="C923" s="38" t="s">
        <v>57</v>
      </c>
      <c r="D923" s="38"/>
      <c r="E923" s="38" t="s">
        <v>58</v>
      </c>
      <c r="F923" s="39" t="n">
        <v>7</v>
      </c>
      <c r="G923" s="39" t="n">
        <v>9</v>
      </c>
      <c r="H923" s="40" t="n">
        <v>3249.87</v>
      </c>
      <c r="I923" s="40" t="n">
        <v>0</v>
      </c>
      <c r="J923" s="40" t="n">
        <v>-1499.94</v>
      </c>
      <c r="K923" s="41" t="n">
        <f aca="false">H923+I923+J923</f>
        <v>1749.93</v>
      </c>
      <c r="L923" s="42" t="n">
        <f aca="false">IF($K$1282=0,0,K923/$K$1282)</f>
        <v>0.000144961467336201</v>
      </c>
      <c r="M923" s="43" t="n">
        <f aca="false">IF(F923&lt;=0,0,K923/F923)</f>
        <v>249.99</v>
      </c>
      <c r="N923" s="40" t="n">
        <v>249.99</v>
      </c>
      <c r="O923" s="44" t="n">
        <v>7.84</v>
      </c>
      <c r="P923" s="43" t="n">
        <f aca="false">O923*'Price Groups'!$B$5</f>
        <v>176.4</v>
      </c>
      <c r="Q923" s="45" t="n">
        <f aca="false">IF(OR(N923="",P923=""),"",(N923-P923)/N923)</f>
        <v>0.294371774870995</v>
      </c>
      <c r="R923" s="46" t="n">
        <v>1</v>
      </c>
      <c r="S923" s="47" t="n">
        <f aca="false">IF(R923="-",0,IFERROR(VLOOKUP(R923,'Price Groups'!$A$13:$C$17,3,FALSE()),0))</f>
        <v>0.22</v>
      </c>
      <c r="T923" s="41" t="n">
        <f aca="false">IF(OR(N923="",R923="-"),"",CEILING(ROUND(N923*(1+S923),2),IF(N923*(1+S923)&lt;100,0.5,IF(N923*(1+S923)&lt;1000,1,5))))</f>
        <v>305</v>
      </c>
      <c r="U923" s="45" t="n">
        <f aca="false">IF(OR(T923="",P923=""),"",(T923-P923)/T923)</f>
        <v>0.421639344262295</v>
      </c>
      <c r="V923" s="45" t="n">
        <f aca="false">IF(T923="",0,T923/N923-1)</f>
        <v>0.220048801952078</v>
      </c>
      <c r="W923" s="38" t="s">
        <v>94</v>
      </c>
    </row>
    <row r="924" customFormat="false" ht="15" hidden="false" customHeight="false" outlineLevel="0" collapsed="false">
      <c r="A924" s="19" t="n">
        <v>873</v>
      </c>
      <c r="B924" s="19" t="s">
        <v>1097</v>
      </c>
      <c r="C924" s="19" t="s">
        <v>57</v>
      </c>
      <c r="D924" s="19"/>
      <c r="E924" s="19" t="s">
        <v>58</v>
      </c>
      <c r="F924" s="20" t="n">
        <v>7</v>
      </c>
      <c r="G924" s="20" t="n">
        <v>9</v>
      </c>
      <c r="H924" s="21" t="n">
        <v>4800</v>
      </c>
      <c r="I924" s="21" t="n">
        <v>0</v>
      </c>
      <c r="J924" s="21" t="n">
        <v>-1050</v>
      </c>
      <c r="K924" s="22" t="n">
        <f aca="false">H924+I924+J924</f>
        <v>3750</v>
      </c>
      <c r="L924" s="23" t="n">
        <f aca="false">IF($K$1282=0,0,K924/$K$1282)</f>
        <v>0.00031064414148609</v>
      </c>
      <c r="M924" s="24" t="n">
        <f aca="false">IF(F924&lt;=0,0,K924/F924)</f>
        <v>535.714285714286</v>
      </c>
      <c r="N924" s="21" t="n">
        <v>450</v>
      </c>
      <c r="O924" s="49" t="n">
        <v>12.96</v>
      </c>
      <c r="P924" s="24" t="n">
        <f aca="false">O924*'Price Groups'!$B$5</f>
        <v>291.6</v>
      </c>
      <c r="Q924" s="26" t="n">
        <f aca="false">IF(OR(N924="",P924=""),"",(N924-P924)/N924)</f>
        <v>0.352</v>
      </c>
      <c r="R924" s="27" t="n">
        <v>1</v>
      </c>
      <c r="S924" s="28" t="n">
        <f aca="false">IF(R924="-",0,IFERROR(VLOOKUP(R924,'Price Groups'!$A$13:$C$17,3,FALSE()),0))</f>
        <v>0.22</v>
      </c>
      <c r="T924" s="22" t="n">
        <f aca="false">IF(OR(N924="",R924="-"),"",CEILING(ROUND(N924*(1+S924),2),IF(N924*(1+S924)&lt;100,0.5,IF(N924*(1+S924)&lt;1000,1,5))))</f>
        <v>549</v>
      </c>
      <c r="U924" s="26" t="n">
        <f aca="false">IF(OR(T924="",P924=""),"",(T924-P924)/T924)</f>
        <v>0.468852459016393</v>
      </c>
      <c r="V924" s="26" t="n">
        <f aca="false">IF(T924="",0,T924/N924-1)</f>
        <v>0.22</v>
      </c>
      <c r="W924" s="19" t="s">
        <v>94</v>
      </c>
    </row>
    <row r="925" customFormat="false" ht="15" hidden="false" customHeight="false" outlineLevel="0" collapsed="false">
      <c r="A925" s="38" t="n">
        <v>874</v>
      </c>
      <c r="B925" s="38" t="s">
        <v>1098</v>
      </c>
      <c r="C925" s="38" t="s">
        <v>57</v>
      </c>
      <c r="D925" s="38"/>
      <c r="E925" s="38" t="s">
        <v>58</v>
      </c>
      <c r="F925" s="39" t="n">
        <v>7</v>
      </c>
      <c r="G925" s="39" t="n">
        <v>7</v>
      </c>
      <c r="H925" s="40" t="n">
        <v>3592</v>
      </c>
      <c r="I925" s="40" t="n">
        <v>0</v>
      </c>
      <c r="J925" s="40" t="n">
        <v>-449</v>
      </c>
      <c r="K925" s="41" t="n">
        <f aca="false">H925+I925+J925</f>
        <v>3143</v>
      </c>
      <c r="L925" s="42" t="n">
        <f aca="false">IF($K$1282=0,0,K925/$K$1282)</f>
        <v>0.000260361209784208</v>
      </c>
      <c r="M925" s="43" t="n">
        <f aca="false">IF(F925&lt;=0,0,K925/F925)</f>
        <v>449</v>
      </c>
      <c r="N925" s="40" t="n">
        <v>449</v>
      </c>
      <c r="O925" s="44" t="n">
        <v>12.45</v>
      </c>
      <c r="P925" s="43" t="n">
        <f aca="false">O925*'Price Groups'!$B$5</f>
        <v>280.125</v>
      </c>
      <c r="Q925" s="45" t="n">
        <f aca="false">IF(OR(N925="",P925=""),"",(N925-P925)/N925)</f>
        <v>0.376113585746102</v>
      </c>
      <c r="R925" s="46" t="n">
        <v>1</v>
      </c>
      <c r="S925" s="47" t="n">
        <f aca="false">IF(R925="-",0,IFERROR(VLOOKUP(R925,'Price Groups'!$A$13:$C$17,3,FALSE()),0))</f>
        <v>0.22</v>
      </c>
      <c r="T925" s="41" t="n">
        <f aca="false">IF(OR(N925="",R925="-"),"",CEILING(ROUND(N925*(1+S925),2),IF(N925*(1+S925)&lt;100,0.5,IF(N925*(1+S925)&lt;1000,1,5))))</f>
        <v>548</v>
      </c>
      <c r="U925" s="45" t="n">
        <f aca="false">IF(OR(T925="",P925=""),"",(T925-P925)/T925)</f>
        <v>0.48882299270073</v>
      </c>
      <c r="V925" s="45" t="n">
        <f aca="false">IF(T925="",0,T925/N925-1)</f>
        <v>0.220489977728285</v>
      </c>
      <c r="W925" s="38" t="s">
        <v>94</v>
      </c>
    </row>
    <row r="926" customFormat="false" ht="15" hidden="false" customHeight="false" outlineLevel="0" collapsed="false">
      <c r="A926" s="19" t="n">
        <v>875</v>
      </c>
      <c r="B926" s="19" t="s">
        <v>1099</v>
      </c>
      <c r="C926" s="19" t="s">
        <v>57</v>
      </c>
      <c r="D926" s="19"/>
      <c r="E926" s="19" t="s">
        <v>58</v>
      </c>
      <c r="F926" s="20" t="n">
        <v>7</v>
      </c>
      <c r="G926" s="20" t="n">
        <v>9</v>
      </c>
      <c r="H926" s="21" t="n">
        <v>2400</v>
      </c>
      <c r="I926" s="21" t="n">
        <v>-24</v>
      </c>
      <c r="J926" s="21" t="n">
        <v>-720</v>
      </c>
      <c r="K926" s="22" t="n">
        <f aca="false">H926+I926+J926</f>
        <v>1656</v>
      </c>
      <c r="L926" s="23" t="n">
        <f aca="false">IF($K$1282=0,0,K926/$K$1282)</f>
        <v>0.000137180452880257</v>
      </c>
      <c r="M926" s="24" t="n">
        <f aca="false">IF(F926&lt;=0,0,K926/F926)</f>
        <v>236.571428571429</v>
      </c>
      <c r="N926" s="21" t="n">
        <v>240</v>
      </c>
      <c r="O926" s="49" t="n">
        <v>10.62</v>
      </c>
      <c r="P926" s="24" t="n">
        <f aca="false">O926*'Price Groups'!$B$5</f>
        <v>238.95</v>
      </c>
      <c r="Q926" s="26" t="n">
        <f aca="false">IF(OR(N926="",P926=""),"",(N926-P926)/N926)</f>
        <v>0.00437500000000005</v>
      </c>
      <c r="R926" s="27" t="n">
        <v>1</v>
      </c>
      <c r="S926" s="28" t="n">
        <f aca="false">IF(R926="-",0,IFERROR(VLOOKUP(R926,'Price Groups'!$A$13:$C$17,3,FALSE()),0))</f>
        <v>0.22</v>
      </c>
      <c r="T926" s="22" t="n">
        <f aca="false">IF(OR(N926="",R926="-"),"",CEILING(ROUND(N926*(1+S926),2),IF(N926*(1+S926)&lt;100,0.5,IF(N926*(1+S926)&lt;1000,1,5))))</f>
        <v>293</v>
      </c>
      <c r="U926" s="26" t="n">
        <f aca="false">IF(OR(T926="",P926=""),"",(T926-P926)/T926)</f>
        <v>0.184470989761092</v>
      </c>
      <c r="V926" s="26" t="n">
        <f aca="false">IF(T926="",0,T926/N926-1)</f>
        <v>0.220833333333333</v>
      </c>
      <c r="W926" s="19" t="s">
        <v>1100</v>
      </c>
    </row>
    <row r="927" customFormat="false" ht="15" hidden="false" customHeight="false" outlineLevel="0" collapsed="false">
      <c r="A927" s="38" t="n">
        <v>876</v>
      </c>
      <c r="B927" s="38" t="s">
        <v>1101</v>
      </c>
      <c r="C927" s="38" t="s">
        <v>57</v>
      </c>
      <c r="D927" s="38"/>
      <c r="E927" s="38" t="s">
        <v>58</v>
      </c>
      <c r="F927" s="39" t="n">
        <v>7</v>
      </c>
      <c r="G927" s="39" t="n">
        <v>6</v>
      </c>
      <c r="H927" s="40" t="n">
        <v>2195.26</v>
      </c>
      <c r="I927" s="40" t="n">
        <v>-22.5</v>
      </c>
      <c r="J927" s="40" t="n">
        <v>-142.5</v>
      </c>
      <c r="K927" s="41" t="n">
        <f aca="false">H927+I927+J927</f>
        <v>2030.26</v>
      </c>
      <c r="L927" s="42" t="n">
        <f aca="false">IF($K$1282=0,0,K927/$K$1282)</f>
        <v>0.000168183566584946</v>
      </c>
      <c r="M927" s="43" t="n">
        <f aca="false">IF(F927&lt;=0,0,K927/F927)</f>
        <v>290.037142857143</v>
      </c>
      <c r="N927" s="40" t="n">
        <v>150</v>
      </c>
      <c r="O927" s="44" t="n">
        <v>11.98</v>
      </c>
      <c r="P927" s="43" t="n">
        <f aca="false">O927*'Price Groups'!$B$5</f>
        <v>269.55</v>
      </c>
      <c r="Q927" s="45" t="n">
        <f aca="false">IF(OR(N927="",P927=""),"",(N927-P927)/N927)</f>
        <v>-0.797</v>
      </c>
      <c r="R927" s="46" t="n">
        <v>1</v>
      </c>
      <c r="S927" s="47" t="n">
        <f aca="false">IF(R927="-",0,IFERROR(VLOOKUP(R927,'Price Groups'!$A$13:$C$17,3,FALSE()),0))</f>
        <v>0.22</v>
      </c>
      <c r="T927" s="41" t="n">
        <f aca="false">IF(OR(N927="",R927="-"),"",CEILING(ROUND(N927*(1+S927),2),IF(N927*(1+S927)&lt;100,0.5,IF(N927*(1+S927)&lt;1000,1,5))))</f>
        <v>183</v>
      </c>
      <c r="U927" s="45" t="n">
        <f aca="false">IF(OR(T927="",P927=""),"",(T927-P927)/T927)</f>
        <v>-0.472950819672131</v>
      </c>
      <c r="V927" s="45" t="n">
        <f aca="false">IF(T927="",0,T927/N927-1)</f>
        <v>0.22</v>
      </c>
      <c r="W927" s="38" t="s">
        <v>1102</v>
      </c>
    </row>
    <row r="928" customFormat="false" ht="15" hidden="false" customHeight="false" outlineLevel="0" collapsed="false">
      <c r="A928" s="19" t="n">
        <v>877</v>
      </c>
      <c r="B928" s="19" t="s">
        <v>1103</v>
      </c>
      <c r="C928" s="19" t="s">
        <v>57</v>
      </c>
      <c r="D928" s="19"/>
      <c r="E928" s="19" t="s">
        <v>58</v>
      </c>
      <c r="F928" s="20" t="n">
        <v>7</v>
      </c>
      <c r="G928" s="20" t="n">
        <v>4</v>
      </c>
      <c r="H928" s="21" t="n">
        <v>221.88</v>
      </c>
      <c r="I928" s="21" t="n">
        <v>0</v>
      </c>
      <c r="J928" s="21" t="n">
        <v>0</v>
      </c>
      <c r="K928" s="22" t="n">
        <f aca="false">H928+I928+J928</f>
        <v>221.88</v>
      </c>
      <c r="L928" s="23" t="n">
        <f aca="false">IF($K$1282=0,0,K928/$K$1282)</f>
        <v>1.8380192563449E-005</v>
      </c>
      <c r="M928" s="24" t="n">
        <f aca="false">IF(F928&lt;=0,0,K928/F928)</f>
        <v>31.6971428571429</v>
      </c>
      <c r="N928" s="21" t="n">
        <v>29.99</v>
      </c>
      <c r="O928" s="49" t="n">
        <v>1.08</v>
      </c>
      <c r="P928" s="24" t="n">
        <f aca="false">O928*'Price Groups'!$B$5</f>
        <v>24.3</v>
      </c>
      <c r="Q928" s="26" t="n">
        <f aca="false">IF(OR(N928="",P928=""),"",(N928-P928)/N928)</f>
        <v>0.18972990996999</v>
      </c>
      <c r="R928" s="27" t="n">
        <v>1</v>
      </c>
      <c r="S928" s="28" t="n">
        <f aca="false">IF(R928="-",0,IFERROR(VLOOKUP(R928,'Price Groups'!$A$13:$C$17,3,FALSE()),0))</f>
        <v>0.22</v>
      </c>
      <c r="T928" s="22" t="n">
        <f aca="false">IF(OR(N928="",R928="-"),"",CEILING(ROUND(N928*(1+S928),2),IF(N928*(1+S928)&lt;100,0.5,IF(N928*(1+S928)&lt;1000,1,5))))</f>
        <v>37</v>
      </c>
      <c r="U928" s="26" t="n">
        <f aca="false">IF(OR(T928="",P928=""),"",(T928-P928)/T928)</f>
        <v>0.343243243243243</v>
      </c>
      <c r="V928" s="26" t="n">
        <f aca="false">IF(T928="",0,T928/N928-1)</f>
        <v>0.233744581527176</v>
      </c>
      <c r="W928" s="19" t="s">
        <v>541</v>
      </c>
    </row>
    <row r="929" customFormat="false" ht="15" hidden="false" customHeight="false" outlineLevel="0" collapsed="false">
      <c r="A929" s="38" t="n">
        <v>878</v>
      </c>
      <c r="B929" s="38" t="s">
        <v>1104</v>
      </c>
      <c r="C929" s="38" t="s">
        <v>57</v>
      </c>
      <c r="D929" s="38"/>
      <c r="E929" s="38" t="s">
        <v>58</v>
      </c>
      <c r="F929" s="39" t="n">
        <v>7</v>
      </c>
      <c r="G929" s="39" t="n">
        <v>5</v>
      </c>
      <c r="H929" s="40" t="n">
        <v>799.92</v>
      </c>
      <c r="I929" s="40" t="n">
        <v>-9.99</v>
      </c>
      <c r="J929" s="40" t="n">
        <v>-99.99</v>
      </c>
      <c r="K929" s="41" t="n">
        <f aca="false">H929+I929+J929</f>
        <v>689.94</v>
      </c>
      <c r="L929" s="42" t="n">
        <f aca="false">IF($K$1282=0,0,K929/$K$1282)</f>
        <v>5.71535517271768E-005</v>
      </c>
      <c r="M929" s="43" t="n">
        <f aca="false">IF(F929&lt;=0,0,K929/F929)</f>
        <v>98.5628571428571</v>
      </c>
      <c r="N929" s="40" t="n">
        <v>99.99</v>
      </c>
      <c r="O929" s="44" t="n">
        <v>3</v>
      </c>
      <c r="P929" s="43" t="n">
        <f aca="false">O929*'Price Groups'!$B$5</f>
        <v>67.5</v>
      </c>
      <c r="Q929" s="45" t="n">
        <f aca="false">IF(OR(N929="",P929=""),"",(N929-P929)/N929)</f>
        <v>0.324932493249325</v>
      </c>
      <c r="R929" s="46" t="n">
        <v>1</v>
      </c>
      <c r="S929" s="47" t="n">
        <f aca="false">IF(R929="-",0,IFERROR(VLOOKUP(R929,'Price Groups'!$A$13:$C$17,3,FALSE()),0))</f>
        <v>0.22</v>
      </c>
      <c r="T929" s="41" t="n">
        <f aca="false">IF(OR(N929="",R929="-"),"",CEILING(ROUND(N929*(1+S929),2),IF(N929*(1+S929)&lt;100,0.5,IF(N929*(1+S929)&lt;1000,1,5))))</f>
        <v>122</v>
      </c>
      <c r="U929" s="45" t="n">
        <f aca="false">IF(OR(T929="",P929=""),"",(T929-P929)/T929)</f>
        <v>0.44672131147541</v>
      </c>
      <c r="V929" s="45" t="n">
        <f aca="false">IF(T929="",0,T929/N929-1)</f>
        <v>0.22012201220122</v>
      </c>
      <c r="W929" s="38" t="s">
        <v>94</v>
      </c>
    </row>
    <row r="930" customFormat="false" ht="15" hidden="false" customHeight="false" outlineLevel="0" collapsed="false">
      <c r="A930" s="19" t="n">
        <v>879</v>
      </c>
      <c r="B930" s="19" t="s">
        <v>1105</v>
      </c>
      <c r="C930" s="19" t="s">
        <v>57</v>
      </c>
      <c r="D930" s="19"/>
      <c r="E930" s="19" t="s">
        <v>58</v>
      </c>
      <c r="F930" s="20" t="n">
        <v>7</v>
      </c>
      <c r="G930" s="20" t="n">
        <v>1</v>
      </c>
      <c r="H930" s="21" t="n">
        <v>875</v>
      </c>
      <c r="I930" s="21" t="n">
        <v>-875</v>
      </c>
      <c r="J930" s="21" t="n">
        <v>0</v>
      </c>
      <c r="K930" s="22" t="n">
        <f aca="false">H930+I930+J930</f>
        <v>0</v>
      </c>
      <c r="L930" s="23" t="n">
        <f aca="false">IF($K$1282=0,0,K930/$K$1282)</f>
        <v>0</v>
      </c>
      <c r="M930" s="24" t="n">
        <f aca="false">IF(F930&lt;=0,0,K930/F930)</f>
        <v>0</v>
      </c>
      <c r="N930" s="21" t="n">
        <v>125</v>
      </c>
      <c r="O930" s="49" t="n">
        <v>3</v>
      </c>
      <c r="P930" s="24" t="n">
        <f aca="false">O930*'Price Groups'!$B$5</f>
        <v>67.5</v>
      </c>
      <c r="Q930" s="26" t="n">
        <f aca="false">IF(OR(N930="",P930=""),"",(N930-P930)/N930)</f>
        <v>0.46</v>
      </c>
      <c r="R930" s="27" t="n">
        <v>1</v>
      </c>
      <c r="S930" s="28" t="n">
        <f aca="false">IF(R930="-",0,IFERROR(VLOOKUP(R930,'Price Groups'!$A$13:$C$17,3,FALSE()),0))</f>
        <v>0.22</v>
      </c>
      <c r="T930" s="22" t="n">
        <f aca="false">IF(OR(N930="",R930="-"),"",CEILING(ROUND(N930*(1+S930),2),IF(N930*(1+S930)&lt;100,0.5,IF(N930*(1+S930)&lt;1000,1,5))))</f>
        <v>153</v>
      </c>
      <c r="U930" s="26" t="n">
        <f aca="false">IF(OR(T930="",P930=""),"",(T930-P930)/T930)</f>
        <v>0.558823529411765</v>
      </c>
      <c r="V930" s="26" t="n">
        <f aca="false">IF(T930="",0,T930/N930-1)</f>
        <v>0.224</v>
      </c>
      <c r="W930" s="19" t="s">
        <v>94</v>
      </c>
    </row>
    <row r="931" customFormat="false" ht="15" hidden="false" customHeight="false" outlineLevel="0" collapsed="false">
      <c r="A931" s="38" t="n">
        <v>880</v>
      </c>
      <c r="B931" s="38" t="s">
        <v>1106</v>
      </c>
      <c r="C931" s="38" t="s">
        <v>57</v>
      </c>
      <c r="D931" s="38"/>
      <c r="E931" s="38" t="s">
        <v>58</v>
      </c>
      <c r="F931" s="39" t="n">
        <v>7</v>
      </c>
      <c r="G931" s="39" t="n">
        <v>6</v>
      </c>
      <c r="H931" s="40" t="n">
        <v>949.93</v>
      </c>
      <c r="I931" s="40" t="n">
        <v>-3.45</v>
      </c>
      <c r="J931" s="40" t="n">
        <v>0</v>
      </c>
      <c r="K931" s="41" t="n">
        <f aca="false">H931+I931+J931</f>
        <v>946.48</v>
      </c>
      <c r="L931" s="42" t="n">
        <f aca="false">IF($K$1282=0,0,K931/$K$1282)</f>
        <v>7.84049245423345E-005</v>
      </c>
      <c r="M931" s="43" t="n">
        <f aca="false">IF(F931&lt;=0,0,K931/F931)</f>
        <v>135.211428571429</v>
      </c>
      <c r="N931" s="40" t="n">
        <v>49.99</v>
      </c>
      <c r="O931" s="44" t="n">
        <v>5.75</v>
      </c>
      <c r="P931" s="43" t="n">
        <f aca="false">O931*'Price Groups'!$B$5</f>
        <v>129.375</v>
      </c>
      <c r="Q931" s="45" t="n">
        <f aca="false">IF(OR(N931="",P931=""),"",(N931-P931)/N931)</f>
        <v>-1.5880176035207</v>
      </c>
      <c r="R931" s="46" t="n">
        <v>1</v>
      </c>
      <c r="S931" s="47" t="n">
        <f aca="false">IF(R931="-",0,IFERROR(VLOOKUP(R931,'Price Groups'!$A$13:$C$17,3,FALSE()),0))</f>
        <v>0.22</v>
      </c>
      <c r="T931" s="41" t="n">
        <f aca="false">IF(OR(N931="",R931="-"),"",CEILING(ROUND(N931*(1+S931),2),IF(N931*(1+S931)&lt;100,0.5,IF(N931*(1+S931)&lt;1000,1,5))))</f>
        <v>61</v>
      </c>
      <c r="U931" s="45" t="n">
        <f aca="false">IF(OR(T931="",P931=""),"",(T931-P931)/T931)</f>
        <v>-1.12090163934426</v>
      </c>
      <c r="V931" s="45" t="n">
        <f aca="false">IF(T931="",0,T931/N931-1)</f>
        <v>0.220244048809762</v>
      </c>
      <c r="W931" s="38" t="s">
        <v>1107</v>
      </c>
    </row>
    <row r="932" customFormat="false" ht="15" hidden="false" customHeight="false" outlineLevel="0" collapsed="false">
      <c r="A932" s="19" t="n">
        <v>881</v>
      </c>
      <c r="B932" s="19" t="s">
        <v>1108</v>
      </c>
      <c r="C932" s="19" t="s">
        <v>57</v>
      </c>
      <c r="D932" s="19"/>
      <c r="E932" s="19" t="s">
        <v>58</v>
      </c>
      <c r="F932" s="20" t="n">
        <v>7</v>
      </c>
      <c r="G932" s="20" t="n">
        <v>6</v>
      </c>
      <c r="H932" s="21" t="n">
        <v>315</v>
      </c>
      <c r="I932" s="21" t="n">
        <v>0</v>
      </c>
      <c r="J932" s="21" t="n">
        <v>0</v>
      </c>
      <c r="K932" s="22" t="n">
        <f aca="false">H932+I932+J932</f>
        <v>315</v>
      </c>
      <c r="L932" s="23" t="n">
        <f aca="false">IF($K$1282=0,0,K932/$K$1282)</f>
        <v>2.60941078848316E-005</v>
      </c>
      <c r="M932" s="24" t="n">
        <f aca="false">IF(F932&lt;=0,0,K932/F932)</f>
        <v>45</v>
      </c>
      <c r="N932" s="21" t="n">
        <v>45</v>
      </c>
      <c r="O932" s="49" t="n">
        <v>0.88</v>
      </c>
      <c r="P932" s="24" t="n">
        <f aca="false">O932*'Price Groups'!$B$5</f>
        <v>19.8</v>
      </c>
      <c r="Q932" s="26" t="n">
        <f aca="false">IF(OR(N932="",P932=""),"",(N932-P932)/N932)</f>
        <v>0.56</v>
      </c>
      <c r="R932" s="27" t="n">
        <v>1</v>
      </c>
      <c r="S932" s="28" t="n">
        <f aca="false">IF(R932="-",0,IFERROR(VLOOKUP(R932,'Price Groups'!$A$13:$C$17,3,FALSE()),0))</f>
        <v>0.22</v>
      </c>
      <c r="T932" s="22" t="n">
        <f aca="false">IF(OR(N932="",R932="-"),"",CEILING(ROUND(N932*(1+S932),2),IF(N932*(1+S932)&lt;100,0.5,IF(N932*(1+S932)&lt;1000,1,5))))</f>
        <v>55</v>
      </c>
      <c r="U932" s="26" t="n">
        <f aca="false">IF(OR(T932="",P932=""),"",(T932-P932)/T932)</f>
        <v>0.64</v>
      </c>
      <c r="V932" s="26" t="n">
        <f aca="false">IF(T932="",0,T932/N932-1)</f>
        <v>0.222222222222222</v>
      </c>
      <c r="W932" s="19" t="s">
        <v>94</v>
      </c>
    </row>
    <row r="933" customFormat="false" ht="15" hidden="false" customHeight="false" outlineLevel="0" collapsed="false">
      <c r="A933" s="38" t="n">
        <v>882</v>
      </c>
      <c r="B933" s="38" t="s">
        <v>1109</v>
      </c>
      <c r="C933" s="38" t="s">
        <v>57</v>
      </c>
      <c r="D933" s="38"/>
      <c r="E933" s="38" t="s">
        <v>58</v>
      </c>
      <c r="F933" s="39" t="n">
        <v>7</v>
      </c>
      <c r="G933" s="39" t="n">
        <v>5</v>
      </c>
      <c r="H933" s="40" t="n">
        <v>880</v>
      </c>
      <c r="I933" s="40" t="n">
        <v>0</v>
      </c>
      <c r="J933" s="40" t="n">
        <v>-110</v>
      </c>
      <c r="K933" s="41" t="n">
        <f aca="false">H933+I933+J933</f>
        <v>770</v>
      </c>
      <c r="L933" s="42" t="n">
        <f aca="false">IF($K$1282=0,0,K933/$K$1282)</f>
        <v>6.37855970518105E-005</v>
      </c>
      <c r="M933" s="43" t="n">
        <f aca="false">IF(F933&lt;=0,0,K933/F933)</f>
        <v>110</v>
      </c>
      <c r="N933" s="40" t="n">
        <v>110</v>
      </c>
      <c r="O933" s="44" t="n">
        <v>2.43</v>
      </c>
      <c r="P933" s="43" t="n">
        <f aca="false">O933*'Price Groups'!$B$5</f>
        <v>54.675</v>
      </c>
      <c r="Q933" s="45" t="n">
        <f aca="false">IF(OR(N933="",P933=""),"",(N933-P933)/N933)</f>
        <v>0.502954545454545</v>
      </c>
      <c r="R933" s="46" t="n">
        <v>1</v>
      </c>
      <c r="S933" s="47" t="n">
        <f aca="false">IF(R933="-",0,IFERROR(VLOOKUP(R933,'Price Groups'!$A$13:$C$17,3,FALSE()),0))</f>
        <v>0.22</v>
      </c>
      <c r="T933" s="41" t="n">
        <f aca="false">IF(OR(N933="",R933="-"),"",CEILING(ROUND(N933*(1+S933),2),IF(N933*(1+S933)&lt;100,0.5,IF(N933*(1+S933)&lt;1000,1,5))))</f>
        <v>135</v>
      </c>
      <c r="U933" s="45" t="n">
        <f aca="false">IF(OR(T933="",P933=""),"",(T933-P933)/T933)</f>
        <v>0.595</v>
      </c>
      <c r="V933" s="45" t="n">
        <f aca="false">IF(T933="",0,T933/N933-1)</f>
        <v>0.227272727272727</v>
      </c>
      <c r="W933" s="38" t="s">
        <v>94</v>
      </c>
    </row>
    <row r="934" customFormat="false" ht="15" hidden="false" customHeight="false" outlineLevel="0" collapsed="false">
      <c r="A934" s="19" t="n">
        <v>883</v>
      </c>
      <c r="B934" s="19" t="s">
        <v>1110</v>
      </c>
      <c r="C934" s="19" t="s">
        <v>57</v>
      </c>
      <c r="D934" s="19"/>
      <c r="E934" s="19" t="s">
        <v>58</v>
      </c>
      <c r="F934" s="20" t="n">
        <v>7</v>
      </c>
      <c r="G934" s="20" t="n">
        <v>6</v>
      </c>
      <c r="H934" s="21" t="n">
        <v>1049.93</v>
      </c>
      <c r="I934" s="21" t="n">
        <v>0</v>
      </c>
      <c r="J934" s="21" t="n">
        <v>0</v>
      </c>
      <c r="K934" s="22" t="n">
        <f aca="false">H934+I934+J934</f>
        <v>1049.93</v>
      </c>
      <c r="L934" s="23" t="n">
        <f aca="false">IF($K$1282=0,0,K934/$K$1282)</f>
        <v>8.69745609254641E-005</v>
      </c>
      <c r="M934" s="24" t="n">
        <f aca="false">IF(F934&lt;=0,0,K934/F934)</f>
        <v>149.99</v>
      </c>
      <c r="N934" s="21" t="n">
        <v>149.99</v>
      </c>
      <c r="O934" s="25"/>
      <c r="P934" s="24"/>
      <c r="Q934" s="26" t="str">
        <f aca="false">IF(OR(N934="",P934=""),"",(N934-P934)/N934)</f>
        <v/>
      </c>
      <c r="R934" s="27" t="n">
        <v>2</v>
      </c>
      <c r="S934" s="28" t="n">
        <f aca="false">IF(R934="-",0,IFERROR(VLOOKUP(R934,'Price Groups'!$A$13:$C$17,3,FALSE()),0))</f>
        <v>0.18</v>
      </c>
      <c r="T934" s="22" t="n">
        <f aca="false">IF(OR(N934="",R934="-"),"",CEILING(ROUND(N934*(1+S934),2),IF(N934*(1+S934)&lt;100,0.5,IF(N934*(1+S934)&lt;1000,1,5))))</f>
        <v>177</v>
      </c>
      <c r="U934" s="26" t="str">
        <f aca="false">IF(OR(T934="",P934=""),"",(T934-P934)/T934)</f>
        <v/>
      </c>
      <c r="V934" s="26" t="n">
        <f aca="false">IF(T934="",0,T934/N934-1)</f>
        <v>0.180078671911461</v>
      </c>
      <c r="W934" s="19" t="s">
        <v>129</v>
      </c>
    </row>
    <row r="935" customFormat="false" ht="15" hidden="false" customHeight="false" outlineLevel="0" collapsed="false">
      <c r="A935" s="38" t="n">
        <v>884</v>
      </c>
      <c r="B935" s="38" t="s">
        <v>1111</v>
      </c>
      <c r="C935" s="38" t="s">
        <v>57</v>
      </c>
      <c r="D935" s="38"/>
      <c r="E935" s="38" t="s">
        <v>58</v>
      </c>
      <c r="F935" s="39" t="n">
        <v>7</v>
      </c>
      <c r="G935" s="39" t="n">
        <v>7</v>
      </c>
      <c r="H935" s="40" t="n">
        <v>1559.91</v>
      </c>
      <c r="I935" s="40" t="n">
        <v>0</v>
      </c>
      <c r="J935" s="40" t="n">
        <v>-349.98</v>
      </c>
      <c r="K935" s="41" t="n">
        <f aca="false">H935+I935+J935</f>
        <v>1209.93</v>
      </c>
      <c r="L935" s="42" t="n">
        <f aca="false">IF($K$1282=0,0,K935/$K$1282)</f>
        <v>0.000100228710962204</v>
      </c>
      <c r="M935" s="43" t="n">
        <f aca="false">IF(F935&lt;=0,0,K935/F935)</f>
        <v>172.847142857143</v>
      </c>
      <c r="N935" s="40" t="n">
        <v>169.99</v>
      </c>
      <c r="O935" s="44" t="n">
        <v>5.5</v>
      </c>
      <c r="P935" s="43" t="n">
        <f aca="false">O935*'Price Groups'!$B$5</f>
        <v>123.75</v>
      </c>
      <c r="Q935" s="45" t="n">
        <f aca="false">IF(OR(N935="",P935=""),"",(N935-P935)/N935)</f>
        <v>0.272016000941232</v>
      </c>
      <c r="R935" s="46" t="n">
        <v>1</v>
      </c>
      <c r="S935" s="47" t="n">
        <f aca="false">IF(R935="-",0,IFERROR(VLOOKUP(R935,'Price Groups'!$A$13:$C$17,3,FALSE()),0))</f>
        <v>0.22</v>
      </c>
      <c r="T935" s="41" t="n">
        <f aca="false">IF(OR(N935="",R935="-"),"",CEILING(ROUND(N935*(1+S935),2),IF(N935*(1+S935)&lt;100,0.5,IF(N935*(1+S935)&lt;1000,1,5))))</f>
        <v>208</v>
      </c>
      <c r="U935" s="45" t="n">
        <f aca="false">IF(OR(T935="",P935=""),"",(T935-P935)/T935)</f>
        <v>0.405048076923077</v>
      </c>
      <c r="V935" s="45" t="n">
        <f aca="false">IF(T935="",0,T935/N935-1)</f>
        <v>0.22360138831696</v>
      </c>
      <c r="W935" s="38" t="s">
        <v>94</v>
      </c>
    </row>
    <row r="936" customFormat="false" ht="15" hidden="false" customHeight="false" outlineLevel="0" collapsed="false">
      <c r="A936" s="19" t="n">
        <v>885</v>
      </c>
      <c r="B936" s="19" t="s">
        <v>1112</v>
      </c>
      <c r="C936" s="19" t="s">
        <v>57</v>
      </c>
      <c r="D936" s="19"/>
      <c r="E936" s="19" t="s">
        <v>58</v>
      </c>
      <c r="F936" s="20" t="n">
        <v>7</v>
      </c>
      <c r="G936" s="20" t="n">
        <v>7</v>
      </c>
      <c r="H936" s="21" t="n">
        <v>3825.3</v>
      </c>
      <c r="I936" s="21" t="n">
        <v>-54.3</v>
      </c>
      <c r="J936" s="21" t="n">
        <v>0</v>
      </c>
      <c r="K936" s="22" t="n">
        <f aca="false">H936+I936+J936</f>
        <v>3771</v>
      </c>
      <c r="L936" s="23" t="n">
        <f aca="false">IF($K$1282=0,0,K936/$K$1282)</f>
        <v>0.000312383748678412</v>
      </c>
      <c r="M936" s="24" t="n">
        <f aca="false">IF(F936&lt;=0,0,K936/F936)</f>
        <v>538.714285714286</v>
      </c>
      <c r="N936" s="21" t="n">
        <v>530</v>
      </c>
      <c r="O936" s="49" t="n">
        <v>14.76</v>
      </c>
      <c r="P936" s="24" t="n">
        <f aca="false">O936*'Price Groups'!$B$5</f>
        <v>332.1</v>
      </c>
      <c r="Q936" s="26" t="n">
        <f aca="false">IF(OR(N936="",P936=""),"",(N936-P936)/N936)</f>
        <v>0.373396226415094</v>
      </c>
      <c r="R936" s="27" t="n">
        <v>1</v>
      </c>
      <c r="S936" s="28" t="n">
        <f aca="false">IF(R936="-",0,IFERROR(VLOOKUP(R936,'Price Groups'!$A$13:$C$17,3,FALSE()),0))</f>
        <v>0.22</v>
      </c>
      <c r="T936" s="22" t="n">
        <f aca="false">IF(OR(N936="",R936="-"),"",CEILING(ROUND(N936*(1+S936),2),IF(N936*(1+S936)&lt;100,0.5,IF(N936*(1+S936)&lt;1000,1,5))))</f>
        <v>647</v>
      </c>
      <c r="U936" s="26" t="n">
        <f aca="false">IF(OR(T936="",P936=""),"",(T936-P936)/T936)</f>
        <v>0.486707882534776</v>
      </c>
      <c r="V936" s="26" t="n">
        <f aca="false">IF(T936="",0,T936/N936-1)</f>
        <v>0.220754716981132</v>
      </c>
      <c r="W936" s="19" t="s">
        <v>94</v>
      </c>
    </row>
    <row r="937" customFormat="false" ht="15" hidden="false" customHeight="false" outlineLevel="0" collapsed="false">
      <c r="A937" s="38" t="n">
        <v>886</v>
      </c>
      <c r="B937" s="38" t="s">
        <v>1113</v>
      </c>
      <c r="C937" s="38" t="s">
        <v>57</v>
      </c>
      <c r="D937" s="38"/>
      <c r="E937" s="38" t="s">
        <v>58</v>
      </c>
      <c r="F937" s="39" t="n">
        <v>7</v>
      </c>
      <c r="G937" s="39" t="n">
        <v>8</v>
      </c>
      <c r="H937" s="40" t="n">
        <v>5878.98</v>
      </c>
      <c r="I937" s="40" t="n">
        <v>-72.34</v>
      </c>
      <c r="J937" s="40" t="n">
        <v>-764.99</v>
      </c>
      <c r="K937" s="41" t="n">
        <f aca="false">H937+I937+J937</f>
        <v>5041.65</v>
      </c>
      <c r="L937" s="42" t="n">
        <f aca="false">IF($K$1282=0,0,K937/$K$1282)</f>
        <v>0.000417642409579559</v>
      </c>
      <c r="M937" s="43" t="n">
        <f aca="false">IF(F937&lt;=0,0,K937/F937)</f>
        <v>720.235714285714</v>
      </c>
      <c r="N937" s="40" t="n">
        <v>750</v>
      </c>
      <c r="O937" s="44" t="n">
        <v>24.15</v>
      </c>
      <c r="P937" s="43" t="n">
        <f aca="false">O937*'Price Groups'!$B$5</f>
        <v>543.375</v>
      </c>
      <c r="Q937" s="45" t="n">
        <f aca="false">IF(OR(N937="",P937=""),"",(N937-P937)/N937)</f>
        <v>0.2755</v>
      </c>
      <c r="R937" s="46" t="n">
        <v>1</v>
      </c>
      <c r="S937" s="47" t="n">
        <f aca="false">IF(R937="-",0,IFERROR(VLOOKUP(R937,'Price Groups'!$A$13:$C$17,3,FALSE()),0))</f>
        <v>0.22</v>
      </c>
      <c r="T937" s="41" t="n">
        <f aca="false">IF(OR(N937="",R937="-"),"",CEILING(ROUND(N937*(1+S937),2),IF(N937*(1+S937)&lt;100,0.5,IF(N937*(1+S937)&lt;1000,1,5))))</f>
        <v>915</v>
      </c>
      <c r="U937" s="45" t="n">
        <f aca="false">IF(OR(T937="",P937=""),"",(T937-P937)/T937)</f>
        <v>0.406147540983607</v>
      </c>
      <c r="V937" s="45" t="n">
        <f aca="false">IF(T937="",0,T937/N937-1)</f>
        <v>0.22</v>
      </c>
      <c r="W937" s="38" t="s">
        <v>94</v>
      </c>
    </row>
    <row r="938" customFormat="false" ht="15" hidden="false" customHeight="false" outlineLevel="0" collapsed="false">
      <c r="A938" s="19" t="n">
        <v>887</v>
      </c>
      <c r="B938" s="19" t="s">
        <v>1114</v>
      </c>
      <c r="C938" s="19" t="s">
        <v>57</v>
      </c>
      <c r="D938" s="19"/>
      <c r="E938" s="19" t="s">
        <v>58</v>
      </c>
      <c r="F938" s="20" t="n">
        <v>7</v>
      </c>
      <c r="G938" s="20" t="n">
        <v>6</v>
      </c>
      <c r="H938" s="21" t="n">
        <v>1168.75</v>
      </c>
      <c r="I938" s="21" t="n">
        <v>-38.98</v>
      </c>
      <c r="J938" s="21" t="n">
        <v>0</v>
      </c>
      <c r="K938" s="22" t="n">
        <f aca="false">H938+I938+J938</f>
        <v>1129.77</v>
      </c>
      <c r="L938" s="23" t="n">
        <f aca="false">IF($K$1282=0,0,K938/$K$1282)</f>
        <v>9.35883817937973E-005</v>
      </c>
      <c r="M938" s="24" t="n">
        <f aca="false">IF(F938&lt;=0,0,K938/F938)</f>
        <v>161.395714285714</v>
      </c>
      <c r="N938" s="21" t="n">
        <v>89.4</v>
      </c>
      <c r="O938" s="49" t="n">
        <v>2.79</v>
      </c>
      <c r="P938" s="24" t="n">
        <f aca="false">O938*'Price Groups'!$B$5</f>
        <v>62.775</v>
      </c>
      <c r="Q938" s="26" t="n">
        <f aca="false">IF(OR(N938="",P938=""),"",(N938-P938)/N938)</f>
        <v>0.297818791946309</v>
      </c>
      <c r="R938" s="27" t="n">
        <v>1</v>
      </c>
      <c r="S938" s="28" t="n">
        <f aca="false">IF(R938="-",0,IFERROR(VLOOKUP(R938,'Price Groups'!$A$13:$C$17,3,FALSE()),0))</f>
        <v>0.22</v>
      </c>
      <c r="T938" s="22" t="n">
        <f aca="false">IF(OR(N938="",R938="-"),"",CEILING(ROUND(N938*(1+S938),2),IF(N938*(1+S938)&lt;100,0.5,IF(N938*(1+S938)&lt;1000,1,5))))</f>
        <v>110</v>
      </c>
      <c r="U938" s="26" t="n">
        <f aca="false">IF(OR(T938="",P938=""),"",(T938-P938)/T938)</f>
        <v>0.429318181818182</v>
      </c>
      <c r="V938" s="26" t="n">
        <f aca="false">IF(T938="",0,T938/N938-1)</f>
        <v>0.230425055928412</v>
      </c>
      <c r="W938" s="19" t="s">
        <v>94</v>
      </c>
    </row>
    <row r="939" customFormat="false" ht="15" hidden="false" customHeight="false" outlineLevel="0" collapsed="false">
      <c r="A939" s="38" t="n">
        <v>888</v>
      </c>
      <c r="B939" s="38" t="s">
        <v>1115</v>
      </c>
      <c r="C939" s="38" t="s">
        <v>57</v>
      </c>
      <c r="D939" s="38"/>
      <c r="E939" s="38" t="s">
        <v>58</v>
      </c>
      <c r="F939" s="39" t="n">
        <v>7</v>
      </c>
      <c r="G939" s="39" t="n">
        <v>8</v>
      </c>
      <c r="H939" s="40" t="n">
        <v>799.92</v>
      </c>
      <c r="I939" s="40" t="n">
        <v>-19.98</v>
      </c>
      <c r="J939" s="40" t="n">
        <v>-99.99</v>
      </c>
      <c r="K939" s="41" t="n">
        <f aca="false">H939+I939+J939</f>
        <v>679.95</v>
      </c>
      <c r="L939" s="42" t="n">
        <f aca="false">IF($K$1282=0,0,K939/$K$1282)</f>
        <v>5.63259957342578E-005</v>
      </c>
      <c r="M939" s="43" t="n">
        <f aca="false">IF(F939&lt;=0,0,K939/F939)</f>
        <v>97.1357142857143</v>
      </c>
      <c r="N939" s="40" t="n">
        <v>99.99</v>
      </c>
      <c r="O939" s="44" t="n">
        <v>2.11</v>
      </c>
      <c r="P939" s="43" t="n">
        <f aca="false">O939*'Price Groups'!$B$5</f>
        <v>47.475</v>
      </c>
      <c r="Q939" s="45" t="n">
        <f aca="false">IF(OR(N939="",P939=""),"",(N939-P939)/N939)</f>
        <v>0.525202520252025</v>
      </c>
      <c r="R939" s="46" t="n">
        <v>1</v>
      </c>
      <c r="S939" s="47" t="n">
        <f aca="false">IF(R939="-",0,IFERROR(VLOOKUP(R939,'Price Groups'!$A$13:$C$17,3,FALSE()),0))</f>
        <v>0.22</v>
      </c>
      <c r="T939" s="41" t="n">
        <f aca="false">IF(OR(N939="",R939="-"),"",CEILING(ROUND(N939*(1+S939),2),IF(N939*(1+S939)&lt;100,0.5,IF(N939*(1+S939)&lt;1000,1,5))))</f>
        <v>122</v>
      </c>
      <c r="U939" s="45" t="n">
        <f aca="false">IF(OR(T939="",P939=""),"",(T939-P939)/T939)</f>
        <v>0.610860655737705</v>
      </c>
      <c r="V939" s="45" t="n">
        <f aca="false">IF(T939="",0,T939/N939-1)</f>
        <v>0.22012201220122</v>
      </c>
      <c r="W939" s="38" t="s">
        <v>94</v>
      </c>
    </row>
    <row r="940" customFormat="false" ht="15" hidden="false" customHeight="false" outlineLevel="0" collapsed="false">
      <c r="A940" s="19" t="n">
        <v>889</v>
      </c>
      <c r="B940" s="19" t="s">
        <v>1116</v>
      </c>
      <c r="C940" s="19" t="s">
        <v>57</v>
      </c>
      <c r="D940" s="19"/>
      <c r="E940" s="19" t="s">
        <v>58</v>
      </c>
      <c r="F940" s="20" t="n">
        <v>7</v>
      </c>
      <c r="G940" s="20" t="n">
        <v>5</v>
      </c>
      <c r="H940" s="21" t="n">
        <v>548.29</v>
      </c>
      <c r="I940" s="21" t="n">
        <v>-6.2</v>
      </c>
      <c r="J940" s="21" t="n">
        <v>0</v>
      </c>
      <c r="K940" s="22" t="n">
        <f aca="false">H940+I940+J940</f>
        <v>542.09</v>
      </c>
      <c r="L940" s="23" t="n">
        <f aca="false">IF($K$1282=0,0,K940/$K$1282)</f>
        <v>4.49058887088519E-005</v>
      </c>
      <c r="M940" s="24" t="n">
        <f aca="false">IF(F940&lt;=0,0,K940/F940)</f>
        <v>77.4414285714286</v>
      </c>
      <c r="N940" s="21" t="n">
        <v>90</v>
      </c>
      <c r="O940" s="49" t="n">
        <v>2.53</v>
      </c>
      <c r="P940" s="24" t="n">
        <f aca="false">O940*'Price Groups'!$B$5</f>
        <v>56.925</v>
      </c>
      <c r="Q940" s="26" t="n">
        <f aca="false">IF(OR(N940="",P940=""),"",(N940-P940)/N940)</f>
        <v>0.3675</v>
      </c>
      <c r="R940" s="27" t="n">
        <v>1</v>
      </c>
      <c r="S940" s="28" t="n">
        <f aca="false">IF(R940="-",0,IFERROR(VLOOKUP(R940,'Price Groups'!$A$13:$C$17,3,FALSE()),0))</f>
        <v>0.22</v>
      </c>
      <c r="T940" s="22" t="n">
        <f aca="false">IF(OR(N940="",R940="-"),"",CEILING(ROUND(N940*(1+S940),2),IF(N940*(1+S940)&lt;100,0.5,IF(N940*(1+S940)&lt;1000,1,5))))</f>
        <v>110</v>
      </c>
      <c r="U940" s="26" t="n">
        <f aca="false">IF(OR(T940="",P940=""),"",(T940-P940)/T940)</f>
        <v>0.4825</v>
      </c>
      <c r="V940" s="26" t="n">
        <f aca="false">IF(T940="",0,T940/N940-1)</f>
        <v>0.222222222222222</v>
      </c>
      <c r="W940" s="19" t="s">
        <v>94</v>
      </c>
    </row>
    <row r="941" customFormat="false" ht="15" hidden="false" customHeight="false" outlineLevel="0" collapsed="false">
      <c r="A941" s="38" t="n">
        <v>890</v>
      </c>
      <c r="B941" s="38" t="s">
        <v>1117</v>
      </c>
      <c r="C941" s="38" t="s">
        <v>57</v>
      </c>
      <c r="D941" s="38"/>
      <c r="E941" s="38" t="s">
        <v>58</v>
      </c>
      <c r="F941" s="39" t="n">
        <v>7</v>
      </c>
      <c r="G941" s="39" t="n">
        <v>5</v>
      </c>
      <c r="H941" s="40" t="n">
        <v>529.93</v>
      </c>
      <c r="I941" s="40" t="n">
        <v>-7.49</v>
      </c>
      <c r="J941" s="40" t="n">
        <v>0</v>
      </c>
      <c r="K941" s="41" t="n">
        <f aca="false">H941+I941+J941</f>
        <v>522.44</v>
      </c>
      <c r="L941" s="42" t="n">
        <f aca="false">IF($K$1282=0,0,K941/$K$1282)</f>
        <v>4.32781134074648E-005</v>
      </c>
      <c r="M941" s="43" t="n">
        <f aca="false">IF(F941&lt;=0,0,K941/F941)</f>
        <v>74.6342857142857</v>
      </c>
      <c r="N941" s="40" t="n">
        <v>74.99</v>
      </c>
      <c r="O941" s="44" t="n">
        <v>1.21</v>
      </c>
      <c r="P941" s="43" t="n">
        <f aca="false">O941*'Price Groups'!$B$5</f>
        <v>27.225</v>
      </c>
      <c r="Q941" s="45" t="n">
        <f aca="false">IF(OR(N941="",P941=""),"",(N941-P941)/N941)</f>
        <v>0.636951593545806</v>
      </c>
      <c r="R941" s="46" t="n">
        <v>1</v>
      </c>
      <c r="S941" s="47" t="n">
        <f aca="false">IF(R941="-",0,IFERROR(VLOOKUP(R941,'Price Groups'!$A$13:$C$17,3,FALSE()),0))</f>
        <v>0.22</v>
      </c>
      <c r="T941" s="41" t="n">
        <f aca="false">IF(OR(N941="",R941="-"),"",CEILING(ROUND(N941*(1+S941),2),IF(N941*(1+S941)&lt;100,0.5,IF(N941*(1+S941)&lt;1000,1,5))))</f>
        <v>91.5</v>
      </c>
      <c r="U941" s="45" t="n">
        <f aca="false">IF(OR(T941="",P941=""),"",(T941-P941)/T941)</f>
        <v>0.702459016393443</v>
      </c>
      <c r="V941" s="45" t="n">
        <f aca="false">IF(T941="",0,T941/N941-1)</f>
        <v>0.220162688358448</v>
      </c>
      <c r="W941" s="38" t="s">
        <v>94</v>
      </c>
    </row>
    <row r="942" customFormat="false" ht="15" hidden="false" customHeight="false" outlineLevel="0" collapsed="false">
      <c r="A942" s="19" t="n">
        <v>891</v>
      </c>
      <c r="B942" s="19" t="s">
        <v>1118</v>
      </c>
      <c r="C942" s="19" t="s">
        <v>57</v>
      </c>
      <c r="D942" s="19"/>
      <c r="E942" s="19" t="s">
        <v>58</v>
      </c>
      <c r="F942" s="20" t="n">
        <v>7</v>
      </c>
      <c r="G942" s="20" t="n">
        <v>7</v>
      </c>
      <c r="H942" s="21" t="n">
        <v>315</v>
      </c>
      <c r="I942" s="21" t="n">
        <v>0</v>
      </c>
      <c r="J942" s="21" t="n">
        <v>0</v>
      </c>
      <c r="K942" s="22" t="n">
        <f aca="false">H942+I942+J942</f>
        <v>315</v>
      </c>
      <c r="L942" s="23" t="n">
        <f aca="false">IF($K$1282=0,0,K942/$K$1282)</f>
        <v>2.60941078848316E-005</v>
      </c>
      <c r="M942" s="24" t="n">
        <f aca="false">IF(F942&lt;=0,0,K942/F942)</f>
        <v>45</v>
      </c>
      <c r="N942" s="21" t="n">
        <v>45</v>
      </c>
      <c r="O942" s="49" t="n">
        <v>1</v>
      </c>
      <c r="P942" s="24" t="n">
        <f aca="false">O942*'Price Groups'!$B$5</f>
        <v>22.5</v>
      </c>
      <c r="Q942" s="26" t="n">
        <f aca="false">IF(OR(N942="",P942=""),"",(N942-P942)/N942)</f>
        <v>0.5</v>
      </c>
      <c r="R942" s="27" t="n">
        <v>1</v>
      </c>
      <c r="S942" s="28" t="n">
        <f aca="false">IF(R942="-",0,IFERROR(VLOOKUP(R942,'Price Groups'!$A$13:$C$17,3,FALSE()),0))</f>
        <v>0.22</v>
      </c>
      <c r="T942" s="22" t="n">
        <f aca="false">IF(OR(N942="",R942="-"),"",CEILING(ROUND(N942*(1+S942),2),IF(N942*(1+S942)&lt;100,0.5,IF(N942*(1+S942)&lt;1000,1,5))))</f>
        <v>55</v>
      </c>
      <c r="U942" s="26" t="n">
        <f aca="false">IF(OR(T942="",P942=""),"",(T942-P942)/T942)</f>
        <v>0.590909090909091</v>
      </c>
      <c r="V942" s="26" t="n">
        <f aca="false">IF(T942="",0,T942/N942-1)</f>
        <v>0.222222222222222</v>
      </c>
      <c r="W942" s="19" t="s">
        <v>94</v>
      </c>
    </row>
    <row r="943" customFormat="false" ht="15" hidden="false" customHeight="false" outlineLevel="0" collapsed="false">
      <c r="A943" s="38" t="n">
        <v>892</v>
      </c>
      <c r="B943" s="38" t="s">
        <v>1119</v>
      </c>
      <c r="C943" s="38" t="s">
        <v>57</v>
      </c>
      <c r="D943" s="38"/>
      <c r="E943" s="38" t="s">
        <v>58</v>
      </c>
      <c r="F943" s="39" t="n">
        <v>7</v>
      </c>
      <c r="G943" s="39" t="n">
        <v>6</v>
      </c>
      <c r="H943" s="40" t="n">
        <v>301.5</v>
      </c>
      <c r="I943" s="40" t="n">
        <v>-4.9</v>
      </c>
      <c r="J943" s="40" t="n">
        <v>0</v>
      </c>
      <c r="K943" s="41" t="n">
        <f aca="false">H943+I943+J943</f>
        <v>296.6</v>
      </c>
      <c r="L943" s="42" t="n">
        <f aca="false">IF($K$1282=0,0,K943/$K$1282)</f>
        <v>2.45698806306065E-005</v>
      </c>
      <c r="M943" s="43" t="n">
        <f aca="false">IF(F943&lt;=0,0,K943/F943)</f>
        <v>42.3714285714286</v>
      </c>
      <c r="N943" s="40" t="n">
        <v>40.7</v>
      </c>
      <c r="O943" s="44" t="n">
        <v>1.27</v>
      </c>
      <c r="P943" s="43" t="n">
        <f aca="false">O943*'Price Groups'!$B$5</f>
        <v>28.575</v>
      </c>
      <c r="Q943" s="45" t="n">
        <f aca="false">IF(OR(N943="",P943=""),"",(N943-P943)/N943)</f>
        <v>0.297911547911548</v>
      </c>
      <c r="R943" s="46" t="n">
        <v>1</v>
      </c>
      <c r="S943" s="47" t="n">
        <f aca="false">IF(R943="-",0,IFERROR(VLOOKUP(R943,'Price Groups'!$A$13:$C$17,3,FALSE()),0))</f>
        <v>0.22</v>
      </c>
      <c r="T943" s="41" t="n">
        <f aca="false">IF(OR(N943="",R943="-"),"",CEILING(ROUND(N943*(1+S943),2),IF(N943*(1+S943)&lt;100,0.5,IF(N943*(1+S943)&lt;1000,1,5))))</f>
        <v>50</v>
      </c>
      <c r="U943" s="45" t="n">
        <f aca="false">IF(OR(T943="",P943=""),"",(T943-P943)/T943)</f>
        <v>0.4285</v>
      </c>
      <c r="V943" s="45" t="n">
        <f aca="false">IF(T943="",0,T943/N943-1)</f>
        <v>0.228501228501228</v>
      </c>
      <c r="W943" s="38" t="s">
        <v>94</v>
      </c>
    </row>
    <row r="944" customFormat="false" ht="15" hidden="false" customHeight="false" outlineLevel="0" collapsed="false">
      <c r="A944" s="19" t="n">
        <v>893</v>
      </c>
      <c r="B944" s="19" t="s">
        <v>1120</v>
      </c>
      <c r="C944" s="19" t="s">
        <v>57</v>
      </c>
      <c r="D944" s="19"/>
      <c r="E944" s="19" t="s">
        <v>58</v>
      </c>
      <c r="F944" s="20" t="n">
        <v>7</v>
      </c>
      <c r="G944" s="20" t="n">
        <v>8</v>
      </c>
      <c r="H944" s="21" t="n">
        <v>1439.91</v>
      </c>
      <c r="I944" s="21" t="n">
        <v>0</v>
      </c>
      <c r="J944" s="21" t="n">
        <v>-319.98</v>
      </c>
      <c r="K944" s="22" t="n">
        <f aca="false">H944+I944+J944</f>
        <v>1119.93</v>
      </c>
      <c r="L944" s="23" t="n">
        <f aca="false">IF($K$1282=0,0,K944/$K$1282)</f>
        <v>9.27732515665378E-005</v>
      </c>
      <c r="M944" s="24" t="n">
        <f aca="false">IF(F944&lt;=0,0,K944/F944)</f>
        <v>159.99</v>
      </c>
      <c r="N944" s="21" t="n">
        <v>159.99</v>
      </c>
      <c r="O944" s="49" t="n">
        <v>3.59</v>
      </c>
      <c r="P944" s="24" t="n">
        <f aca="false">O944*'Price Groups'!$B$5</f>
        <v>80.775</v>
      </c>
      <c r="Q944" s="26" t="n">
        <f aca="false">IF(OR(N944="",P944=""),"",(N944-P944)/N944)</f>
        <v>0.495124695293456</v>
      </c>
      <c r="R944" s="27" t="n">
        <v>1</v>
      </c>
      <c r="S944" s="28" t="n">
        <f aca="false">IF(R944="-",0,IFERROR(VLOOKUP(R944,'Price Groups'!$A$13:$C$17,3,FALSE()),0))</f>
        <v>0.22</v>
      </c>
      <c r="T944" s="22" t="n">
        <f aca="false">IF(OR(N944="",R944="-"),"",CEILING(ROUND(N944*(1+S944),2),IF(N944*(1+S944)&lt;100,0.5,IF(N944*(1+S944)&lt;1000,1,5))))</f>
        <v>196</v>
      </c>
      <c r="U944" s="26" t="n">
        <f aca="false">IF(OR(T944="",P944=""),"",(T944-P944)/T944)</f>
        <v>0.587882653061225</v>
      </c>
      <c r="V944" s="26" t="n">
        <f aca="false">IF(T944="",0,T944/N944-1)</f>
        <v>0.225076567285455</v>
      </c>
      <c r="W944" s="19" t="s">
        <v>94</v>
      </c>
    </row>
    <row r="945" customFormat="false" ht="15" hidden="false" customHeight="false" outlineLevel="0" collapsed="false">
      <c r="A945" s="38" t="n">
        <v>894</v>
      </c>
      <c r="B945" s="38" t="s">
        <v>1121</v>
      </c>
      <c r="C945" s="38" t="s">
        <v>57</v>
      </c>
      <c r="D945" s="38"/>
      <c r="E945" s="38" t="s">
        <v>58</v>
      </c>
      <c r="F945" s="39" t="n">
        <v>7</v>
      </c>
      <c r="G945" s="39" t="n">
        <v>2</v>
      </c>
      <c r="H945" s="40" t="n">
        <v>4249.93</v>
      </c>
      <c r="I945" s="40" t="n">
        <v>0</v>
      </c>
      <c r="J945" s="40" t="n">
        <v>0</v>
      </c>
      <c r="K945" s="41" t="n">
        <f aca="false">H945+I945+J945</f>
        <v>4249.93</v>
      </c>
      <c r="L945" s="42" t="n">
        <f aca="false">IF($K$1282=0,0,K945/$K$1282)</f>
        <v>0.000352057561660261</v>
      </c>
      <c r="M945" s="43" t="n">
        <f aca="false">IF(F945&lt;=0,0,K945/F945)</f>
        <v>607.132857142857</v>
      </c>
      <c r="N945" s="40" t="n">
        <v>649.99</v>
      </c>
      <c r="O945" s="44" t="n">
        <v>18.78</v>
      </c>
      <c r="P945" s="43" t="n">
        <f aca="false">O945*'Price Groups'!$B$5</f>
        <v>422.55</v>
      </c>
      <c r="Q945" s="45" t="n">
        <f aca="false">IF(OR(N945="",P945=""),"",(N945-P945)/N945)</f>
        <v>0.349913075585778</v>
      </c>
      <c r="R945" s="46" t="n">
        <v>1</v>
      </c>
      <c r="S945" s="47" t="n">
        <f aca="false">IF(R945="-",0,IFERROR(VLOOKUP(R945,'Price Groups'!$A$13:$C$17,3,FALSE()),0))</f>
        <v>0.22</v>
      </c>
      <c r="T945" s="41" t="n">
        <f aca="false">IF(OR(N945="",R945="-"),"",CEILING(ROUND(N945*(1+S945),2),IF(N945*(1+S945)&lt;100,0.5,IF(N945*(1+S945)&lt;1000,1,5))))</f>
        <v>793</v>
      </c>
      <c r="U945" s="45" t="n">
        <f aca="false">IF(OR(T945="",P945=""),"",(T945-P945)/T945)</f>
        <v>0.467150063051702</v>
      </c>
      <c r="V945" s="45" t="n">
        <f aca="false">IF(T945="",0,T945/N945-1)</f>
        <v>0.220018769519531</v>
      </c>
      <c r="W945" s="38" t="s">
        <v>94</v>
      </c>
    </row>
    <row r="946" customFormat="false" ht="15" hidden="false" customHeight="false" outlineLevel="0" collapsed="false">
      <c r="A946" s="19" t="n">
        <v>895</v>
      </c>
      <c r="B946" s="19" t="s">
        <v>1122</v>
      </c>
      <c r="C946" s="19" t="s">
        <v>57</v>
      </c>
      <c r="D946" s="19"/>
      <c r="E946" s="19" t="s">
        <v>58</v>
      </c>
      <c r="F946" s="20" t="n">
        <v>7</v>
      </c>
      <c r="G946" s="20" t="n">
        <v>5</v>
      </c>
      <c r="H946" s="21" t="n">
        <v>594.93</v>
      </c>
      <c r="I946" s="21" t="n">
        <v>0</v>
      </c>
      <c r="J946" s="21" t="n">
        <v>0</v>
      </c>
      <c r="K946" s="22" t="n">
        <f aca="false">H946+I946+J946</f>
        <v>594.93</v>
      </c>
      <c r="L946" s="23" t="n">
        <f aca="false">IF($K$1282=0,0,K946/$K$1282)</f>
        <v>4.92830717584852E-005</v>
      </c>
      <c r="M946" s="24" t="n">
        <f aca="false">IF(F946&lt;=0,0,K946/F946)</f>
        <v>84.99</v>
      </c>
      <c r="N946" s="21" t="n">
        <v>84.99</v>
      </c>
      <c r="O946" s="49" t="n">
        <v>1.82</v>
      </c>
      <c r="P946" s="24" t="n">
        <f aca="false">O946*'Price Groups'!$B$5</f>
        <v>40.95</v>
      </c>
      <c r="Q946" s="26" t="n">
        <f aca="false">IF(OR(N946="",P946=""),"",(N946-P946)/N946)</f>
        <v>0.518178609248147</v>
      </c>
      <c r="R946" s="27" t="n">
        <v>1</v>
      </c>
      <c r="S946" s="28" t="n">
        <f aca="false">IF(R946="-",0,IFERROR(VLOOKUP(R946,'Price Groups'!$A$13:$C$17,3,FALSE()),0))</f>
        <v>0.22</v>
      </c>
      <c r="T946" s="22" t="n">
        <f aca="false">IF(OR(N946="",R946="-"),"",CEILING(ROUND(N946*(1+S946),2),IF(N946*(1+S946)&lt;100,0.5,IF(N946*(1+S946)&lt;1000,1,5))))</f>
        <v>104</v>
      </c>
      <c r="U946" s="26" t="n">
        <f aca="false">IF(OR(T946="",P946=""),"",(T946-P946)/T946)</f>
        <v>0.60625</v>
      </c>
      <c r="V946" s="26" t="n">
        <f aca="false">IF(T946="",0,T946/N946-1)</f>
        <v>0.22367337333804</v>
      </c>
      <c r="W946" s="19" t="s">
        <v>94</v>
      </c>
    </row>
    <row r="947" customFormat="false" ht="15" hidden="false" customHeight="false" outlineLevel="0" collapsed="false">
      <c r="A947" s="38" t="n">
        <v>896</v>
      </c>
      <c r="B947" s="38" t="s">
        <v>1123</v>
      </c>
      <c r="C947" s="38" t="s">
        <v>57</v>
      </c>
      <c r="D947" s="38"/>
      <c r="E947" s="38" t="s">
        <v>58</v>
      </c>
      <c r="F947" s="39" t="n">
        <v>6</v>
      </c>
      <c r="G947" s="39" t="n">
        <v>6</v>
      </c>
      <c r="H947" s="40" t="n">
        <v>4422</v>
      </c>
      <c r="I947" s="40" t="n">
        <v>0</v>
      </c>
      <c r="J947" s="40" t="n">
        <v>0</v>
      </c>
      <c r="K947" s="41" t="n">
        <f aca="false">H947+I947+J947</f>
        <v>4422</v>
      </c>
      <c r="L947" s="42" t="n">
        <f aca="false">IF($K$1282=0,0,K947/$K$1282)</f>
        <v>0.000366311571640397</v>
      </c>
      <c r="M947" s="43" t="n">
        <f aca="false">IF(F947&lt;=0,0,K947/F947)</f>
        <v>737</v>
      </c>
      <c r="N947" s="40" t="n">
        <v>737</v>
      </c>
      <c r="O947" s="44" t="n">
        <v>10.89</v>
      </c>
      <c r="P947" s="43" t="n">
        <f aca="false">O947*'Price Groups'!$B$5</f>
        <v>245.025</v>
      </c>
      <c r="Q947" s="45" t="n">
        <f aca="false">IF(OR(N947="",P947=""),"",(N947-P947)/N947)</f>
        <v>0.667537313432836</v>
      </c>
      <c r="R947" s="46" t="n">
        <v>1</v>
      </c>
      <c r="S947" s="47" t="n">
        <f aca="false">IF(R947="-",0,IFERROR(VLOOKUP(R947,'Price Groups'!$A$13:$C$17,3,FALSE()),0))</f>
        <v>0.22</v>
      </c>
      <c r="T947" s="41" t="n">
        <f aca="false">IF(OR(N947="",R947="-"),"",CEILING(ROUND(N947*(1+S947),2),IF(N947*(1+S947)&lt;100,0.5,IF(N947*(1+S947)&lt;1000,1,5))))</f>
        <v>900</v>
      </c>
      <c r="U947" s="45" t="n">
        <f aca="false">IF(OR(T947="",P947=""),"",(T947-P947)/T947)</f>
        <v>0.72775</v>
      </c>
      <c r="V947" s="45" t="n">
        <f aca="false">IF(T947="",0,T947/N947-1)</f>
        <v>0.221166892808684</v>
      </c>
      <c r="W947" s="38" t="s">
        <v>94</v>
      </c>
    </row>
    <row r="948" customFormat="false" ht="15" hidden="false" customHeight="false" outlineLevel="0" collapsed="false">
      <c r="A948" s="19" t="n">
        <v>897</v>
      </c>
      <c r="B948" s="19" t="s">
        <v>1124</v>
      </c>
      <c r="C948" s="19" t="s">
        <v>57</v>
      </c>
      <c r="D948" s="19"/>
      <c r="E948" s="19" t="s">
        <v>58</v>
      </c>
      <c r="F948" s="20" t="n">
        <v>6</v>
      </c>
      <c r="G948" s="20" t="n">
        <v>6</v>
      </c>
      <c r="H948" s="21" t="n">
        <v>59.88</v>
      </c>
      <c r="I948" s="21" t="n">
        <v>-1.1</v>
      </c>
      <c r="J948" s="21" t="n">
        <v>0</v>
      </c>
      <c r="K948" s="22" t="n">
        <f aca="false">H948+I948+J948</f>
        <v>58.78</v>
      </c>
      <c r="L948" s="23" t="n">
        <f aca="false">IF($K$1282=0,0,K948/$K$1282)</f>
        <v>4.8692433697473E-006</v>
      </c>
      <c r="M948" s="24" t="n">
        <f aca="false">IF(F948&lt;=0,0,K948/F948)</f>
        <v>9.79666666666667</v>
      </c>
      <c r="N948" s="21" t="n">
        <v>7.94</v>
      </c>
      <c r="O948" s="49" t="n">
        <v>0.28</v>
      </c>
      <c r="P948" s="24" t="n">
        <f aca="false">O948*'Price Groups'!$B$5</f>
        <v>6.3</v>
      </c>
      <c r="Q948" s="26" t="n">
        <f aca="false">IF(OR(N948="",P948=""),"",(N948-P948)/N948)</f>
        <v>0.206549118387909</v>
      </c>
      <c r="R948" s="27" t="n">
        <v>1</v>
      </c>
      <c r="S948" s="28" t="n">
        <f aca="false">IF(R948="-",0,IFERROR(VLOOKUP(R948,'Price Groups'!$A$13:$C$17,3,FALSE()),0))</f>
        <v>0.22</v>
      </c>
      <c r="T948" s="22" t="n">
        <f aca="false">IF(OR(N948="",R948="-"),"",CEILING(ROUND(N948*(1+S948),2),IF(N948*(1+S948)&lt;100,0.5,IF(N948*(1+S948)&lt;1000,1,5))))</f>
        <v>10</v>
      </c>
      <c r="U948" s="26" t="n">
        <f aca="false">IF(OR(T948="",P948=""),"",(T948-P948)/T948)</f>
        <v>0.37</v>
      </c>
      <c r="V948" s="26" t="n">
        <f aca="false">IF(T948="",0,T948/N948-1)</f>
        <v>0.259445843828715</v>
      </c>
      <c r="W948" s="19" t="s">
        <v>333</v>
      </c>
    </row>
    <row r="949" customFormat="false" ht="15" hidden="false" customHeight="false" outlineLevel="0" collapsed="false">
      <c r="A949" s="38" t="n">
        <v>898</v>
      </c>
      <c r="B949" s="38" t="s">
        <v>302</v>
      </c>
      <c r="C949" s="38" t="s">
        <v>307</v>
      </c>
      <c r="D949" s="38" t="s">
        <v>301</v>
      </c>
      <c r="E949" s="38" t="s">
        <v>58</v>
      </c>
      <c r="F949" s="39" t="n">
        <v>6</v>
      </c>
      <c r="G949" s="39" t="n">
        <v>6</v>
      </c>
      <c r="H949" s="40" t="n">
        <v>5414.95</v>
      </c>
      <c r="I949" s="40" t="n">
        <v>-103.5</v>
      </c>
      <c r="J949" s="40" t="n">
        <v>0</v>
      </c>
      <c r="K949" s="41" t="n">
        <f aca="false">H949+I949+J949</f>
        <v>5311.45</v>
      </c>
      <c r="L949" s="42" t="n">
        <f aca="false">IF($K$1282=0,0,K949/$K$1282)</f>
        <v>0.000439992220079011</v>
      </c>
      <c r="M949" s="43" t="n">
        <f aca="false">IF(F949&lt;=0,0,K949/F949)</f>
        <v>885.241666666667</v>
      </c>
      <c r="N949" s="40" t="n">
        <v>935</v>
      </c>
      <c r="O949" s="44" t="n">
        <v>17.55</v>
      </c>
      <c r="P949" s="43" t="n">
        <f aca="false">O949*'Price Groups'!$B$5</f>
        <v>394.875</v>
      </c>
      <c r="Q949" s="45" t="n">
        <f aca="false">IF(OR(N949="",P949=""),"",(N949-P949)/N949)</f>
        <v>0.577673796791444</v>
      </c>
      <c r="R949" s="46" t="n">
        <v>3</v>
      </c>
      <c r="S949" s="47" t="n">
        <f aca="false">IF(R949="-",0,IFERROR(VLOOKUP(R949,'Price Groups'!$A$13:$C$17,3,FALSE()),0))</f>
        <v>0.16</v>
      </c>
      <c r="T949" s="41" t="n">
        <f aca="false">IF(OR(N949="",R949="-"),"",CEILING(ROUND(N949*(1+S949),2),IF(N949*(1+S949)&lt;100,0.5,IF(N949*(1+S949)&lt;1000,1,5))))</f>
        <v>1085</v>
      </c>
      <c r="U949" s="45" t="n">
        <f aca="false">IF(OR(T949="",P949=""),"",(T949-P949)/T949)</f>
        <v>0.636059907834101</v>
      </c>
      <c r="V949" s="45" t="n">
        <f aca="false">IF(T949="",0,T949/N949-1)</f>
        <v>0.160427807486631</v>
      </c>
      <c r="W949" s="38" t="s">
        <v>1125</v>
      </c>
    </row>
    <row r="950" customFormat="false" ht="15" hidden="false" customHeight="false" outlineLevel="0" collapsed="false">
      <c r="A950" s="19" t="n">
        <v>899</v>
      </c>
      <c r="B950" s="19" t="s">
        <v>1126</v>
      </c>
      <c r="C950" s="19" t="s">
        <v>57</v>
      </c>
      <c r="D950" s="19"/>
      <c r="E950" s="19" t="s">
        <v>58</v>
      </c>
      <c r="F950" s="20" t="n">
        <v>6</v>
      </c>
      <c r="G950" s="20" t="n">
        <v>4</v>
      </c>
      <c r="H950" s="21" t="n">
        <v>909.93</v>
      </c>
      <c r="I950" s="21" t="n">
        <v>-38.97</v>
      </c>
      <c r="J950" s="21" t="n">
        <v>-129.99</v>
      </c>
      <c r="K950" s="22" t="n">
        <f aca="false">H950+I950+J950</f>
        <v>740.97</v>
      </c>
      <c r="L950" s="23" t="n">
        <f aca="false">IF($K$1282=0,0,K950/$K$1282)</f>
        <v>6.13807972045195E-005</v>
      </c>
      <c r="M950" s="24" t="n">
        <f aca="false">IF(F950&lt;=0,0,K950/F950)</f>
        <v>123.495</v>
      </c>
      <c r="N950" s="21" t="n">
        <v>83.71</v>
      </c>
      <c r="O950" s="49" t="n">
        <v>2.83</v>
      </c>
      <c r="P950" s="24" t="n">
        <f aca="false">O950*'Price Groups'!$B$5</f>
        <v>63.675</v>
      </c>
      <c r="Q950" s="26" t="n">
        <f aca="false">IF(OR(N950="",P950=""),"",(N950-P950)/N950)</f>
        <v>0.239338191374985</v>
      </c>
      <c r="R950" s="27" t="n">
        <v>1</v>
      </c>
      <c r="S950" s="28" t="n">
        <f aca="false">IF(R950="-",0,IFERROR(VLOOKUP(R950,'Price Groups'!$A$13:$C$17,3,FALSE()),0))</f>
        <v>0.22</v>
      </c>
      <c r="T950" s="22" t="n">
        <f aca="false">IF(OR(N950="",R950="-"),"",CEILING(ROUND(N950*(1+S950),2),IF(N950*(1+S950)&lt;100,0.5,IF(N950*(1+S950)&lt;1000,1,5))))</f>
        <v>103</v>
      </c>
      <c r="U950" s="26" t="n">
        <f aca="false">IF(OR(T950="",P950=""),"",(T950-P950)/T950)</f>
        <v>0.381796116504854</v>
      </c>
      <c r="V950" s="26" t="n">
        <f aca="false">IF(T950="",0,T950/N950-1)</f>
        <v>0.230438418349062</v>
      </c>
      <c r="W950" s="19" t="s">
        <v>244</v>
      </c>
    </row>
    <row r="951" customFormat="false" ht="15" hidden="false" customHeight="false" outlineLevel="0" collapsed="false">
      <c r="A951" s="38" t="n">
        <v>900</v>
      </c>
      <c r="B951" s="38" t="s">
        <v>1127</v>
      </c>
      <c r="C951" s="38" t="s">
        <v>57</v>
      </c>
      <c r="D951" s="38"/>
      <c r="E951" s="38" t="s">
        <v>58</v>
      </c>
      <c r="F951" s="39" t="n">
        <v>6</v>
      </c>
      <c r="G951" s="39" t="n">
        <v>6</v>
      </c>
      <c r="H951" s="40" t="n">
        <v>599.94</v>
      </c>
      <c r="I951" s="40" t="n">
        <v>-10</v>
      </c>
      <c r="J951" s="40" t="n">
        <v>0</v>
      </c>
      <c r="K951" s="41" t="n">
        <f aca="false">H951+I951+J951</f>
        <v>589.94</v>
      </c>
      <c r="L951" s="42" t="n">
        <f aca="false">IF($K$1282=0,0,K951/$K$1282)</f>
        <v>4.88697079542144E-005</v>
      </c>
      <c r="M951" s="43" t="n">
        <f aca="false">IF(F951&lt;=0,0,K951/F951)</f>
        <v>98.3233333333333</v>
      </c>
      <c r="N951" s="40" t="n">
        <v>99.99</v>
      </c>
      <c r="O951" s="44" t="n">
        <v>3.04</v>
      </c>
      <c r="P951" s="43" t="n">
        <f aca="false">O951*'Price Groups'!$B$5</f>
        <v>68.4</v>
      </c>
      <c r="Q951" s="45" t="n">
        <f aca="false">IF(OR(N951="",P951=""),"",(N951-P951)/N951)</f>
        <v>0.315931593159316</v>
      </c>
      <c r="R951" s="46" t="n">
        <v>1</v>
      </c>
      <c r="S951" s="47" t="n">
        <f aca="false">IF(R951="-",0,IFERROR(VLOOKUP(R951,'Price Groups'!$A$13:$C$17,3,FALSE()),0))</f>
        <v>0.22</v>
      </c>
      <c r="T951" s="41" t="n">
        <f aca="false">IF(OR(N951="",R951="-"),"",CEILING(ROUND(N951*(1+S951),2),IF(N951*(1+S951)&lt;100,0.5,IF(N951*(1+S951)&lt;1000,1,5))))</f>
        <v>122</v>
      </c>
      <c r="U951" s="45" t="n">
        <f aca="false">IF(OR(T951="",P951=""),"",(T951-P951)/T951)</f>
        <v>0.439344262295082</v>
      </c>
      <c r="V951" s="45" t="n">
        <f aca="false">IF(T951="",0,T951/N951-1)</f>
        <v>0.22012201220122</v>
      </c>
      <c r="W951" s="38" t="s">
        <v>94</v>
      </c>
    </row>
    <row r="952" customFormat="false" ht="15" hidden="false" customHeight="false" outlineLevel="0" collapsed="false">
      <c r="A952" s="19" t="n">
        <v>901</v>
      </c>
      <c r="B952" s="19" t="s">
        <v>343</v>
      </c>
      <c r="C952" s="19" t="s">
        <v>307</v>
      </c>
      <c r="D952" s="19" t="s">
        <v>342</v>
      </c>
      <c r="E952" s="19" t="s">
        <v>58</v>
      </c>
      <c r="F952" s="20" t="n">
        <v>6</v>
      </c>
      <c r="G952" s="20" t="n">
        <v>6</v>
      </c>
      <c r="H952" s="21" t="n">
        <v>1722.95</v>
      </c>
      <c r="I952" s="21" t="n">
        <v>0</v>
      </c>
      <c r="J952" s="21" t="n">
        <v>0</v>
      </c>
      <c r="K952" s="22" t="n">
        <f aca="false">H952+I952+J952</f>
        <v>1722.95</v>
      </c>
      <c r="L952" s="23" t="n">
        <f aca="false">IF($K$1282=0,0,K952/$K$1282)</f>
        <v>0.000142726486286256</v>
      </c>
      <c r="M952" s="24" t="n">
        <f aca="false">IF(F952&lt;=0,0,K952/F952)</f>
        <v>287.158333333333</v>
      </c>
      <c r="N952" s="21" t="n">
        <v>348</v>
      </c>
      <c r="O952" s="49" t="n">
        <v>7.44</v>
      </c>
      <c r="P952" s="24" t="n">
        <f aca="false">O952*'Price Groups'!$B$5</f>
        <v>167.4</v>
      </c>
      <c r="Q952" s="26" t="n">
        <f aca="false">IF(OR(N952="",P952=""),"",(N952-P952)/N952)</f>
        <v>0.518965517241379</v>
      </c>
      <c r="R952" s="27" t="n">
        <v>1</v>
      </c>
      <c r="S952" s="28" t="n">
        <f aca="false">IF(R952="-",0,IFERROR(VLOOKUP(R952,'Price Groups'!$A$13:$C$17,3,FALSE()),0))</f>
        <v>0.22</v>
      </c>
      <c r="T952" s="22" t="n">
        <f aca="false">IF(OR(N952="",R952="-"),"",CEILING(ROUND(N952*(1+S952),2),IF(N952*(1+S952)&lt;100,0.5,IF(N952*(1+S952)&lt;1000,1,5))))</f>
        <v>425</v>
      </c>
      <c r="U952" s="26" t="n">
        <f aca="false">IF(OR(T952="",P952=""),"",(T952-P952)/T952)</f>
        <v>0.606117647058824</v>
      </c>
      <c r="V952" s="26" t="n">
        <f aca="false">IF(T952="",0,T952/N952-1)</f>
        <v>0.221264367816092</v>
      </c>
      <c r="W952" s="19" t="s">
        <v>1128</v>
      </c>
    </row>
    <row r="953" customFormat="false" ht="15" hidden="false" customHeight="false" outlineLevel="0" collapsed="false">
      <c r="A953" s="38" t="n">
        <v>902</v>
      </c>
      <c r="B953" s="38" t="s">
        <v>1129</v>
      </c>
      <c r="C953" s="38" t="s">
        <v>57</v>
      </c>
      <c r="D953" s="38"/>
      <c r="E953" s="38" t="s">
        <v>58</v>
      </c>
      <c r="F953" s="39" t="n">
        <v>6</v>
      </c>
      <c r="G953" s="39" t="n">
        <v>6</v>
      </c>
      <c r="H953" s="40" t="n">
        <v>327.39</v>
      </c>
      <c r="I953" s="40" t="n">
        <v>-2.25</v>
      </c>
      <c r="J953" s="40" t="n">
        <v>-46.77</v>
      </c>
      <c r="K953" s="41" t="n">
        <f aca="false">H953+I953+J953</f>
        <v>278.37</v>
      </c>
      <c r="L953" s="42" t="n">
        <f aca="false">IF($K$1282=0,0,K953/$K$1282)</f>
        <v>2.30597359107954E-005</v>
      </c>
      <c r="M953" s="43" t="n">
        <f aca="false">IF(F953&lt;=0,0,K953/F953)</f>
        <v>46.395</v>
      </c>
      <c r="N953" s="40" t="n">
        <v>79.99</v>
      </c>
      <c r="O953" s="44" t="n">
        <v>1.92</v>
      </c>
      <c r="P953" s="43" t="n">
        <f aca="false">O953*'Price Groups'!$B$5</f>
        <v>43.2</v>
      </c>
      <c r="Q953" s="45" t="n">
        <f aca="false">IF(OR(N953="",P953=""),"",(N953-P953)/N953)</f>
        <v>0.459932491561445</v>
      </c>
      <c r="R953" s="46" t="n">
        <v>1</v>
      </c>
      <c r="S953" s="47" t="n">
        <f aca="false">IF(R953="-",0,IFERROR(VLOOKUP(R953,'Price Groups'!$A$13:$C$17,3,FALSE()),0))</f>
        <v>0.22</v>
      </c>
      <c r="T953" s="41" t="n">
        <f aca="false">IF(OR(N953="",R953="-"),"",CEILING(ROUND(N953*(1+S953),2),IF(N953*(1+S953)&lt;100,0.5,IF(N953*(1+S953)&lt;1000,1,5))))</f>
        <v>98</v>
      </c>
      <c r="U953" s="45" t="n">
        <f aca="false">IF(OR(T953="",P953=""),"",(T953-P953)/T953)</f>
        <v>0.559183673469388</v>
      </c>
      <c r="V953" s="45" t="n">
        <f aca="false">IF(T953="",0,T953/N953-1)</f>
        <v>0.225153144143018</v>
      </c>
      <c r="W953" s="38" t="s">
        <v>94</v>
      </c>
    </row>
    <row r="954" customFormat="false" ht="15" hidden="false" customHeight="false" outlineLevel="0" collapsed="false">
      <c r="A954" s="19" t="n">
        <v>903</v>
      </c>
      <c r="B954" s="19" t="s">
        <v>1130</v>
      </c>
      <c r="C954" s="19" t="s">
        <v>57</v>
      </c>
      <c r="D954" s="19"/>
      <c r="E954" s="19" t="s">
        <v>58</v>
      </c>
      <c r="F954" s="20" t="n">
        <v>6</v>
      </c>
      <c r="G954" s="20" t="n">
        <v>6</v>
      </c>
      <c r="H954" s="21" t="n">
        <v>699.93</v>
      </c>
      <c r="I954" s="21" t="n">
        <v>0</v>
      </c>
      <c r="J954" s="21" t="n">
        <v>-99.99</v>
      </c>
      <c r="K954" s="22" t="n">
        <f aca="false">H954+I954+J954</f>
        <v>599.94</v>
      </c>
      <c r="L954" s="23" t="n">
        <f aca="false">IF($K$1282=0,0,K954/$K$1282)</f>
        <v>4.96980923315106E-005</v>
      </c>
      <c r="M954" s="24" t="n">
        <f aca="false">IF(F954&lt;=0,0,K954/F954)</f>
        <v>99.99</v>
      </c>
      <c r="N954" s="21" t="n">
        <v>99.99</v>
      </c>
      <c r="O954" s="49" t="n">
        <v>2.1</v>
      </c>
      <c r="P954" s="24" t="n">
        <f aca="false">O954*'Price Groups'!$B$5</f>
        <v>47.25</v>
      </c>
      <c r="Q954" s="26" t="n">
        <f aca="false">IF(OR(N954="",P954=""),"",(N954-P954)/N954)</f>
        <v>0.527452745274528</v>
      </c>
      <c r="R954" s="27" t="n">
        <v>1</v>
      </c>
      <c r="S954" s="28" t="n">
        <f aca="false">IF(R954="-",0,IFERROR(VLOOKUP(R954,'Price Groups'!$A$13:$C$17,3,FALSE()),0))</f>
        <v>0.22</v>
      </c>
      <c r="T954" s="22" t="n">
        <f aca="false">IF(OR(N954="",R954="-"),"",CEILING(ROUND(N954*(1+S954),2),IF(N954*(1+S954)&lt;100,0.5,IF(N954*(1+S954)&lt;1000,1,5))))</f>
        <v>122</v>
      </c>
      <c r="U954" s="26" t="n">
        <f aca="false">IF(OR(T954="",P954=""),"",(T954-P954)/T954)</f>
        <v>0.612704918032787</v>
      </c>
      <c r="V954" s="26" t="n">
        <f aca="false">IF(T954="",0,T954/N954-1)</f>
        <v>0.22012201220122</v>
      </c>
      <c r="W954" s="19" t="s">
        <v>94</v>
      </c>
    </row>
    <row r="955" customFormat="false" ht="15" hidden="false" customHeight="false" outlineLevel="0" collapsed="false">
      <c r="A955" s="38" t="n">
        <v>904</v>
      </c>
      <c r="B955" s="38" t="s">
        <v>1131</v>
      </c>
      <c r="C955" s="38" t="s">
        <v>57</v>
      </c>
      <c r="D955" s="38"/>
      <c r="E955" s="38" t="s">
        <v>58</v>
      </c>
      <c r="F955" s="39" t="n">
        <v>6</v>
      </c>
      <c r="G955" s="39" t="n">
        <v>7</v>
      </c>
      <c r="H955" s="40" t="n">
        <v>3229.86</v>
      </c>
      <c r="I955" s="40" t="n">
        <v>0</v>
      </c>
      <c r="J955" s="40" t="n">
        <v>-1759.92</v>
      </c>
      <c r="K955" s="41" t="n">
        <f aca="false">H955+I955+J955</f>
        <v>1469.94</v>
      </c>
      <c r="L955" s="42" t="n">
        <f aca="false">IF($K$1282=0,0,K955/$K$1282)</f>
        <v>0.000121767533156284</v>
      </c>
      <c r="M955" s="43" t="n">
        <f aca="false">IF(F955&lt;=0,0,K955/F955)</f>
        <v>244.99</v>
      </c>
      <c r="N955" s="40" t="n">
        <v>249.99</v>
      </c>
      <c r="O955" s="44" t="n">
        <v>7.84</v>
      </c>
      <c r="P955" s="43" t="n">
        <f aca="false">O955*'Price Groups'!$B$5</f>
        <v>176.4</v>
      </c>
      <c r="Q955" s="45" t="n">
        <f aca="false">IF(OR(N955="",P955=""),"",(N955-P955)/N955)</f>
        <v>0.294371774870995</v>
      </c>
      <c r="R955" s="46" t="n">
        <v>1</v>
      </c>
      <c r="S955" s="47" t="n">
        <f aca="false">IF(R955="-",0,IFERROR(VLOOKUP(R955,'Price Groups'!$A$13:$C$17,3,FALSE()),0))</f>
        <v>0.22</v>
      </c>
      <c r="T955" s="41" t="n">
        <f aca="false">IF(OR(N955="",R955="-"),"",CEILING(ROUND(N955*(1+S955),2),IF(N955*(1+S955)&lt;100,0.5,IF(N955*(1+S955)&lt;1000,1,5))))</f>
        <v>305</v>
      </c>
      <c r="U955" s="45" t="n">
        <f aca="false">IF(OR(T955="",P955=""),"",(T955-P955)/T955)</f>
        <v>0.421639344262295</v>
      </c>
      <c r="V955" s="45" t="n">
        <f aca="false">IF(T955="",0,T955/N955-1)</f>
        <v>0.220048801952078</v>
      </c>
      <c r="W955" s="38" t="s">
        <v>94</v>
      </c>
    </row>
    <row r="956" customFormat="false" ht="15" hidden="false" customHeight="false" outlineLevel="0" collapsed="false">
      <c r="A956" s="19" t="n">
        <v>905</v>
      </c>
      <c r="B956" s="19" t="s">
        <v>1132</v>
      </c>
      <c r="C956" s="19" t="s">
        <v>57</v>
      </c>
      <c r="D956" s="19"/>
      <c r="E956" s="19" t="s">
        <v>58</v>
      </c>
      <c r="F956" s="20" t="n">
        <v>6</v>
      </c>
      <c r="G956" s="20" t="n">
        <v>4</v>
      </c>
      <c r="H956" s="21" t="n">
        <v>390</v>
      </c>
      <c r="I956" s="21" t="n">
        <v>0</v>
      </c>
      <c r="J956" s="21" t="n">
        <v>-156</v>
      </c>
      <c r="K956" s="22" t="n">
        <f aca="false">H956+I956+J956</f>
        <v>234</v>
      </c>
      <c r="L956" s="23" t="n">
        <f aca="false">IF($K$1282=0,0,K956/$K$1282)</f>
        <v>1.9384194428732E-005</v>
      </c>
      <c r="M956" s="24" t="n">
        <f aca="false">IF(F956&lt;=0,0,K956/F956)</f>
        <v>39</v>
      </c>
      <c r="N956" s="21" t="n">
        <v>39</v>
      </c>
      <c r="O956" s="49" t="n">
        <v>1.04</v>
      </c>
      <c r="P956" s="24" t="n">
        <f aca="false">O956*'Price Groups'!$B$5</f>
        <v>23.4</v>
      </c>
      <c r="Q956" s="26" t="n">
        <f aca="false">IF(OR(N956="",P956=""),"",(N956-P956)/N956)</f>
        <v>0.4</v>
      </c>
      <c r="R956" s="27" t="n">
        <v>1</v>
      </c>
      <c r="S956" s="28" t="n">
        <f aca="false">IF(R956="-",0,IFERROR(VLOOKUP(R956,'Price Groups'!$A$13:$C$17,3,FALSE()),0))</f>
        <v>0.22</v>
      </c>
      <c r="T956" s="22" t="n">
        <f aca="false">IF(OR(N956="",R956="-"),"",CEILING(ROUND(N956*(1+S956),2),IF(N956*(1+S956)&lt;100,0.5,IF(N956*(1+S956)&lt;1000,1,5))))</f>
        <v>48</v>
      </c>
      <c r="U956" s="26" t="n">
        <f aca="false">IF(OR(T956="",P956=""),"",(T956-P956)/T956)</f>
        <v>0.5125</v>
      </c>
      <c r="V956" s="26" t="n">
        <f aca="false">IF(T956="",0,T956/N956-1)</f>
        <v>0.230769230769231</v>
      </c>
      <c r="W956" s="19" t="s">
        <v>94</v>
      </c>
    </row>
    <row r="957" customFormat="false" ht="15" hidden="false" customHeight="false" outlineLevel="0" collapsed="false">
      <c r="A957" s="38" t="n">
        <v>906</v>
      </c>
      <c r="B957" s="38" t="s">
        <v>1133</v>
      </c>
      <c r="C957" s="38" t="s">
        <v>57</v>
      </c>
      <c r="D957" s="38"/>
      <c r="E957" s="38" t="s">
        <v>58</v>
      </c>
      <c r="F957" s="39" t="n">
        <v>6</v>
      </c>
      <c r="G957" s="39" t="n">
        <v>5</v>
      </c>
      <c r="H957" s="40" t="n">
        <v>989.94</v>
      </c>
      <c r="I957" s="40" t="n">
        <v>0</v>
      </c>
      <c r="J957" s="40" t="n">
        <v>0</v>
      </c>
      <c r="K957" s="41" t="n">
        <f aca="false">H957+I957+J957</f>
        <v>989.94</v>
      </c>
      <c r="L957" s="42" t="n">
        <f aca="false">IF($K$1282=0,0,K957/$K$1282)</f>
        <v>8.2005083046064E-005</v>
      </c>
      <c r="M957" s="43" t="n">
        <f aca="false">IF(F957&lt;=0,0,K957/F957)</f>
        <v>164.99</v>
      </c>
      <c r="N957" s="40" t="n">
        <v>137.3</v>
      </c>
      <c r="O957" s="44" t="n">
        <v>5.57</v>
      </c>
      <c r="P957" s="43" t="n">
        <f aca="false">O957*'Price Groups'!$B$5</f>
        <v>125.325</v>
      </c>
      <c r="Q957" s="45" t="n">
        <f aca="false">IF(OR(N957="",P957=""),"",(N957-P957)/N957)</f>
        <v>0.0872177713037146</v>
      </c>
      <c r="R957" s="46" t="n">
        <v>1</v>
      </c>
      <c r="S957" s="47" t="n">
        <f aca="false">IF(R957="-",0,IFERROR(VLOOKUP(R957,'Price Groups'!$A$13:$C$17,3,FALSE()),0))</f>
        <v>0.22</v>
      </c>
      <c r="T957" s="41" t="n">
        <f aca="false">IF(OR(N957="",R957="-"),"",CEILING(ROUND(N957*(1+S957),2),IF(N957*(1+S957)&lt;100,0.5,IF(N957*(1+S957)&lt;1000,1,5))))</f>
        <v>168</v>
      </c>
      <c r="U957" s="45" t="n">
        <f aca="false">IF(OR(T957="",P957=""),"",(T957-P957)/T957)</f>
        <v>0.254017857142857</v>
      </c>
      <c r="V957" s="45" t="n">
        <f aca="false">IF(T957="",0,T957/N957-1)</f>
        <v>0.223597960670066</v>
      </c>
      <c r="W957" s="38" t="s">
        <v>857</v>
      </c>
    </row>
    <row r="958" customFormat="false" ht="15" hidden="false" customHeight="false" outlineLevel="0" collapsed="false">
      <c r="A958" s="19" t="n">
        <v>907</v>
      </c>
      <c r="B958" s="19" t="s">
        <v>1134</v>
      </c>
      <c r="C958" s="19" t="s">
        <v>57</v>
      </c>
      <c r="D958" s="19"/>
      <c r="E958" s="19" t="s">
        <v>58</v>
      </c>
      <c r="F958" s="20" t="n">
        <v>6</v>
      </c>
      <c r="G958" s="20" t="n">
        <v>6</v>
      </c>
      <c r="H958" s="21" t="n">
        <v>1098.4</v>
      </c>
      <c r="I958" s="21" t="n">
        <v>0</v>
      </c>
      <c r="J958" s="21" t="n">
        <v>-274.6</v>
      </c>
      <c r="K958" s="22" t="n">
        <f aca="false">H958+I958+J958</f>
        <v>823.8</v>
      </c>
      <c r="L958" s="23" t="n">
        <f aca="false">IF($K$1282=0,0,K958/$K$1282)</f>
        <v>6.82423050016643E-005</v>
      </c>
      <c r="M958" s="24" t="n">
        <f aca="false">IF(F958&lt;=0,0,K958/F958)</f>
        <v>137.3</v>
      </c>
      <c r="N958" s="21" t="n">
        <v>137.3</v>
      </c>
      <c r="O958" s="49" t="n">
        <v>5.57</v>
      </c>
      <c r="P958" s="24" t="n">
        <f aca="false">O958*'Price Groups'!$B$5</f>
        <v>125.325</v>
      </c>
      <c r="Q958" s="26" t="n">
        <f aca="false">IF(OR(N958="",P958=""),"",(N958-P958)/N958)</f>
        <v>0.0872177713037146</v>
      </c>
      <c r="R958" s="27" t="n">
        <v>1</v>
      </c>
      <c r="S958" s="28" t="n">
        <f aca="false">IF(R958="-",0,IFERROR(VLOOKUP(R958,'Price Groups'!$A$13:$C$17,3,FALSE()),0))</f>
        <v>0.22</v>
      </c>
      <c r="T958" s="22" t="n">
        <f aca="false">IF(OR(N958="",R958="-"),"",CEILING(ROUND(N958*(1+S958),2),IF(N958*(1+S958)&lt;100,0.5,IF(N958*(1+S958)&lt;1000,1,5))))</f>
        <v>168</v>
      </c>
      <c r="U958" s="26" t="n">
        <f aca="false">IF(OR(T958="",P958=""),"",(T958-P958)/T958)</f>
        <v>0.254017857142857</v>
      </c>
      <c r="V958" s="26" t="n">
        <f aca="false">IF(T958="",0,T958/N958-1)</f>
        <v>0.223597960670066</v>
      </c>
      <c r="W958" s="19" t="s">
        <v>857</v>
      </c>
    </row>
    <row r="959" customFormat="false" ht="15" hidden="false" customHeight="false" outlineLevel="0" collapsed="false">
      <c r="A959" s="38" t="n">
        <v>908</v>
      </c>
      <c r="B959" s="38" t="s">
        <v>1135</v>
      </c>
      <c r="C959" s="38" t="s">
        <v>57</v>
      </c>
      <c r="D959" s="38"/>
      <c r="E959" s="38" t="s">
        <v>58</v>
      </c>
      <c r="F959" s="39" t="n">
        <v>6</v>
      </c>
      <c r="G959" s="39" t="n">
        <v>7</v>
      </c>
      <c r="H959" s="40" t="n">
        <v>1205.56</v>
      </c>
      <c r="I959" s="40" t="n">
        <v>0</v>
      </c>
      <c r="J959" s="40" t="n">
        <v>-291.86</v>
      </c>
      <c r="K959" s="41" t="n">
        <f aca="false">H959+I959+J959</f>
        <v>913.7</v>
      </c>
      <c r="L959" s="42" t="n">
        <f aca="false">IF($K$1282=0,0,K959/$K$1282)</f>
        <v>7.56894805535575E-005</v>
      </c>
      <c r="M959" s="43" t="n">
        <f aca="false">IF(F959&lt;=0,0,K959/F959)</f>
        <v>152.283333333333</v>
      </c>
      <c r="N959" s="40" t="n">
        <v>145.93</v>
      </c>
      <c r="O959" s="44" t="n">
        <v>5.92</v>
      </c>
      <c r="P959" s="43" t="n">
        <f aca="false">O959*'Price Groups'!$B$5</f>
        <v>133.2</v>
      </c>
      <c r="Q959" s="45" t="n">
        <f aca="false">IF(OR(N959="",P959=""),"",(N959-P959)/N959)</f>
        <v>0.0872336051531557</v>
      </c>
      <c r="R959" s="46" t="n">
        <v>1</v>
      </c>
      <c r="S959" s="47" t="n">
        <f aca="false">IF(R959="-",0,IFERROR(VLOOKUP(R959,'Price Groups'!$A$13:$C$17,3,FALSE()),0))</f>
        <v>0.22</v>
      </c>
      <c r="T959" s="41" t="n">
        <f aca="false">IF(OR(N959="",R959="-"),"",CEILING(ROUND(N959*(1+S959),2),IF(N959*(1+S959)&lt;100,0.5,IF(N959*(1+S959)&lt;1000,1,5))))</f>
        <v>179</v>
      </c>
      <c r="U959" s="45" t="n">
        <f aca="false">IF(OR(T959="",P959=""),"",(T959-P959)/T959)</f>
        <v>0.25586592178771</v>
      </c>
      <c r="V959" s="45" t="n">
        <f aca="false">IF(T959="",0,T959/N959-1)</f>
        <v>0.226615500582471</v>
      </c>
      <c r="W959" s="38" t="s">
        <v>857</v>
      </c>
    </row>
    <row r="960" customFormat="false" ht="15" hidden="false" customHeight="false" outlineLevel="0" collapsed="false">
      <c r="A960" s="19" t="n">
        <v>909</v>
      </c>
      <c r="B960" s="19" t="s">
        <v>1136</v>
      </c>
      <c r="C960" s="19" t="s">
        <v>57</v>
      </c>
      <c r="D960" s="19"/>
      <c r="E960" s="19" t="s">
        <v>58</v>
      </c>
      <c r="F960" s="20" t="n">
        <v>6</v>
      </c>
      <c r="G960" s="20" t="n">
        <v>6</v>
      </c>
      <c r="H960" s="21" t="n">
        <v>1224.93</v>
      </c>
      <c r="I960" s="21" t="n">
        <v>0</v>
      </c>
      <c r="J960" s="21" t="n">
        <v>-174.99</v>
      </c>
      <c r="K960" s="22" t="n">
        <f aca="false">H960+I960+J960</f>
        <v>1049.94</v>
      </c>
      <c r="L960" s="23" t="n">
        <f aca="false">IF($K$1282=0,0,K960/$K$1282)</f>
        <v>8.69753893098414E-005</v>
      </c>
      <c r="M960" s="24" t="n">
        <f aca="false">IF(F960&lt;=0,0,K960/F960)</f>
        <v>174.99</v>
      </c>
      <c r="N960" s="21" t="n">
        <v>99.99</v>
      </c>
      <c r="O960" s="49" t="n">
        <v>2.32</v>
      </c>
      <c r="P960" s="24" t="n">
        <f aca="false">O960*'Price Groups'!$B$5</f>
        <v>52.2</v>
      </c>
      <c r="Q960" s="26" t="n">
        <f aca="false">IF(OR(N960="",P960=""),"",(N960-P960)/N960)</f>
        <v>0.477947794779478</v>
      </c>
      <c r="R960" s="27" t="n">
        <v>1</v>
      </c>
      <c r="S960" s="28" t="n">
        <f aca="false">IF(R960="-",0,IFERROR(VLOOKUP(R960,'Price Groups'!$A$13:$C$17,3,FALSE()),0))</f>
        <v>0.22</v>
      </c>
      <c r="T960" s="22" t="n">
        <f aca="false">IF(OR(N960="",R960="-"),"",CEILING(ROUND(N960*(1+S960),2),IF(N960*(1+S960)&lt;100,0.5,IF(N960*(1+S960)&lt;1000,1,5))))</f>
        <v>122</v>
      </c>
      <c r="U960" s="26" t="n">
        <f aca="false">IF(OR(T960="",P960=""),"",(T960-P960)/T960)</f>
        <v>0.572131147540984</v>
      </c>
      <c r="V960" s="26" t="n">
        <f aca="false">IF(T960="",0,T960/N960-1)</f>
        <v>0.22012201220122</v>
      </c>
      <c r="W960" s="19" t="s">
        <v>94</v>
      </c>
    </row>
    <row r="961" customFormat="false" ht="15" hidden="false" customHeight="false" outlineLevel="0" collapsed="false">
      <c r="A961" s="38" t="n">
        <v>910</v>
      </c>
      <c r="B961" s="38" t="s">
        <v>1137</v>
      </c>
      <c r="C961" s="38" t="s">
        <v>57</v>
      </c>
      <c r="D961" s="38"/>
      <c r="E961" s="38" t="s">
        <v>58</v>
      </c>
      <c r="F961" s="39" t="n">
        <v>6</v>
      </c>
      <c r="G961" s="39" t="n">
        <v>6</v>
      </c>
      <c r="H961" s="40" t="n">
        <v>1259.93</v>
      </c>
      <c r="I961" s="40" t="n">
        <v>0</v>
      </c>
      <c r="J961" s="40" t="n">
        <v>-179.99</v>
      </c>
      <c r="K961" s="41" t="n">
        <f aca="false">H961+I961+J961</f>
        <v>1079.94</v>
      </c>
      <c r="L961" s="42" t="n">
        <f aca="false">IF($K$1282=0,0,K961/$K$1282)</f>
        <v>8.94605424417302E-005</v>
      </c>
      <c r="M961" s="43" t="n">
        <f aca="false">IF(F961&lt;=0,0,K961/F961)</f>
        <v>179.99</v>
      </c>
      <c r="N961" s="40" t="n">
        <v>179.99</v>
      </c>
      <c r="O961" s="44" t="n">
        <v>3.65</v>
      </c>
      <c r="P961" s="43" t="n">
        <f aca="false">O961*'Price Groups'!$B$5</f>
        <v>82.125</v>
      </c>
      <c r="Q961" s="45" t="n">
        <f aca="false">IF(OR(N961="",P961=""),"",(N961-P961)/N961)</f>
        <v>0.543724651369521</v>
      </c>
      <c r="R961" s="46" t="n">
        <v>1</v>
      </c>
      <c r="S961" s="47" t="n">
        <f aca="false">IF(R961="-",0,IFERROR(VLOOKUP(R961,'Price Groups'!$A$13:$C$17,3,FALSE()),0))</f>
        <v>0.22</v>
      </c>
      <c r="T961" s="41" t="n">
        <f aca="false">IF(OR(N961="",R961="-"),"",CEILING(ROUND(N961*(1+S961),2),IF(N961*(1+S961)&lt;100,0.5,IF(N961*(1+S961)&lt;1000,1,5))))</f>
        <v>220</v>
      </c>
      <c r="U961" s="45" t="n">
        <f aca="false">IF(OR(T961="",P961=""),"",(T961-P961)/T961)</f>
        <v>0.626704545454546</v>
      </c>
      <c r="V961" s="45" t="n">
        <f aca="false">IF(T961="",0,T961/N961-1)</f>
        <v>0.222290127229291</v>
      </c>
      <c r="W961" s="38" t="s">
        <v>94</v>
      </c>
    </row>
    <row r="962" customFormat="false" ht="15" hidden="false" customHeight="false" outlineLevel="0" collapsed="false">
      <c r="A962" s="19" t="n">
        <v>911</v>
      </c>
      <c r="B962" s="19" t="s">
        <v>1138</v>
      </c>
      <c r="C962" s="19" t="s">
        <v>57</v>
      </c>
      <c r="D962" s="19"/>
      <c r="E962" s="19" t="s">
        <v>58</v>
      </c>
      <c r="F962" s="20" t="n">
        <v>6</v>
      </c>
      <c r="G962" s="20" t="n">
        <v>5</v>
      </c>
      <c r="H962" s="21" t="n">
        <v>1075.93</v>
      </c>
      <c r="I962" s="21" t="n">
        <v>0</v>
      </c>
      <c r="J962" s="21" t="n">
        <v>-159.99</v>
      </c>
      <c r="K962" s="22" t="n">
        <f aca="false">H962+I962+J962</f>
        <v>915.94</v>
      </c>
      <c r="L962" s="23" t="n">
        <f aca="false">IF($K$1282=0,0,K962/$K$1282)</f>
        <v>7.58750386540718E-005</v>
      </c>
      <c r="M962" s="24" t="n">
        <f aca="false">IF(F962&lt;=0,0,K962/F962)</f>
        <v>152.656666666667</v>
      </c>
      <c r="N962" s="21" t="n">
        <v>165.99</v>
      </c>
      <c r="O962" s="49" t="n">
        <v>3.85</v>
      </c>
      <c r="P962" s="24" t="n">
        <f aca="false">O962*'Price Groups'!$B$5</f>
        <v>86.625</v>
      </c>
      <c r="Q962" s="26" t="n">
        <f aca="false">IF(OR(N962="",P962=""),"",(N962-P962)/N962)</f>
        <v>0.478131212723658</v>
      </c>
      <c r="R962" s="27" t="n">
        <v>1</v>
      </c>
      <c r="S962" s="28" t="n">
        <f aca="false">IF(R962="-",0,IFERROR(VLOOKUP(R962,'Price Groups'!$A$13:$C$17,3,FALSE()),0))</f>
        <v>0.22</v>
      </c>
      <c r="T962" s="22" t="n">
        <f aca="false">IF(OR(N962="",R962="-"),"",CEILING(ROUND(N962*(1+S962),2),IF(N962*(1+S962)&lt;100,0.5,IF(N962*(1+S962)&lt;1000,1,5))))</f>
        <v>203</v>
      </c>
      <c r="U962" s="26" t="n">
        <f aca="false">IF(OR(T962="",P962=""),"",(T962-P962)/T962)</f>
        <v>0.573275862068966</v>
      </c>
      <c r="V962" s="26" t="n">
        <f aca="false">IF(T962="",0,T962/N962-1)</f>
        <v>0.222965238869811</v>
      </c>
      <c r="W962" s="19" t="s">
        <v>94</v>
      </c>
    </row>
    <row r="963" customFormat="false" ht="15" hidden="false" customHeight="false" outlineLevel="0" collapsed="false">
      <c r="A963" s="38" t="n">
        <v>912</v>
      </c>
      <c r="B963" s="38" t="s">
        <v>1139</v>
      </c>
      <c r="C963" s="38" t="s">
        <v>57</v>
      </c>
      <c r="D963" s="38"/>
      <c r="E963" s="38" t="s">
        <v>58</v>
      </c>
      <c r="F963" s="39" t="n">
        <v>6</v>
      </c>
      <c r="G963" s="39" t="n">
        <v>6</v>
      </c>
      <c r="H963" s="40" t="n">
        <v>933.94</v>
      </c>
      <c r="I963" s="40" t="n">
        <v>0</v>
      </c>
      <c r="J963" s="40" t="n">
        <v>0</v>
      </c>
      <c r="K963" s="41" t="n">
        <f aca="false">H963+I963+J963</f>
        <v>933.94</v>
      </c>
      <c r="L963" s="42" t="n">
        <f aca="false">IF($K$1282=0,0,K963/$K$1282)</f>
        <v>7.7366130533205E-005</v>
      </c>
      <c r="M963" s="43" t="n">
        <f aca="false">IF(F963&lt;=0,0,K963/F963)</f>
        <v>155.656666666667</v>
      </c>
      <c r="N963" s="40" t="n">
        <v>165.99</v>
      </c>
      <c r="O963" s="44" t="n">
        <v>3.85</v>
      </c>
      <c r="P963" s="43" t="n">
        <f aca="false">O963*'Price Groups'!$B$5</f>
        <v>86.625</v>
      </c>
      <c r="Q963" s="45" t="n">
        <f aca="false">IF(OR(N963="",P963=""),"",(N963-P963)/N963)</f>
        <v>0.478131212723658</v>
      </c>
      <c r="R963" s="46" t="n">
        <v>1</v>
      </c>
      <c r="S963" s="47" t="n">
        <f aca="false">IF(R963="-",0,IFERROR(VLOOKUP(R963,'Price Groups'!$A$13:$C$17,3,FALSE()),0))</f>
        <v>0.22</v>
      </c>
      <c r="T963" s="41" t="n">
        <f aca="false">IF(OR(N963="",R963="-"),"",CEILING(ROUND(N963*(1+S963),2),IF(N963*(1+S963)&lt;100,0.5,IF(N963*(1+S963)&lt;1000,1,5))))</f>
        <v>203</v>
      </c>
      <c r="U963" s="45" t="n">
        <f aca="false">IF(OR(T963="",P963=""),"",(T963-P963)/T963)</f>
        <v>0.573275862068966</v>
      </c>
      <c r="V963" s="45" t="n">
        <f aca="false">IF(T963="",0,T963/N963-1)</f>
        <v>0.222965238869811</v>
      </c>
      <c r="W963" s="38" t="s">
        <v>94</v>
      </c>
    </row>
    <row r="964" customFormat="false" ht="15" hidden="false" customHeight="false" outlineLevel="0" collapsed="false">
      <c r="A964" s="19" t="n">
        <v>913</v>
      </c>
      <c r="B964" s="19" t="s">
        <v>1140</v>
      </c>
      <c r="C964" s="19" t="s">
        <v>57</v>
      </c>
      <c r="D964" s="19"/>
      <c r="E964" s="19" t="s">
        <v>58</v>
      </c>
      <c r="F964" s="20" t="n">
        <v>6</v>
      </c>
      <c r="G964" s="20" t="n">
        <v>5</v>
      </c>
      <c r="H964" s="21" t="n">
        <v>1139.94</v>
      </c>
      <c r="I964" s="21" t="n">
        <v>-19</v>
      </c>
      <c r="J964" s="21" t="n">
        <v>0</v>
      </c>
      <c r="K964" s="22" t="n">
        <f aca="false">H964+I964+J964</f>
        <v>1120.94</v>
      </c>
      <c r="L964" s="23" t="n">
        <f aca="false">IF($K$1282=0,0,K964/$K$1282)</f>
        <v>9.28569183886447E-005</v>
      </c>
      <c r="M964" s="24" t="n">
        <f aca="false">IF(F964&lt;=0,0,K964/F964)</f>
        <v>186.823333333333</v>
      </c>
      <c r="N964" s="21" t="n">
        <v>189.99</v>
      </c>
      <c r="O964" s="49" t="n">
        <v>4.66</v>
      </c>
      <c r="P964" s="24" t="n">
        <f aca="false">O964*'Price Groups'!$B$5</f>
        <v>104.85</v>
      </c>
      <c r="Q964" s="26" t="n">
        <f aca="false">IF(OR(N964="",P964=""),"",(N964-P964)/N964)</f>
        <v>0.448128848886784</v>
      </c>
      <c r="R964" s="27" t="n">
        <v>1</v>
      </c>
      <c r="S964" s="28" t="n">
        <f aca="false">IF(R964="-",0,IFERROR(VLOOKUP(R964,'Price Groups'!$A$13:$C$17,3,FALSE()),0))</f>
        <v>0.22</v>
      </c>
      <c r="T964" s="22" t="n">
        <f aca="false">IF(OR(N964="",R964="-"),"",CEILING(ROUND(N964*(1+S964),2),IF(N964*(1+S964)&lt;100,0.5,IF(N964*(1+S964)&lt;1000,1,5))))</f>
        <v>232</v>
      </c>
      <c r="U964" s="26" t="n">
        <f aca="false">IF(OR(T964="",P964=""),"",(T964-P964)/T964)</f>
        <v>0.548060344827586</v>
      </c>
      <c r="V964" s="26" t="n">
        <f aca="false">IF(T964="",0,T964/N964-1)</f>
        <v>0.22111690088952</v>
      </c>
      <c r="W964" s="19" t="s">
        <v>94</v>
      </c>
    </row>
    <row r="965" customFormat="false" ht="15" hidden="false" customHeight="false" outlineLevel="0" collapsed="false">
      <c r="A965" s="38" t="n">
        <v>914</v>
      </c>
      <c r="B965" s="38" t="s">
        <v>1141</v>
      </c>
      <c r="C965" s="38" t="s">
        <v>57</v>
      </c>
      <c r="D965" s="38"/>
      <c r="E965" s="38" t="s">
        <v>58</v>
      </c>
      <c r="F965" s="39" t="n">
        <v>6</v>
      </c>
      <c r="G965" s="39" t="n">
        <v>7</v>
      </c>
      <c r="H965" s="40" t="n">
        <v>1519.92</v>
      </c>
      <c r="I965" s="40" t="n">
        <v>-18.99</v>
      </c>
      <c r="J965" s="40" t="n">
        <v>-379.98</v>
      </c>
      <c r="K965" s="41" t="n">
        <f aca="false">H965+I965+J965</f>
        <v>1120.95</v>
      </c>
      <c r="L965" s="42" t="n">
        <f aca="false">IF($K$1282=0,0,K965/$K$1282)</f>
        <v>9.2857746773022E-005</v>
      </c>
      <c r="M965" s="43" t="n">
        <f aca="false">IF(F965&lt;=0,0,K965/F965)</f>
        <v>186.825</v>
      </c>
      <c r="N965" s="40" t="n">
        <v>189.99</v>
      </c>
      <c r="O965" s="44" t="n">
        <v>4.66</v>
      </c>
      <c r="P965" s="43" t="n">
        <f aca="false">O965*'Price Groups'!$B$5</f>
        <v>104.85</v>
      </c>
      <c r="Q965" s="45" t="n">
        <f aca="false">IF(OR(N965="",P965=""),"",(N965-P965)/N965)</f>
        <v>0.448128848886784</v>
      </c>
      <c r="R965" s="46" t="n">
        <v>1</v>
      </c>
      <c r="S965" s="47" t="n">
        <f aca="false">IF(R965="-",0,IFERROR(VLOOKUP(R965,'Price Groups'!$A$13:$C$17,3,FALSE()),0))</f>
        <v>0.22</v>
      </c>
      <c r="T965" s="41" t="n">
        <f aca="false">IF(OR(N965="",R965="-"),"",CEILING(ROUND(N965*(1+S965),2),IF(N965*(1+S965)&lt;100,0.5,IF(N965*(1+S965)&lt;1000,1,5))))</f>
        <v>232</v>
      </c>
      <c r="U965" s="45" t="n">
        <f aca="false">IF(OR(T965="",P965=""),"",(T965-P965)/T965)</f>
        <v>0.548060344827586</v>
      </c>
      <c r="V965" s="45" t="n">
        <f aca="false">IF(T965="",0,T965/N965-1)</f>
        <v>0.22111690088952</v>
      </c>
      <c r="W965" s="38" t="s">
        <v>94</v>
      </c>
    </row>
    <row r="966" customFormat="false" ht="15" hidden="false" customHeight="false" outlineLevel="0" collapsed="false">
      <c r="A966" s="19" t="n">
        <v>915</v>
      </c>
      <c r="B966" s="19" t="s">
        <v>1142</v>
      </c>
      <c r="C966" s="19" t="s">
        <v>57</v>
      </c>
      <c r="D966" s="19"/>
      <c r="E966" s="19" t="s">
        <v>58</v>
      </c>
      <c r="F966" s="20" t="n">
        <v>6</v>
      </c>
      <c r="G966" s="20" t="n">
        <v>8</v>
      </c>
      <c r="H966" s="21" t="n">
        <v>1709.91</v>
      </c>
      <c r="I966" s="21" t="n">
        <v>-28.49</v>
      </c>
      <c r="J966" s="21" t="n">
        <v>-569.97</v>
      </c>
      <c r="K966" s="22" t="n">
        <f aca="false">H966+I966+J966</f>
        <v>1111.45</v>
      </c>
      <c r="L966" s="23" t="n">
        <f aca="false">IF($K$1282=0,0,K966/$K$1282)</f>
        <v>9.20707816145906E-005</v>
      </c>
      <c r="M966" s="24" t="n">
        <f aca="false">IF(F966&lt;=0,0,K966/F966)</f>
        <v>185.241666666667</v>
      </c>
      <c r="N966" s="21" t="n">
        <v>189.99</v>
      </c>
      <c r="O966" s="49" t="n">
        <v>4.66</v>
      </c>
      <c r="P966" s="24" t="n">
        <f aca="false">O966*'Price Groups'!$B$5</f>
        <v>104.85</v>
      </c>
      <c r="Q966" s="26" t="n">
        <f aca="false">IF(OR(N966="",P966=""),"",(N966-P966)/N966)</f>
        <v>0.448128848886784</v>
      </c>
      <c r="R966" s="27" t="n">
        <v>1</v>
      </c>
      <c r="S966" s="28" t="n">
        <f aca="false">IF(R966="-",0,IFERROR(VLOOKUP(R966,'Price Groups'!$A$13:$C$17,3,FALSE()),0))</f>
        <v>0.22</v>
      </c>
      <c r="T966" s="22" t="n">
        <f aca="false">IF(OR(N966="",R966="-"),"",CEILING(ROUND(N966*(1+S966),2),IF(N966*(1+S966)&lt;100,0.5,IF(N966*(1+S966)&lt;1000,1,5))))</f>
        <v>232</v>
      </c>
      <c r="U966" s="26" t="n">
        <f aca="false">IF(OR(T966="",P966=""),"",(T966-P966)/T966)</f>
        <v>0.548060344827586</v>
      </c>
      <c r="V966" s="26" t="n">
        <f aca="false">IF(T966="",0,T966/N966-1)</f>
        <v>0.22111690088952</v>
      </c>
      <c r="W966" s="19" t="s">
        <v>94</v>
      </c>
    </row>
    <row r="967" customFormat="false" ht="15" hidden="false" customHeight="false" outlineLevel="0" collapsed="false">
      <c r="A967" s="38" t="n">
        <v>916</v>
      </c>
      <c r="B967" s="38" t="s">
        <v>1143</v>
      </c>
      <c r="C967" s="38" t="s">
        <v>57</v>
      </c>
      <c r="D967" s="38"/>
      <c r="E967" s="38" t="s">
        <v>58</v>
      </c>
      <c r="F967" s="39" t="n">
        <v>6</v>
      </c>
      <c r="G967" s="39" t="n">
        <v>6</v>
      </c>
      <c r="H967" s="40" t="n">
        <v>1259.94</v>
      </c>
      <c r="I967" s="40" t="n">
        <v>-20.99</v>
      </c>
      <c r="J967" s="40" t="n">
        <v>0</v>
      </c>
      <c r="K967" s="41" t="n">
        <f aca="false">H967+I967+J967</f>
        <v>1238.95</v>
      </c>
      <c r="L967" s="42" t="n">
        <f aca="false">IF($K$1282=0,0,K967/$K$1282)</f>
        <v>0.000102632682425118</v>
      </c>
      <c r="M967" s="43" t="n">
        <f aca="false">IF(F967&lt;=0,0,K967/F967)</f>
        <v>206.491666666667</v>
      </c>
      <c r="N967" s="40" t="n">
        <v>219.99</v>
      </c>
      <c r="O967" s="44" t="n">
        <v>4.52</v>
      </c>
      <c r="P967" s="43" t="n">
        <f aca="false">O967*'Price Groups'!$B$5</f>
        <v>101.7</v>
      </c>
      <c r="Q967" s="45" t="n">
        <f aca="false">IF(OR(N967="",P967=""),"",(N967-P967)/N967)</f>
        <v>0.537706259375426</v>
      </c>
      <c r="R967" s="46" t="n">
        <v>1</v>
      </c>
      <c r="S967" s="47" t="n">
        <f aca="false">IF(R967="-",0,IFERROR(VLOOKUP(R967,'Price Groups'!$A$13:$C$17,3,FALSE()),0))</f>
        <v>0.22</v>
      </c>
      <c r="T967" s="41" t="n">
        <f aca="false">IF(OR(N967="",R967="-"),"",CEILING(ROUND(N967*(1+S967),2),IF(N967*(1+S967)&lt;100,0.5,IF(N967*(1+S967)&lt;1000,1,5))))</f>
        <v>269</v>
      </c>
      <c r="U967" s="45" t="n">
        <f aca="false">IF(OR(T967="",P967=""),"",(T967-P967)/T967)</f>
        <v>0.621933085501859</v>
      </c>
      <c r="V967" s="45" t="n">
        <f aca="false">IF(T967="",0,T967/N967-1)</f>
        <v>0.22278285376608</v>
      </c>
      <c r="W967" s="38" t="s">
        <v>94</v>
      </c>
    </row>
    <row r="968" customFormat="false" ht="15" hidden="false" customHeight="false" outlineLevel="0" collapsed="false">
      <c r="A968" s="19" t="n">
        <v>917</v>
      </c>
      <c r="B968" s="19" t="s">
        <v>1144</v>
      </c>
      <c r="C968" s="19" t="s">
        <v>57</v>
      </c>
      <c r="D968" s="19"/>
      <c r="E968" s="19" t="s">
        <v>58</v>
      </c>
      <c r="F968" s="20" t="n">
        <v>6</v>
      </c>
      <c r="G968" s="20" t="n">
        <v>6</v>
      </c>
      <c r="H968" s="21" t="n">
        <v>389.97</v>
      </c>
      <c r="I968" s="21" t="n">
        <v>0</v>
      </c>
      <c r="J968" s="21" t="n">
        <v>0</v>
      </c>
      <c r="K968" s="22" t="n">
        <f aca="false">H968+I968+J968</f>
        <v>389.97</v>
      </c>
      <c r="L968" s="23" t="n">
        <f aca="false">IF($K$1282=0,0,K968/$K$1282)</f>
        <v>3.23045055614215E-005</v>
      </c>
      <c r="M968" s="24" t="n">
        <f aca="false">IF(F968&lt;=0,0,K968/F968)</f>
        <v>64.995</v>
      </c>
      <c r="N968" s="21" t="n">
        <v>110</v>
      </c>
      <c r="O968" s="49" t="n">
        <v>2.15</v>
      </c>
      <c r="P968" s="24" t="n">
        <f aca="false">O968*'Price Groups'!$B$5</f>
        <v>48.375</v>
      </c>
      <c r="Q968" s="26" t="n">
        <f aca="false">IF(OR(N968="",P968=""),"",(N968-P968)/N968)</f>
        <v>0.560227272727273</v>
      </c>
      <c r="R968" s="27" t="n">
        <v>1</v>
      </c>
      <c r="S968" s="28" t="n">
        <f aca="false">IF(R968="-",0,IFERROR(VLOOKUP(R968,'Price Groups'!$A$13:$C$17,3,FALSE()),0))</f>
        <v>0.22</v>
      </c>
      <c r="T968" s="22" t="n">
        <f aca="false">IF(OR(N968="",R968="-"),"",CEILING(ROUND(N968*(1+S968),2),IF(N968*(1+S968)&lt;100,0.5,IF(N968*(1+S968)&lt;1000,1,5))))</f>
        <v>135</v>
      </c>
      <c r="U968" s="26" t="n">
        <f aca="false">IF(OR(T968="",P968=""),"",(T968-P968)/T968)</f>
        <v>0.641666666666667</v>
      </c>
      <c r="V968" s="26" t="n">
        <f aca="false">IF(T968="",0,T968/N968-1)</f>
        <v>0.227272727272727</v>
      </c>
      <c r="W968" s="19" t="s">
        <v>94</v>
      </c>
    </row>
    <row r="969" customFormat="false" ht="15" hidden="false" customHeight="false" outlineLevel="0" collapsed="false">
      <c r="A969" s="38" t="n">
        <v>918</v>
      </c>
      <c r="B969" s="38" t="s">
        <v>1145</v>
      </c>
      <c r="C969" s="38" t="s">
        <v>57</v>
      </c>
      <c r="D969" s="38"/>
      <c r="E969" s="38" t="s">
        <v>58</v>
      </c>
      <c r="F969" s="39" t="n">
        <v>6</v>
      </c>
      <c r="G969" s="39" t="n">
        <v>7</v>
      </c>
      <c r="H969" s="40" t="n">
        <v>8499.9</v>
      </c>
      <c r="I969" s="40" t="n">
        <v>-84.99</v>
      </c>
      <c r="J969" s="40" t="n">
        <v>-3399.96</v>
      </c>
      <c r="K969" s="41" t="n">
        <f aca="false">H969+I969+J969</f>
        <v>5014.95</v>
      </c>
      <c r="L969" s="42" t="n">
        <f aca="false">IF($K$1282=0,0,K969/$K$1282)</f>
        <v>0.000415430623292178</v>
      </c>
      <c r="M969" s="43" t="n">
        <f aca="false">IF(F969&lt;=0,0,K969/F969)</f>
        <v>835.825</v>
      </c>
      <c r="N969" s="40" t="n">
        <v>849.99</v>
      </c>
      <c r="O969" s="44" t="n">
        <v>25.55</v>
      </c>
      <c r="P969" s="43" t="n">
        <f aca="false">O969*'Price Groups'!$B$5</f>
        <v>574.875</v>
      </c>
      <c r="Q969" s="45" t="n">
        <f aca="false">IF(OR(N969="",P969=""),"",(N969-P969)/N969)</f>
        <v>0.323668513747221</v>
      </c>
      <c r="R969" s="46" t="n">
        <v>1</v>
      </c>
      <c r="S969" s="47" t="n">
        <f aca="false">IF(R969="-",0,IFERROR(VLOOKUP(R969,'Price Groups'!$A$13:$C$17,3,FALSE()),0))</f>
        <v>0.22</v>
      </c>
      <c r="T969" s="41" t="n">
        <f aca="false">IF(OR(N969="",R969="-"),"",CEILING(ROUND(N969*(1+S969),2),IF(N969*(1+S969)&lt;100,0.5,IF(N969*(1+S969)&lt;1000,1,5))))</f>
        <v>1040</v>
      </c>
      <c r="U969" s="45" t="n">
        <f aca="false">IF(OR(T969="",P969=""),"",(T969-P969)/T969)</f>
        <v>0.447235576923077</v>
      </c>
      <c r="V969" s="45" t="n">
        <f aca="false">IF(T969="",0,T969/N969-1)</f>
        <v>0.223543806397722</v>
      </c>
      <c r="W969" s="38" t="s">
        <v>94</v>
      </c>
    </row>
    <row r="970" customFormat="false" ht="15" hidden="false" customHeight="false" outlineLevel="0" collapsed="false">
      <c r="A970" s="19" t="n">
        <v>919</v>
      </c>
      <c r="B970" s="19" t="s">
        <v>1146</v>
      </c>
      <c r="C970" s="19" t="s">
        <v>57</v>
      </c>
      <c r="D970" s="19"/>
      <c r="E970" s="19" t="s">
        <v>58</v>
      </c>
      <c r="F970" s="20" t="n">
        <v>6</v>
      </c>
      <c r="G970" s="20" t="n">
        <v>6</v>
      </c>
      <c r="H970" s="21" t="n">
        <v>20400</v>
      </c>
      <c r="I970" s="21" t="n">
        <v>-955.49</v>
      </c>
      <c r="J970" s="21" t="n">
        <v>0</v>
      </c>
      <c r="K970" s="22" t="n">
        <f aca="false">H970+I970+J970</f>
        <v>19444.51</v>
      </c>
      <c r="L970" s="23" t="n">
        <f aca="false">IF($K$1282=0,0,K970/$K$1282)</f>
        <v>0.00161075283081805</v>
      </c>
      <c r="M970" s="24" t="n">
        <f aca="false">IF(F970&lt;=0,0,K970/F970)</f>
        <v>3240.75166666667</v>
      </c>
      <c r="N970" s="21" t="n">
        <v>3400</v>
      </c>
      <c r="O970" s="49" t="n">
        <v>64.51</v>
      </c>
      <c r="P970" s="24" t="n">
        <f aca="false">O970*'Price Groups'!$B$5</f>
        <v>1451.475</v>
      </c>
      <c r="Q970" s="26" t="n">
        <f aca="false">IF(OR(N970="",P970=""),"",(N970-P970)/N970)</f>
        <v>0.573095588235294</v>
      </c>
      <c r="R970" s="27" t="n">
        <v>3</v>
      </c>
      <c r="S970" s="28" t="n">
        <f aca="false">IF(R970="-",0,IFERROR(VLOOKUP(R970,'Price Groups'!$A$13:$C$17,3,FALSE()),0))</f>
        <v>0.16</v>
      </c>
      <c r="T970" s="22" t="n">
        <f aca="false">IF(OR(N970="",R970="-"),"",CEILING(ROUND(N970*(1+S970),2),IF(N970*(1+S970)&lt;100,0.5,IF(N970*(1+S970)&lt;1000,1,5))))</f>
        <v>3945</v>
      </c>
      <c r="U970" s="26" t="n">
        <f aca="false">IF(OR(T970="",P970=""),"",(T970-P970)/T970)</f>
        <v>0.632072243346008</v>
      </c>
      <c r="V970" s="26" t="n">
        <f aca="false">IF(T970="",0,T970/N970-1)</f>
        <v>0.160294117647059</v>
      </c>
      <c r="W970" s="19" t="s">
        <v>107</v>
      </c>
    </row>
    <row r="971" customFormat="false" ht="15" hidden="false" customHeight="false" outlineLevel="0" collapsed="false">
      <c r="A971" s="38" t="n">
        <v>920</v>
      </c>
      <c r="B971" s="38" t="s">
        <v>1147</v>
      </c>
      <c r="C971" s="38" t="s">
        <v>57</v>
      </c>
      <c r="D971" s="38"/>
      <c r="E971" s="38" t="s">
        <v>58</v>
      </c>
      <c r="F971" s="39" t="n">
        <v>6</v>
      </c>
      <c r="G971" s="39" t="n">
        <v>7</v>
      </c>
      <c r="H971" s="40" t="n">
        <v>5319.93</v>
      </c>
      <c r="I971" s="40" t="n">
        <v>0</v>
      </c>
      <c r="J971" s="40" t="n">
        <v>-774.99</v>
      </c>
      <c r="K971" s="41" t="n">
        <f aca="false">H971+I971+J971</f>
        <v>4544.94</v>
      </c>
      <c r="L971" s="42" t="n">
        <f aca="false">IF($K$1282=0,0,K971/$K$1282)</f>
        <v>0.000376495729174877</v>
      </c>
      <c r="M971" s="43" t="n">
        <f aca="false">IF(F971&lt;=0,0,K971/F971)</f>
        <v>757.49</v>
      </c>
      <c r="N971" s="40" t="n">
        <v>799.99</v>
      </c>
      <c r="O971" s="44" t="n">
        <v>21.09</v>
      </c>
      <c r="P971" s="43" t="n">
        <f aca="false">O971*'Price Groups'!$B$5</f>
        <v>474.525</v>
      </c>
      <c r="Q971" s="45" t="n">
        <f aca="false">IF(OR(N971="",P971=""),"",(N971-P971)/N971)</f>
        <v>0.406836335454193</v>
      </c>
      <c r="R971" s="46" t="n">
        <v>1</v>
      </c>
      <c r="S971" s="47" t="n">
        <f aca="false">IF(R971="-",0,IFERROR(VLOOKUP(R971,'Price Groups'!$A$13:$C$17,3,FALSE()),0))</f>
        <v>0.22</v>
      </c>
      <c r="T971" s="41" t="n">
        <f aca="false">IF(OR(N971="",R971="-"),"",CEILING(ROUND(N971*(1+S971),2),IF(N971*(1+S971)&lt;100,0.5,IF(N971*(1+S971)&lt;1000,1,5))))</f>
        <v>976</v>
      </c>
      <c r="U971" s="45" t="n">
        <f aca="false">IF(OR(T971="",P971=""),"",(T971-P971)/T971)</f>
        <v>0.513806352459016</v>
      </c>
      <c r="V971" s="45" t="n">
        <f aca="false">IF(T971="",0,T971/N971-1)</f>
        <v>0.220015250190627</v>
      </c>
      <c r="W971" s="38" t="s">
        <v>94</v>
      </c>
    </row>
    <row r="972" customFormat="false" ht="15" hidden="false" customHeight="false" outlineLevel="0" collapsed="false">
      <c r="A972" s="19" t="n">
        <v>921</v>
      </c>
      <c r="B972" s="19" t="s">
        <v>1148</v>
      </c>
      <c r="C972" s="19" t="s">
        <v>57</v>
      </c>
      <c r="D972" s="19"/>
      <c r="E972" s="19" t="s">
        <v>58</v>
      </c>
      <c r="F972" s="20" t="n">
        <v>6</v>
      </c>
      <c r="G972" s="20" t="n">
        <v>5</v>
      </c>
      <c r="H972" s="21" t="n">
        <v>739.94</v>
      </c>
      <c r="I972" s="21" t="n">
        <v>0</v>
      </c>
      <c r="J972" s="21" t="n">
        <v>0</v>
      </c>
      <c r="K972" s="22" t="n">
        <f aca="false">H972+I972+J972</f>
        <v>739.94</v>
      </c>
      <c r="L972" s="23" t="n">
        <f aca="false">IF($K$1282=0,0,K972/$K$1282)</f>
        <v>6.1295473613658E-005</v>
      </c>
      <c r="M972" s="24" t="n">
        <f aca="false">IF(F972&lt;=0,0,K972/F972)</f>
        <v>123.323333333333</v>
      </c>
      <c r="N972" s="21" t="n">
        <v>129.99</v>
      </c>
      <c r="O972" s="49" t="n">
        <v>5.25</v>
      </c>
      <c r="P972" s="24" t="n">
        <f aca="false">O972*'Price Groups'!$B$5</f>
        <v>118.125</v>
      </c>
      <c r="Q972" s="26" t="n">
        <f aca="false">IF(OR(N972="",P972=""),"",(N972-P972)/N972)</f>
        <v>0.0912762520193862</v>
      </c>
      <c r="R972" s="27" t="n">
        <v>1</v>
      </c>
      <c r="S972" s="28" t="n">
        <f aca="false">IF(R972="-",0,IFERROR(VLOOKUP(R972,'Price Groups'!$A$13:$C$17,3,FALSE()),0))</f>
        <v>0.22</v>
      </c>
      <c r="T972" s="22" t="n">
        <f aca="false">IF(OR(N972="",R972="-"),"",CEILING(ROUND(N972*(1+S972),2),IF(N972*(1+S972)&lt;100,0.5,IF(N972*(1+S972)&lt;1000,1,5))))</f>
        <v>159</v>
      </c>
      <c r="U972" s="26" t="n">
        <f aca="false">IF(OR(T972="",P972=""),"",(T972-P972)/T972)</f>
        <v>0.257075471698113</v>
      </c>
      <c r="V972" s="26" t="n">
        <f aca="false">IF(T972="",0,T972/N972-1)</f>
        <v>0.223171013154858</v>
      </c>
      <c r="W972" s="19" t="s">
        <v>857</v>
      </c>
    </row>
    <row r="973" customFormat="false" ht="15" hidden="false" customHeight="false" outlineLevel="0" collapsed="false">
      <c r="A973" s="38" t="n">
        <v>922</v>
      </c>
      <c r="B973" s="38" t="s">
        <v>1149</v>
      </c>
      <c r="C973" s="38" t="s">
        <v>57</v>
      </c>
      <c r="D973" s="38"/>
      <c r="E973" s="38" t="s">
        <v>58</v>
      </c>
      <c r="F973" s="39" t="n">
        <v>6</v>
      </c>
      <c r="G973" s="39" t="n">
        <v>7</v>
      </c>
      <c r="H973" s="40" t="n">
        <v>1612.45</v>
      </c>
      <c r="I973" s="40" t="n">
        <v>0</v>
      </c>
      <c r="J973" s="40" t="n">
        <v>-237.49</v>
      </c>
      <c r="K973" s="41" t="n">
        <f aca="false">H973+I973+J973</f>
        <v>1374.96</v>
      </c>
      <c r="L973" s="42" t="n">
        <f aca="false">IF($K$1282=0,0,K973/$K$1282)</f>
        <v>0.000113899538340724</v>
      </c>
      <c r="M973" s="43" t="n">
        <f aca="false">IF(F973&lt;=0,0,K973/F973)</f>
        <v>229.16</v>
      </c>
      <c r="N973" s="40" t="n">
        <v>229.99</v>
      </c>
      <c r="O973" s="44" t="n">
        <v>5.66</v>
      </c>
      <c r="P973" s="43" t="n">
        <f aca="false">O973*'Price Groups'!$B$5</f>
        <v>127.35</v>
      </c>
      <c r="Q973" s="45" t="n">
        <f aca="false">IF(OR(N973="",P973=""),"",(N973-P973)/N973)</f>
        <v>0.44628027305535</v>
      </c>
      <c r="R973" s="46" t="n">
        <v>1</v>
      </c>
      <c r="S973" s="47" t="n">
        <f aca="false">IF(R973="-",0,IFERROR(VLOOKUP(R973,'Price Groups'!$A$13:$C$17,3,FALSE()),0))</f>
        <v>0.22</v>
      </c>
      <c r="T973" s="41" t="n">
        <f aca="false">IF(OR(N973="",R973="-"),"",CEILING(ROUND(N973*(1+S973),2),IF(N973*(1+S973)&lt;100,0.5,IF(N973*(1+S973)&lt;1000,1,5))))</f>
        <v>281</v>
      </c>
      <c r="U973" s="45" t="n">
        <f aca="false">IF(OR(T973="",P973=""),"",(T973-P973)/T973)</f>
        <v>0.546797153024911</v>
      </c>
      <c r="V973" s="45" t="n">
        <f aca="false">IF(T973="",0,T973/N973-1)</f>
        <v>0.221792251837036</v>
      </c>
      <c r="W973" s="38" t="s">
        <v>94</v>
      </c>
    </row>
    <row r="974" customFormat="false" ht="15" hidden="false" customHeight="false" outlineLevel="0" collapsed="false">
      <c r="A974" s="19" t="n">
        <v>923</v>
      </c>
      <c r="B974" s="19" t="s">
        <v>1150</v>
      </c>
      <c r="C974" s="19" t="s">
        <v>57</v>
      </c>
      <c r="D974" s="19"/>
      <c r="E974" s="19" t="s">
        <v>58</v>
      </c>
      <c r="F974" s="20" t="n">
        <v>6</v>
      </c>
      <c r="G974" s="20" t="n">
        <v>5</v>
      </c>
      <c r="H974" s="21" t="n">
        <v>1190</v>
      </c>
      <c r="I974" s="21" t="n">
        <v>-8.5</v>
      </c>
      <c r="J974" s="21" t="n">
        <v>-170</v>
      </c>
      <c r="K974" s="22" t="n">
        <f aca="false">H974+I974+J974</f>
        <v>1011.5</v>
      </c>
      <c r="L974" s="23" t="n">
        <f aca="false">IF($K$1282=0,0,K974/$K$1282)</f>
        <v>8.37910797635147E-005</v>
      </c>
      <c r="M974" s="24" t="n">
        <f aca="false">IF(F974&lt;=0,0,K974/F974)</f>
        <v>168.583333333333</v>
      </c>
      <c r="N974" s="21" t="n">
        <v>170</v>
      </c>
      <c r="O974" s="49" t="n">
        <v>2.8</v>
      </c>
      <c r="P974" s="24" t="n">
        <f aca="false">O974*'Price Groups'!$B$5</f>
        <v>63</v>
      </c>
      <c r="Q974" s="26" t="n">
        <f aca="false">IF(OR(N974="",P974=""),"",(N974-P974)/N974)</f>
        <v>0.629411764705882</v>
      </c>
      <c r="R974" s="27" t="n">
        <v>1</v>
      </c>
      <c r="S974" s="28" t="n">
        <f aca="false">IF(R974="-",0,IFERROR(VLOOKUP(R974,'Price Groups'!$A$13:$C$17,3,FALSE()),0))</f>
        <v>0.22</v>
      </c>
      <c r="T974" s="22" t="n">
        <f aca="false">IF(OR(N974="",R974="-"),"",CEILING(ROUND(N974*(1+S974),2),IF(N974*(1+S974)&lt;100,0.5,IF(N974*(1+S974)&lt;1000,1,5))))</f>
        <v>208</v>
      </c>
      <c r="U974" s="26" t="n">
        <f aca="false">IF(OR(T974="",P974=""),"",(T974-P974)/T974)</f>
        <v>0.697115384615385</v>
      </c>
      <c r="V974" s="26" t="n">
        <f aca="false">IF(T974="",0,T974/N974-1)</f>
        <v>0.223529411764706</v>
      </c>
      <c r="W974" s="19" t="s">
        <v>94</v>
      </c>
    </row>
    <row r="975" customFormat="false" ht="15" hidden="false" customHeight="false" outlineLevel="0" collapsed="false">
      <c r="A975" s="38" t="n">
        <v>924</v>
      </c>
      <c r="B975" s="38" t="s">
        <v>1151</v>
      </c>
      <c r="C975" s="38" t="s">
        <v>57</v>
      </c>
      <c r="D975" s="38"/>
      <c r="E975" s="38" t="s">
        <v>58</v>
      </c>
      <c r="F975" s="39" t="n">
        <v>6</v>
      </c>
      <c r="G975" s="39" t="n">
        <v>6</v>
      </c>
      <c r="H975" s="40" t="n">
        <v>2952</v>
      </c>
      <c r="I975" s="40" t="n">
        <v>0</v>
      </c>
      <c r="J975" s="40" t="n">
        <v>-738</v>
      </c>
      <c r="K975" s="41" t="n">
        <f aca="false">H975+I975+J975</f>
        <v>2214</v>
      </c>
      <c r="L975" s="42" t="n">
        <f aca="false">IF($K$1282=0,0,K975/$K$1282)</f>
        <v>0.000183404301133388</v>
      </c>
      <c r="M975" s="43" t="n">
        <f aca="false">IF(F975&lt;=0,0,K975/F975)</f>
        <v>369</v>
      </c>
      <c r="N975" s="40" t="n">
        <v>298.75</v>
      </c>
      <c r="O975" s="44" t="n">
        <v>10.1</v>
      </c>
      <c r="P975" s="43" t="n">
        <f aca="false">O975*'Price Groups'!$B$5</f>
        <v>227.25</v>
      </c>
      <c r="Q975" s="45" t="n">
        <f aca="false">IF(OR(N975="",P975=""),"",(N975-P975)/N975)</f>
        <v>0.239330543933054</v>
      </c>
      <c r="R975" s="46" t="n">
        <v>1</v>
      </c>
      <c r="S975" s="47" t="n">
        <f aca="false">IF(R975="-",0,IFERROR(VLOOKUP(R975,'Price Groups'!$A$13:$C$17,3,FALSE()),0))</f>
        <v>0.22</v>
      </c>
      <c r="T975" s="41" t="n">
        <f aca="false">IF(OR(N975="",R975="-"),"",CEILING(ROUND(N975*(1+S975),2),IF(N975*(1+S975)&lt;100,0.5,IF(N975*(1+S975)&lt;1000,1,5))))</f>
        <v>365</v>
      </c>
      <c r="U975" s="45" t="n">
        <f aca="false">IF(OR(T975="",P975=""),"",(T975-P975)/T975)</f>
        <v>0.377397260273973</v>
      </c>
      <c r="V975" s="45" t="n">
        <f aca="false">IF(T975="",0,T975/N975-1)</f>
        <v>0.221757322175732</v>
      </c>
      <c r="W975" s="38" t="s">
        <v>244</v>
      </c>
    </row>
    <row r="976" customFormat="false" ht="15" hidden="false" customHeight="false" outlineLevel="0" collapsed="false">
      <c r="A976" s="19" t="n">
        <v>925</v>
      </c>
      <c r="B976" s="19" t="s">
        <v>1152</v>
      </c>
      <c r="C976" s="19" t="s">
        <v>57</v>
      </c>
      <c r="D976" s="19"/>
      <c r="E976" s="19" t="s">
        <v>58</v>
      </c>
      <c r="F976" s="20" t="n">
        <v>6</v>
      </c>
      <c r="G976" s="20" t="n">
        <v>6</v>
      </c>
      <c r="H976" s="21" t="n">
        <v>660</v>
      </c>
      <c r="I976" s="21" t="n">
        <v>0</v>
      </c>
      <c r="J976" s="21" t="n">
        <v>0</v>
      </c>
      <c r="K976" s="22" t="n">
        <f aca="false">H976+I976+J976</f>
        <v>660</v>
      </c>
      <c r="L976" s="23" t="n">
        <f aca="false">IF($K$1282=0,0,K976/$K$1282)</f>
        <v>5.46733689015518E-005</v>
      </c>
      <c r="M976" s="24" t="n">
        <f aca="false">IF(F976&lt;=0,0,K976/F976)</f>
        <v>110</v>
      </c>
      <c r="N976" s="21" t="n">
        <v>110</v>
      </c>
      <c r="O976" s="49" t="n">
        <v>2.43</v>
      </c>
      <c r="P976" s="24" t="n">
        <f aca="false">O976*'Price Groups'!$B$5</f>
        <v>54.675</v>
      </c>
      <c r="Q976" s="26" t="n">
        <f aca="false">IF(OR(N976="",P976=""),"",(N976-P976)/N976)</f>
        <v>0.502954545454545</v>
      </c>
      <c r="R976" s="27" t="n">
        <v>1</v>
      </c>
      <c r="S976" s="28" t="n">
        <f aca="false">IF(R976="-",0,IFERROR(VLOOKUP(R976,'Price Groups'!$A$13:$C$17,3,FALSE()),0))</f>
        <v>0.22</v>
      </c>
      <c r="T976" s="22" t="n">
        <f aca="false">IF(OR(N976="",R976="-"),"",CEILING(ROUND(N976*(1+S976),2),IF(N976*(1+S976)&lt;100,0.5,IF(N976*(1+S976)&lt;1000,1,5))))</f>
        <v>135</v>
      </c>
      <c r="U976" s="26" t="n">
        <f aca="false">IF(OR(T976="",P976=""),"",(T976-P976)/T976)</f>
        <v>0.595</v>
      </c>
      <c r="V976" s="26" t="n">
        <f aca="false">IF(T976="",0,T976/N976-1)</f>
        <v>0.227272727272727</v>
      </c>
      <c r="W976" s="19" t="s">
        <v>94</v>
      </c>
    </row>
    <row r="977" customFormat="false" ht="15" hidden="false" customHeight="false" outlineLevel="0" collapsed="false">
      <c r="A977" s="38" t="n">
        <v>926</v>
      </c>
      <c r="B977" s="38" t="s">
        <v>1153</v>
      </c>
      <c r="C977" s="38" t="s">
        <v>57</v>
      </c>
      <c r="D977" s="38"/>
      <c r="E977" s="38" t="s">
        <v>58</v>
      </c>
      <c r="F977" s="39" t="n">
        <v>6</v>
      </c>
      <c r="G977" s="39" t="n">
        <v>4</v>
      </c>
      <c r="H977" s="40" t="n">
        <v>179.94</v>
      </c>
      <c r="I977" s="40" t="n">
        <v>-2.99</v>
      </c>
      <c r="J977" s="40" t="n">
        <v>0</v>
      </c>
      <c r="K977" s="41" t="n">
        <f aca="false">H977+I977+J977</f>
        <v>176.95</v>
      </c>
      <c r="L977" s="42" t="n">
        <f aca="false">IF($K$1282=0,0,K977/$K$1282)</f>
        <v>1.4658261556257E-005</v>
      </c>
      <c r="M977" s="43" t="n">
        <f aca="false">IF(F977&lt;=0,0,K977/F977)</f>
        <v>29.4916666666667</v>
      </c>
      <c r="N977" s="40" t="n">
        <v>29.99</v>
      </c>
      <c r="O977" s="44" t="n">
        <v>0.28</v>
      </c>
      <c r="P977" s="43" t="n">
        <f aca="false">O977*'Price Groups'!$B$5</f>
        <v>6.3</v>
      </c>
      <c r="Q977" s="45" t="n">
        <f aca="false">IF(OR(N977="",P977=""),"",(N977-P977)/N977)</f>
        <v>0.789929976658886</v>
      </c>
      <c r="R977" s="46" t="n">
        <v>1</v>
      </c>
      <c r="S977" s="47" t="n">
        <f aca="false">IF(R977="-",0,IFERROR(VLOOKUP(R977,'Price Groups'!$A$13:$C$17,3,FALSE()),0))</f>
        <v>0.22</v>
      </c>
      <c r="T977" s="41" t="n">
        <f aca="false">IF(OR(N977="",R977="-"),"",CEILING(ROUND(N977*(1+S977),2),IF(N977*(1+S977)&lt;100,0.5,IF(N977*(1+S977)&lt;1000,1,5))))</f>
        <v>37</v>
      </c>
      <c r="U977" s="45" t="n">
        <f aca="false">IF(OR(T977="",P977=""),"",(T977-P977)/T977)</f>
        <v>0.82972972972973</v>
      </c>
      <c r="V977" s="45" t="n">
        <f aca="false">IF(T977="",0,T977/N977-1)</f>
        <v>0.233744581527176</v>
      </c>
      <c r="W977" s="38" t="s">
        <v>94</v>
      </c>
    </row>
    <row r="978" customFormat="false" ht="15" hidden="false" customHeight="false" outlineLevel="0" collapsed="false">
      <c r="A978" s="19" t="n">
        <v>927</v>
      </c>
      <c r="B978" s="19" t="s">
        <v>1154</v>
      </c>
      <c r="C978" s="19" t="s">
        <v>57</v>
      </c>
      <c r="D978" s="19"/>
      <c r="E978" s="19" t="s">
        <v>58</v>
      </c>
      <c r="F978" s="20" t="n">
        <v>6</v>
      </c>
      <c r="G978" s="20" t="n">
        <v>6</v>
      </c>
      <c r="H978" s="21" t="n">
        <v>1819.93</v>
      </c>
      <c r="I978" s="21" t="n">
        <v>0</v>
      </c>
      <c r="J978" s="21" t="n">
        <v>-259.99</v>
      </c>
      <c r="K978" s="22" t="n">
        <f aca="false">H978+I978+J978</f>
        <v>1559.94</v>
      </c>
      <c r="L978" s="23" t="n">
        <f aca="false">IF($K$1282=0,0,K978/$K$1282)</f>
        <v>0.00012922299255195</v>
      </c>
      <c r="M978" s="24" t="n">
        <f aca="false">IF(F978&lt;=0,0,K978/F978)</f>
        <v>259.99</v>
      </c>
      <c r="N978" s="21" t="n">
        <v>259.99</v>
      </c>
      <c r="O978" s="49" t="n">
        <v>7.22</v>
      </c>
      <c r="P978" s="24" t="n">
        <f aca="false">O978*'Price Groups'!$B$5</f>
        <v>162.45</v>
      </c>
      <c r="Q978" s="26" t="n">
        <f aca="false">IF(OR(N978="",P978=""),"",(N978-P978)/N978)</f>
        <v>0.375168275702912</v>
      </c>
      <c r="R978" s="27" t="n">
        <v>1</v>
      </c>
      <c r="S978" s="28" t="n">
        <f aca="false">IF(R978="-",0,IFERROR(VLOOKUP(R978,'Price Groups'!$A$13:$C$17,3,FALSE()),0))</f>
        <v>0.22</v>
      </c>
      <c r="T978" s="22" t="n">
        <f aca="false">IF(OR(N978="",R978="-"),"",CEILING(ROUND(N978*(1+S978),2),IF(N978*(1+S978)&lt;100,0.5,IF(N978*(1+S978)&lt;1000,1,5))))</f>
        <v>318</v>
      </c>
      <c r="U978" s="26" t="n">
        <f aca="false">IF(OR(T978="",P978=""),"",(T978-P978)/T978)</f>
        <v>0.489150943396226</v>
      </c>
      <c r="V978" s="26" t="n">
        <f aca="false">IF(T978="",0,T978/N978-1)</f>
        <v>0.223123966306396</v>
      </c>
      <c r="W978" s="19" t="s">
        <v>94</v>
      </c>
    </row>
    <row r="979" customFormat="false" ht="15" hidden="false" customHeight="false" outlineLevel="0" collapsed="false">
      <c r="A979" s="38" t="n">
        <v>928</v>
      </c>
      <c r="B979" s="38" t="s">
        <v>1155</v>
      </c>
      <c r="C979" s="38" t="s">
        <v>57</v>
      </c>
      <c r="D979" s="38"/>
      <c r="E979" s="38" t="s">
        <v>58</v>
      </c>
      <c r="F979" s="39" t="n">
        <v>6</v>
      </c>
      <c r="G979" s="39" t="n">
        <v>5</v>
      </c>
      <c r="H979" s="40" t="n">
        <v>599.94</v>
      </c>
      <c r="I979" s="40" t="n">
        <v>0</v>
      </c>
      <c r="J979" s="40" t="n">
        <v>0</v>
      </c>
      <c r="K979" s="41" t="n">
        <f aca="false">H979+I979+J979</f>
        <v>599.94</v>
      </c>
      <c r="L979" s="42" t="n">
        <f aca="false">IF($K$1282=0,0,K979/$K$1282)</f>
        <v>4.96980923315106E-005</v>
      </c>
      <c r="M979" s="43" t="n">
        <f aca="false">IF(F979&lt;=0,0,K979/F979)</f>
        <v>99.99</v>
      </c>
      <c r="N979" s="40" t="n">
        <v>62.08</v>
      </c>
      <c r="O979" s="44" t="n">
        <v>2.19</v>
      </c>
      <c r="P979" s="43" t="n">
        <f aca="false">O979*'Price Groups'!$B$5</f>
        <v>49.275</v>
      </c>
      <c r="Q979" s="45" t="n">
        <f aca="false">IF(OR(N979="",P979=""),"",(N979-P979)/N979)</f>
        <v>0.206266108247423</v>
      </c>
      <c r="R979" s="46" t="n">
        <v>1</v>
      </c>
      <c r="S979" s="47" t="n">
        <f aca="false">IF(R979="-",0,IFERROR(VLOOKUP(R979,'Price Groups'!$A$13:$C$17,3,FALSE()),0))</f>
        <v>0.22</v>
      </c>
      <c r="T979" s="41" t="n">
        <f aca="false">IF(OR(N979="",R979="-"),"",CEILING(ROUND(N979*(1+S979),2),IF(N979*(1+S979)&lt;100,0.5,IF(N979*(1+S979)&lt;1000,1,5))))</f>
        <v>76</v>
      </c>
      <c r="U979" s="45" t="n">
        <f aca="false">IF(OR(T979="",P979=""),"",(T979-P979)/T979)</f>
        <v>0.351644736842105</v>
      </c>
      <c r="V979" s="45" t="n">
        <f aca="false">IF(T979="",0,T979/N979-1)</f>
        <v>0.224226804123711</v>
      </c>
      <c r="W979" s="38" t="s">
        <v>333</v>
      </c>
    </row>
    <row r="980" customFormat="false" ht="15" hidden="false" customHeight="false" outlineLevel="0" collapsed="false">
      <c r="A980" s="19" t="n">
        <v>929</v>
      </c>
      <c r="B980" s="19" t="s">
        <v>1156</v>
      </c>
      <c r="C980" s="19" t="s">
        <v>57</v>
      </c>
      <c r="D980" s="19"/>
      <c r="E980" s="19" t="s">
        <v>58</v>
      </c>
      <c r="F980" s="20" t="n">
        <v>6</v>
      </c>
      <c r="G980" s="20" t="n">
        <v>4</v>
      </c>
      <c r="H980" s="21" t="n">
        <v>464.94</v>
      </c>
      <c r="I980" s="21" t="n">
        <v>-239.97</v>
      </c>
      <c r="J980" s="21" t="n">
        <v>0</v>
      </c>
      <c r="K980" s="22" t="n">
        <f aca="false">H980+I980+J980</f>
        <v>224.97</v>
      </c>
      <c r="L980" s="23" t="n">
        <f aca="false">IF($K$1282=0,0,K980/$K$1282)</f>
        <v>1.86361633360335E-005</v>
      </c>
      <c r="M980" s="24" t="n">
        <f aca="false">IF(F980&lt;=0,0,K980/F980)</f>
        <v>37.495</v>
      </c>
      <c r="N980" s="21" t="n">
        <v>74.99</v>
      </c>
      <c r="O980" s="49" t="n">
        <v>1.21</v>
      </c>
      <c r="P980" s="24" t="n">
        <f aca="false">O980*'Price Groups'!$B$5</f>
        <v>27.225</v>
      </c>
      <c r="Q980" s="26" t="n">
        <f aca="false">IF(OR(N980="",P980=""),"",(N980-P980)/N980)</f>
        <v>0.636951593545806</v>
      </c>
      <c r="R980" s="27" t="n">
        <v>1</v>
      </c>
      <c r="S980" s="28" t="n">
        <f aca="false">IF(R980="-",0,IFERROR(VLOOKUP(R980,'Price Groups'!$A$13:$C$17,3,FALSE()),0))</f>
        <v>0.22</v>
      </c>
      <c r="T980" s="22" t="n">
        <f aca="false">IF(OR(N980="",R980="-"),"",CEILING(ROUND(N980*(1+S980),2),IF(N980*(1+S980)&lt;100,0.5,IF(N980*(1+S980)&lt;1000,1,5))))</f>
        <v>91.5</v>
      </c>
      <c r="U980" s="26" t="n">
        <f aca="false">IF(OR(T980="",P980=""),"",(T980-P980)/T980)</f>
        <v>0.702459016393443</v>
      </c>
      <c r="V980" s="26" t="n">
        <f aca="false">IF(T980="",0,T980/N980-1)</f>
        <v>0.220162688358448</v>
      </c>
      <c r="W980" s="19" t="s">
        <v>94</v>
      </c>
    </row>
    <row r="981" customFormat="false" ht="15" hidden="false" customHeight="false" outlineLevel="0" collapsed="false">
      <c r="A981" s="38" t="n">
        <v>930</v>
      </c>
      <c r="B981" s="38" t="s">
        <v>1157</v>
      </c>
      <c r="C981" s="38" t="s">
        <v>57</v>
      </c>
      <c r="D981" s="38"/>
      <c r="E981" s="38" t="s">
        <v>58</v>
      </c>
      <c r="F981" s="39" t="n">
        <v>6</v>
      </c>
      <c r="G981" s="39" t="n">
        <v>7</v>
      </c>
      <c r="H981" s="40" t="n">
        <v>4099.82</v>
      </c>
      <c r="I981" s="40" t="n">
        <v>0</v>
      </c>
      <c r="J981" s="40" t="n">
        <v>-2699.88</v>
      </c>
      <c r="K981" s="41" t="n">
        <f aca="false">H981+I981+J981</f>
        <v>1399.94</v>
      </c>
      <c r="L981" s="42" t="n">
        <f aca="false">IF($K$1282=0,0,K981/$K$1282)</f>
        <v>0.00011596884251521</v>
      </c>
      <c r="M981" s="43" t="n">
        <f aca="false">IF(F981&lt;=0,0,K981/F981)</f>
        <v>233.323333333333</v>
      </c>
      <c r="N981" s="40" t="n">
        <v>249.99</v>
      </c>
      <c r="O981" s="44" t="n">
        <v>7.84</v>
      </c>
      <c r="P981" s="43" t="n">
        <f aca="false">O981*'Price Groups'!$B$5</f>
        <v>176.4</v>
      </c>
      <c r="Q981" s="45" t="n">
        <f aca="false">IF(OR(N981="",P981=""),"",(N981-P981)/N981)</f>
        <v>0.294371774870995</v>
      </c>
      <c r="R981" s="46" t="n">
        <v>1</v>
      </c>
      <c r="S981" s="47" t="n">
        <f aca="false">IF(R981="-",0,IFERROR(VLOOKUP(R981,'Price Groups'!$A$13:$C$17,3,FALSE()),0))</f>
        <v>0.22</v>
      </c>
      <c r="T981" s="41" t="n">
        <f aca="false">IF(OR(N981="",R981="-"),"",CEILING(ROUND(N981*(1+S981),2),IF(N981*(1+S981)&lt;100,0.5,IF(N981*(1+S981)&lt;1000,1,5))))</f>
        <v>305</v>
      </c>
      <c r="U981" s="45" t="n">
        <f aca="false">IF(OR(T981="",P981=""),"",(T981-P981)/T981)</f>
        <v>0.421639344262295</v>
      </c>
      <c r="V981" s="45" t="n">
        <f aca="false">IF(T981="",0,T981/N981-1)</f>
        <v>0.220048801952078</v>
      </c>
      <c r="W981" s="38" t="s">
        <v>94</v>
      </c>
    </row>
    <row r="982" customFormat="false" ht="15" hidden="false" customHeight="false" outlineLevel="0" collapsed="false">
      <c r="A982" s="19" t="n">
        <v>931</v>
      </c>
      <c r="B982" s="19" t="s">
        <v>1158</v>
      </c>
      <c r="C982" s="19" t="s">
        <v>57</v>
      </c>
      <c r="D982" s="19"/>
      <c r="E982" s="19" t="s">
        <v>58</v>
      </c>
      <c r="F982" s="20" t="n">
        <v>6</v>
      </c>
      <c r="G982" s="20" t="n">
        <v>5</v>
      </c>
      <c r="H982" s="21" t="n">
        <v>1074</v>
      </c>
      <c r="I982" s="21" t="n">
        <v>0</v>
      </c>
      <c r="J982" s="21" t="n">
        <v>0</v>
      </c>
      <c r="K982" s="22" t="n">
        <f aca="false">H982+I982+J982</f>
        <v>1074</v>
      </c>
      <c r="L982" s="23" t="n">
        <f aca="false">IF($K$1282=0,0,K982/$K$1282)</f>
        <v>8.89684821216162E-005</v>
      </c>
      <c r="M982" s="24" t="n">
        <f aca="false">IF(F982&lt;=0,0,K982/F982)</f>
        <v>179</v>
      </c>
      <c r="N982" s="21" t="n">
        <v>179</v>
      </c>
      <c r="O982" s="49" t="n">
        <v>3.93</v>
      </c>
      <c r="P982" s="24" t="n">
        <f aca="false">O982*'Price Groups'!$B$5</f>
        <v>88.425</v>
      </c>
      <c r="Q982" s="26" t="n">
        <f aca="false">IF(OR(N982="",P982=""),"",(N982-P982)/N982)</f>
        <v>0.506005586592179</v>
      </c>
      <c r="R982" s="27" t="n">
        <v>1</v>
      </c>
      <c r="S982" s="28" t="n">
        <f aca="false">IF(R982="-",0,IFERROR(VLOOKUP(R982,'Price Groups'!$A$13:$C$17,3,FALSE()),0))</f>
        <v>0.22</v>
      </c>
      <c r="T982" s="22" t="n">
        <f aca="false">IF(OR(N982="",R982="-"),"",CEILING(ROUND(N982*(1+S982),2),IF(N982*(1+S982)&lt;100,0.5,IF(N982*(1+S982)&lt;1000,1,5))))</f>
        <v>219</v>
      </c>
      <c r="U982" s="26" t="n">
        <f aca="false">IF(OR(T982="",P982=""),"",(T982-P982)/T982)</f>
        <v>0.596232876712329</v>
      </c>
      <c r="V982" s="26" t="n">
        <f aca="false">IF(T982="",0,T982/N982-1)</f>
        <v>0.223463687150838</v>
      </c>
      <c r="W982" s="19" t="s">
        <v>94</v>
      </c>
    </row>
    <row r="983" customFormat="false" ht="15" hidden="false" customHeight="false" outlineLevel="0" collapsed="false">
      <c r="A983" s="38" t="n">
        <v>932</v>
      </c>
      <c r="B983" s="38" t="s">
        <v>1159</v>
      </c>
      <c r="C983" s="38" t="s">
        <v>57</v>
      </c>
      <c r="D983" s="38"/>
      <c r="E983" s="38" t="s">
        <v>58</v>
      </c>
      <c r="F983" s="39" t="n">
        <v>6</v>
      </c>
      <c r="G983" s="39" t="n">
        <v>8</v>
      </c>
      <c r="H983" s="40" t="n">
        <v>1359.92</v>
      </c>
      <c r="I983" s="40" t="n">
        <v>0</v>
      </c>
      <c r="J983" s="40" t="n">
        <v>-339.98</v>
      </c>
      <c r="K983" s="41" t="n">
        <f aca="false">H983+I983+J983</f>
        <v>1019.94</v>
      </c>
      <c r="L983" s="42" t="n">
        <f aca="false">IF($K$1282=0,0,K983/$K$1282)</f>
        <v>8.44902361779527E-005</v>
      </c>
      <c r="M983" s="43" t="n">
        <f aca="false">IF(F983&lt;=0,0,K983/F983)</f>
        <v>169.99</v>
      </c>
      <c r="N983" s="40" t="n">
        <v>120</v>
      </c>
      <c r="O983" s="44" t="n">
        <v>3.7</v>
      </c>
      <c r="P983" s="43" t="n">
        <f aca="false">O983*'Price Groups'!$B$5</f>
        <v>83.25</v>
      </c>
      <c r="Q983" s="45" t="n">
        <f aca="false">IF(OR(N983="",P983=""),"",(N983-P983)/N983)</f>
        <v>0.30625</v>
      </c>
      <c r="R983" s="46" t="n">
        <v>1</v>
      </c>
      <c r="S983" s="47" t="n">
        <f aca="false">IF(R983="-",0,IFERROR(VLOOKUP(R983,'Price Groups'!$A$13:$C$17,3,FALSE()),0))</f>
        <v>0.22</v>
      </c>
      <c r="T983" s="41" t="n">
        <f aca="false">IF(OR(N983="",R983="-"),"",CEILING(ROUND(N983*(1+S983),2),IF(N983*(1+S983)&lt;100,0.5,IF(N983*(1+S983)&lt;1000,1,5))))</f>
        <v>147</v>
      </c>
      <c r="U983" s="45" t="n">
        <f aca="false">IF(OR(T983="",P983=""),"",(T983-P983)/T983)</f>
        <v>0.433673469387755</v>
      </c>
      <c r="V983" s="45" t="n">
        <f aca="false">IF(T983="",0,T983/N983-1)</f>
        <v>0.225</v>
      </c>
      <c r="W983" s="38" t="s">
        <v>94</v>
      </c>
    </row>
    <row r="984" customFormat="false" ht="15" hidden="false" customHeight="false" outlineLevel="0" collapsed="false">
      <c r="A984" s="19" t="n">
        <v>933</v>
      </c>
      <c r="B984" s="19" t="s">
        <v>1160</v>
      </c>
      <c r="C984" s="19" t="s">
        <v>57</v>
      </c>
      <c r="D984" s="19"/>
      <c r="E984" s="19" t="s">
        <v>58</v>
      </c>
      <c r="F984" s="20" t="n">
        <v>6</v>
      </c>
      <c r="G984" s="20" t="n">
        <v>5</v>
      </c>
      <c r="H984" s="21" t="n">
        <v>3249.94</v>
      </c>
      <c r="I984" s="21" t="n">
        <v>-64.99</v>
      </c>
      <c r="J984" s="21" t="n">
        <v>0</v>
      </c>
      <c r="K984" s="22" t="n">
        <f aca="false">H984+I984+J984</f>
        <v>3184.95</v>
      </c>
      <c r="L984" s="23" t="n">
        <f aca="false">IF($K$1282=0,0,K984/$K$1282)</f>
        <v>0.000263836282246966</v>
      </c>
      <c r="M984" s="24" t="n">
        <f aca="false">IF(F984&lt;=0,0,K984/F984)</f>
        <v>530.825</v>
      </c>
      <c r="N984" s="21" t="n">
        <v>649.99</v>
      </c>
      <c r="O984" s="49" t="n">
        <v>20</v>
      </c>
      <c r="P984" s="24" t="n">
        <f aca="false">O984*'Price Groups'!$B$5</f>
        <v>450</v>
      </c>
      <c r="Q984" s="26" t="n">
        <f aca="false">IF(OR(N984="",P984=""),"",(N984-P984)/N984)</f>
        <v>0.307681656640871</v>
      </c>
      <c r="R984" s="27" t="n">
        <v>1</v>
      </c>
      <c r="S984" s="28" t="n">
        <f aca="false">IF(R984="-",0,IFERROR(VLOOKUP(R984,'Price Groups'!$A$13:$C$17,3,FALSE()),0))</f>
        <v>0.22</v>
      </c>
      <c r="T984" s="22" t="n">
        <f aca="false">IF(OR(N984="",R984="-"),"",CEILING(ROUND(N984*(1+S984),2),IF(N984*(1+S984)&lt;100,0.5,IF(N984*(1+S984)&lt;1000,1,5))))</f>
        <v>793</v>
      </c>
      <c r="U984" s="26" t="n">
        <f aca="false">IF(OR(T984="",P984=""),"",(T984-P984)/T984)</f>
        <v>0.432534678436318</v>
      </c>
      <c r="V984" s="26" t="n">
        <f aca="false">IF(T984="",0,T984/N984-1)</f>
        <v>0.220018769519531</v>
      </c>
      <c r="W984" s="19" t="s">
        <v>94</v>
      </c>
    </row>
    <row r="985" customFormat="false" ht="15" hidden="false" customHeight="false" outlineLevel="0" collapsed="false">
      <c r="A985" s="38" t="n">
        <v>934</v>
      </c>
      <c r="B985" s="38" t="s">
        <v>1161</v>
      </c>
      <c r="C985" s="38" t="s">
        <v>57</v>
      </c>
      <c r="D985" s="38"/>
      <c r="E985" s="38" t="s">
        <v>58</v>
      </c>
      <c r="F985" s="39" t="n">
        <v>6</v>
      </c>
      <c r="G985" s="39" t="n">
        <v>4</v>
      </c>
      <c r="H985" s="40" t="n">
        <v>899.94</v>
      </c>
      <c r="I985" s="40" t="n">
        <v>-44.97</v>
      </c>
      <c r="J985" s="40" t="n">
        <v>0</v>
      </c>
      <c r="K985" s="41" t="n">
        <f aca="false">H985+I985+J985</f>
        <v>854.97</v>
      </c>
      <c r="L985" s="42" t="n">
        <f aca="false">IF($K$1282=0,0,K985/$K$1282)</f>
        <v>7.08243791056966E-005</v>
      </c>
      <c r="M985" s="43" t="n">
        <f aca="false">IF(F985&lt;=0,0,K985/F985)</f>
        <v>142.495</v>
      </c>
      <c r="N985" s="40" t="n">
        <v>149.99</v>
      </c>
      <c r="O985" s="44" t="n">
        <v>3.05</v>
      </c>
      <c r="P985" s="43" t="n">
        <f aca="false">O985*'Price Groups'!$B$5</f>
        <v>68.625</v>
      </c>
      <c r="Q985" s="45" t="n">
        <f aca="false">IF(OR(N985="",P985=""),"",(N985-P985)/N985)</f>
        <v>0.542469497966531</v>
      </c>
      <c r="R985" s="46" t="n">
        <v>1</v>
      </c>
      <c r="S985" s="47" t="n">
        <f aca="false">IF(R985="-",0,IFERROR(VLOOKUP(R985,'Price Groups'!$A$13:$C$17,3,FALSE()),0))</f>
        <v>0.22</v>
      </c>
      <c r="T985" s="41" t="n">
        <f aca="false">IF(OR(N985="",R985="-"),"",CEILING(ROUND(N985*(1+S985),2),IF(N985*(1+S985)&lt;100,0.5,IF(N985*(1+S985)&lt;1000,1,5))))</f>
        <v>183</v>
      </c>
      <c r="U985" s="45" t="n">
        <f aca="false">IF(OR(T985="",P985=""),"",(T985-P985)/T985)</f>
        <v>0.625</v>
      </c>
      <c r="V985" s="45" t="n">
        <f aca="false">IF(T985="",0,T985/N985-1)</f>
        <v>0.220081338755917</v>
      </c>
      <c r="W985" s="38" t="s">
        <v>94</v>
      </c>
    </row>
    <row r="986" customFormat="false" ht="15" hidden="false" customHeight="false" outlineLevel="0" collapsed="false">
      <c r="A986" s="19" t="n">
        <v>935</v>
      </c>
      <c r="B986" s="19" t="s">
        <v>1162</v>
      </c>
      <c r="C986" s="19" t="s">
        <v>57</v>
      </c>
      <c r="D986" s="19"/>
      <c r="E986" s="19" t="s">
        <v>58</v>
      </c>
      <c r="F986" s="20" t="n">
        <v>6</v>
      </c>
      <c r="G986" s="20" t="n">
        <v>8</v>
      </c>
      <c r="H986" s="21" t="n">
        <v>923.63</v>
      </c>
      <c r="I986" s="21" t="n">
        <v>0</v>
      </c>
      <c r="J986" s="21" t="n">
        <v>-269.97</v>
      </c>
      <c r="K986" s="22" t="n">
        <f aca="false">H986+I986+J986</f>
        <v>653.66</v>
      </c>
      <c r="L986" s="23" t="n">
        <f aca="false">IF($K$1282=0,0,K986/$K$1282)</f>
        <v>5.4148173206346E-005</v>
      </c>
      <c r="M986" s="24" t="n">
        <f aca="false">IF(F986&lt;=0,0,K986/F986)</f>
        <v>108.943333333333</v>
      </c>
      <c r="N986" s="21" t="n">
        <v>89.99</v>
      </c>
      <c r="O986" s="49" t="n">
        <v>2.83</v>
      </c>
      <c r="P986" s="24" t="n">
        <f aca="false">O986*'Price Groups'!$B$5</f>
        <v>63.675</v>
      </c>
      <c r="Q986" s="26" t="n">
        <f aca="false">IF(OR(N986="",P986=""),"",(N986-P986)/N986)</f>
        <v>0.29242138015335</v>
      </c>
      <c r="R986" s="27" t="n">
        <v>1</v>
      </c>
      <c r="S986" s="28" t="n">
        <f aca="false">IF(R986="-",0,IFERROR(VLOOKUP(R986,'Price Groups'!$A$13:$C$17,3,FALSE()),0))</f>
        <v>0.22</v>
      </c>
      <c r="T986" s="22" t="n">
        <f aca="false">IF(OR(N986="",R986="-"),"",CEILING(ROUND(N986*(1+S986),2),IF(N986*(1+S986)&lt;100,0.5,IF(N986*(1+S986)&lt;1000,1,5))))</f>
        <v>110</v>
      </c>
      <c r="U986" s="26" t="n">
        <f aca="false">IF(OR(T986="",P986=""),"",(T986-P986)/T986)</f>
        <v>0.421136363636364</v>
      </c>
      <c r="V986" s="26" t="n">
        <f aca="false">IF(T986="",0,T986/N986-1)</f>
        <v>0.222358039782198</v>
      </c>
      <c r="W986" s="19" t="s">
        <v>94</v>
      </c>
    </row>
    <row r="987" customFormat="false" ht="15" hidden="false" customHeight="false" outlineLevel="0" collapsed="false">
      <c r="A987" s="38" t="n">
        <v>936</v>
      </c>
      <c r="B987" s="38" t="s">
        <v>1163</v>
      </c>
      <c r="C987" s="38" t="s">
        <v>57</v>
      </c>
      <c r="D987" s="38"/>
      <c r="E987" s="38" t="s">
        <v>58</v>
      </c>
      <c r="F987" s="39" t="n">
        <v>6</v>
      </c>
      <c r="G987" s="39" t="n">
        <v>6</v>
      </c>
      <c r="H987" s="40" t="n">
        <v>119.94</v>
      </c>
      <c r="I987" s="40" t="n">
        <v>-1.99</v>
      </c>
      <c r="J987" s="40" t="n">
        <v>0</v>
      </c>
      <c r="K987" s="41" t="n">
        <f aca="false">H987+I987+J987</f>
        <v>117.95</v>
      </c>
      <c r="L987" s="42" t="n">
        <f aca="false">IF($K$1282=0,0,K987/$K$1282)</f>
        <v>9.77079373020915E-006</v>
      </c>
      <c r="M987" s="43" t="n">
        <f aca="false">IF(F987&lt;=0,0,K987/F987)</f>
        <v>19.6583333333333</v>
      </c>
      <c r="N987" s="40" t="n">
        <v>19.99</v>
      </c>
      <c r="O987" s="44" t="n">
        <v>0.42</v>
      </c>
      <c r="P987" s="43" t="n">
        <f aca="false">O987*'Price Groups'!$B$5</f>
        <v>9.45</v>
      </c>
      <c r="Q987" s="45" t="n">
        <f aca="false">IF(OR(N987="",P987=""),"",(N987-P987)/N987)</f>
        <v>0.527263631815908</v>
      </c>
      <c r="R987" s="46" t="n">
        <v>1</v>
      </c>
      <c r="S987" s="47" t="n">
        <f aca="false">IF(R987="-",0,IFERROR(VLOOKUP(R987,'Price Groups'!$A$13:$C$17,3,FALSE()),0))</f>
        <v>0.22</v>
      </c>
      <c r="T987" s="41" t="n">
        <f aca="false">IF(OR(N987="",R987="-"),"",CEILING(ROUND(N987*(1+S987),2),IF(N987*(1+S987)&lt;100,0.5,IF(N987*(1+S987)&lt;1000,1,5))))</f>
        <v>24.5</v>
      </c>
      <c r="U987" s="45" t="n">
        <f aca="false">IF(OR(T987="",P987=""),"",(T987-P987)/T987)</f>
        <v>0.614285714285714</v>
      </c>
      <c r="V987" s="45" t="n">
        <f aca="false">IF(T987="",0,T987/N987-1)</f>
        <v>0.225612806403202</v>
      </c>
      <c r="W987" s="38" t="s">
        <v>94</v>
      </c>
    </row>
    <row r="988" customFormat="false" ht="15" hidden="false" customHeight="false" outlineLevel="0" collapsed="false">
      <c r="A988" s="19" t="n">
        <v>937</v>
      </c>
      <c r="B988" s="19" t="s">
        <v>1164</v>
      </c>
      <c r="C988" s="19" t="s">
        <v>57</v>
      </c>
      <c r="D988" s="19"/>
      <c r="E988" s="19" t="s">
        <v>58</v>
      </c>
      <c r="F988" s="20" t="n">
        <v>5</v>
      </c>
      <c r="G988" s="20" t="n">
        <v>4</v>
      </c>
      <c r="H988" s="21" t="n">
        <v>62.96</v>
      </c>
      <c r="I988" s="21" t="n">
        <v>-0.99</v>
      </c>
      <c r="J988" s="21" t="n">
        <v>0</v>
      </c>
      <c r="K988" s="22" t="n">
        <f aca="false">H988+I988+J988</f>
        <v>61.97</v>
      </c>
      <c r="L988" s="23" t="n">
        <f aca="false">IF($K$1282=0,0,K988/$K$1282)</f>
        <v>5.1334979861048E-006</v>
      </c>
      <c r="M988" s="24" t="n">
        <f aca="false">IF(F988&lt;=0,0,K988/F988)</f>
        <v>12.394</v>
      </c>
      <c r="N988" s="21" t="n">
        <v>23</v>
      </c>
      <c r="O988" s="49" t="n">
        <v>0.37</v>
      </c>
      <c r="P988" s="24" t="n">
        <f aca="false">O988*'Price Groups'!$B$5</f>
        <v>8.325</v>
      </c>
      <c r="Q988" s="26" t="n">
        <f aca="false">IF(OR(N988="",P988=""),"",(N988-P988)/N988)</f>
        <v>0.63804347826087</v>
      </c>
      <c r="R988" s="27" t="n">
        <v>1</v>
      </c>
      <c r="S988" s="28" t="n">
        <f aca="false">IF(R988="-",0,IFERROR(VLOOKUP(R988,'Price Groups'!$A$13:$C$17,3,FALSE()),0))</f>
        <v>0.22</v>
      </c>
      <c r="T988" s="22" t="n">
        <f aca="false">IF(OR(N988="",R988="-"),"",CEILING(ROUND(N988*(1+S988),2),IF(N988*(1+S988)&lt;100,0.5,IF(N988*(1+S988)&lt;1000,1,5))))</f>
        <v>28.5</v>
      </c>
      <c r="U988" s="26" t="n">
        <f aca="false">IF(OR(T988="",P988=""),"",(T988-P988)/T988)</f>
        <v>0.707894736842105</v>
      </c>
      <c r="V988" s="26" t="n">
        <f aca="false">IF(T988="",0,T988/N988-1)</f>
        <v>0.239130434782609</v>
      </c>
      <c r="W988" s="19" t="s">
        <v>94</v>
      </c>
    </row>
    <row r="989" customFormat="false" ht="15" hidden="false" customHeight="false" outlineLevel="0" collapsed="false">
      <c r="A989" s="38" t="n">
        <v>938</v>
      </c>
      <c r="B989" s="38" t="s">
        <v>1165</v>
      </c>
      <c r="C989" s="38" t="s">
        <v>57</v>
      </c>
      <c r="D989" s="38"/>
      <c r="E989" s="38" t="s">
        <v>58</v>
      </c>
      <c r="F989" s="39" t="n">
        <v>5</v>
      </c>
      <c r="G989" s="39" t="n">
        <v>4</v>
      </c>
      <c r="H989" s="40" t="n">
        <v>1499.95</v>
      </c>
      <c r="I989" s="40" t="n">
        <v>-29.99</v>
      </c>
      <c r="J989" s="40" t="n">
        <v>0</v>
      </c>
      <c r="K989" s="41" t="n">
        <f aca="false">H989+I989+J989</f>
        <v>1469.96</v>
      </c>
      <c r="L989" s="42" t="n">
        <f aca="false">IF($K$1282=0,0,K989/$K$1282)</f>
        <v>0.000121769189925038</v>
      </c>
      <c r="M989" s="43" t="n">
        <f aca="false">IF(F989&lt;=0,0,K989/F989)</f>
        <v>293.992</v>
      </c>
      <c r="N989" s="40" t="n">
        <v>299.99</v>
      </c>
      <c r="O989" s="44" t="n">
        <v>8.11</v>
      </c>
      <c r="P989" s="43" t="n">
        <f aca="false">O989*'Price Groups'!$B$5</f>
        <v>182.475</v>
      </c>
      <c r="Q989" s="45" t="n">
        <f aca="false">IF(OR(N989="",P989=""),"",(N989-P989)/N989)</f>
        <v>0.391729724324144</v>
      </c>
      <c r="R989" s="46" t="n">
        <v>1</v>
      </c>
      <c r="S989" s="47" t="n">
        <f aca="false">IF(R989="-",0,IFERROR(VLOOKUP(R989,'Price Groups'!$A$13:$C$17,3,FALSE()),0))</f>
        <v>0.22</v>
      </c>
      <c r="T989" s="41" t="n">
        <f aca="false">IF(OR(N989="",R989="-"),"",CEILING(ROUND(N989*(1+S989),2),IF(N989*(1+S989)&lt;100,0.5,IF(N989*(1+S989)&lt;1000,1,5))))</f>
        <v>366</v>
      </c>
      <c r="U989" s="45" t="n">
        <f aca="false">IF(OR(T989="",P989=""),"",(T989-P989)/T989)</f>
        <v>0.501434426229508</v>
      </c>
      <c r="V989" s="45" t="n">
        <f aca="false">IF(T989="",0,T989/N989-1)</f>
        <v>0.220040668022267</v>
      </c>
      <c r="W989" s="38" t="s">
        <v>94</v>
      </c>
    </row>
    <row r="990" customFormat="false" ht="15" hidden="false" customHeight="false" outlineLevel="0" collapsed="false">
      <c r="A990" s="19" t="n">
        <v>939</v>
      </c>
      <c r="B990" s="19" t="s">
        <v>407</v>
      </c>
      <c r="C990" s="19" t="s">
        <v>307</v>
      </c>
      <c r="D990" s="19" t="s">
        <v>406</v>
      </c>
      <c r="E990" s="19" t="s">
        <v>58</v>
      </c>
      <c r="F990" s="20" t="n">
        <v>5</v>
      </c>
      <c r="G990" s="20" t="n">
        <v>5</v>
      </c>
      <c r="H990" s="21" t="n">
        <v>2900</v>
      </c>
      <c r="I990" s="21" t="n">
        <v>0</v>
      </c>
      <c r="J990" s="21" t="n">
        <v>0</v>
      </c>
      <c r="K990" s="22" t="n">
        <f aca="false">H990+I990+J990</f>
        <v>2900</v>
      </c>
      <c r="L990" s="23" t="n">
        <f aca="false">IF($K$1282=0,0,K990/$K$1282)</f>
        <v>0.00024023146941591</v>
      </c>
      <c r="M990" s="24" t="n">
        <f aca="false">IF(F990&lt;=0,0,K990/F990)</f>
        <v>580</v>
      </c>
      <c r="N990" s="21" t="n">
        <v>600</v>
      </c>
      <c r="O990" s="49" t="n">
        <v>11.21</v>
      </c>
      <c r="P990" s="24" t="n">
        <f aca="false">O990*'Price Groups'!$B$5</f>
        <v>252.225</v>
      </c>
      <c r="Q990" s="26" t="n">
        <f aca="false">IF(OR(N990="",P990=""),"",(N990-P990)/N990)</f>
        <v>0.579625</v>
      </c>
      <c r="R990" s="27" t="n">
        <v>1</v>
      </c>
      <c r="S990" s="28" t="n">
        <f aca="false">IF(R990="-",0,IFERROR(VLOOKUP(R990,'Price Groups'!$A$13:$C$17,3,FALSE()),0))</f>
        <v>0.22</v>
      </c>
      <c r="T990" s="22" t="n">
        <f aca="false">IF(OR(N990="",R990="-"),"",CEILING(ROUND(N990*(1+S990),2),IF(N990*(1+S990)&lt;100,0.5,IF(N990*(1+S990)&lt;1000,1,5))))</f>
        <v>732</v>
      </c>
      <c r="U990" s="26" t="n">
        <f aca="false">IF(OR(T990="",P990=""),"",(T990-P990)/T990)</f>
        <v>0.655430327868853</v>
      </c>
      <c r="V990" s="26" t="n">
        <f aca="false">IF(T990="",0,T990/N990-1)</f>
        <v>0.22</v>
      </c>
      <c r="W990" s="19" t="s">
        <v>1166</v>
      </c>
    </row>
    <row r="991" customFormat="false" ht="15" hidden="false" customHeight="false" outlineLevel="0" collapsed="false">
      <c r="A991" s="38" t="n">
        <v>940</v>
      </c>
      <c r="B991" s="38" t="s">
        <v>1167</v>
      </c>
      <c r="C991" s="38" t="s">
        <v>57</v>
      </c>
      <c r="D991" s="38"/>
      <c r="E991" s="38" t="s">
        <v>58</v>
      </c>
      <c r="F991" s="39" t="n">
        <v>5</v>
      </c>
      <c r="G991" s="39" t="n">
        <v>3</v>
      </c>
      <c r="H991" s="40" t="n">
        <v>995</v>
      </c>
      <c r="I991" s="40" t="n">
        <v>0</v>
      </c>
      <c r="J991" s="40" t="n">
        <v>0</v>
      </c>
      <c r="K991" s="41" t="n">
        <f aca="false">H991+I991+J991</f>
        <v>995</v>
      </c>
      <c r="L991" s="42" t="n">
        <f aca="false">IF($K$1282=0,0,K991/$K$1282)</f>
        <v>8.24242455409759E-005</v>
      </c>
      <c r="M991" s="43" t="n">
        <f aca="false">IF(F991&lt;=0,0,K991/F991)</f>
        <v>199</v>
      </c>
      <c r="N991" s="40" t="n">
        <v>199</v>
      </c>
      <c r="O991" s="44" t="n">
        <v>5.4</v>
      </c>
      <c r="P991" s="43" t="n">
        <f aca="false">O991*'Price Groups'!$B$5</f>
        <v>121.5</v>
      </c>
      <c r="Q991" s="45" t="n">
        <f aca="false">IF(OR(N991="",P991=""),"",(N991-P991)/N991)</f>
        <v>0.389447236180904</v>
      </c>
      <c r="R991" s="46" t="n">
        <v>1</v>
      </c>
      <c r="S991" s="47" t="n">
        <f aca="false">IF(R991="-",0,IFERROR(VLOOKUP(R991,'Price Groups'!$A$13:$C$17,3,FALSE()),0))</f>
        <v>0.22</v>
      </c>
      <c r="T991" s="41" t="n">
        <f aca="false">IF(OR(N991="",R991="-"),"",CEILING(ROUND(N991*(1+S991),2),IF(N991*(1+S991)&lt;100,0.5,IF(N991*(1+S991)&lt;1000,1,5))))</f>
        <v>243</v>
      </c>
      <c r="U991" s="45" t="n">
        <f aca="false">IF(OR(T991="",P991=""),"",(T991-P991)/T991)</f>
        <v>0.5</v>
      </c>
      <c r="V991" s="45" t="n">
        <f aca="false">IF(T991="",0,T991/N991-1)</f>
        <v>0.221105527638191</v>
      </c>
      <c r="W991" s="38" t="s">
        <v>94</v>
      </c>
    </row>
    <row r="992" customFormat="false" ht="15" hidden="false" customHeight="false" outlineLevel="0" collapsed="false">
      <c r="A992" s="19" t="n">
        <v>941</v>
      </c>
      <c r="B992" s="19" t="s">
        <v>434</v>
      </c>
      <c r="C992" s="19" t="s">
        <v>307</v>
      </c>
      <c r="D992" s="19" t="s">
        <v>433</v>
      </c>
      <c r="E992" s="19" t="s">
        <v>58</v>
      </c>
      <c r="F992" s="20" t="n">
        <v>5</v>
      </c>
      <c r="G992" s="20" t="n">
        <v>5</v>
      </c>
      <c r="H992" s="21" t="n">
        <v>1487.96</v>
      </c>
      <c r="I992" s="21" t="n">
        <v>-28.49</v>
      </c>
      <c r="J992" s="21" t="n">
        <v>0</v>
      </c>
      <c r="K992" s="22" t="n">
        <f aca="false">H992+I992+J992</f>
        <v>1459.47</v>
      </c>
      <c r="L992" s="23" t="n">
        <f aca="false">IF($K$1282=0,0,K992/$K$1282)</f>
        <v>0.000120900214713254</v>
      </c>
      <c r="M992" s="24" t="n">
        <f aca="false">IF(F992&lt;=0,0,K992/F992)</f>
        <v>291.894</v>
      </c>
      <c r="N992" s="21" t="n">
        <v>348</v>
      </c>
      <c r="O992" s="49" t="n">
        <v>7.56</v>
      </c>
      <c r="P992" s="24" t="n">
        <f aca="false">O992*'Price Groups'!$B$5</f>
        <v>170.1</v>
      </c>
      <c r="Q992" s="26" t="n">
        <f aca="false">IF(OR(N992="",P992=""),"",(N992-P992)/N992)</f>
        <v>0.511206896551724</v>
      </c>
      <c r="R992" s="27" t="n">
        <v>1</v>
      </c>
      <c r="S992" s="28" t="n">
        <f aca="false">IF(R992="-",0,IFERROR(VLOOKUP(R992,'Price Groups'!$A$13:$C$17,3,FALSE()),0))</f>
        <v>0.22</v>
      </c>
      <c r="T992" s="22" t="n">
        <f aca="false">IF(OR(N992="",R992="-"),"",CEILING(ROUND(N992*(1+S992),2),IF(N992*(1+S992)&lt;100,0.5,IF(N992*(1+S992)&lt;1000,1,5))))</f>
        <v>425</v>
      </c>
      <c r="U992" s="26" t="n">
        <f aca="false">IF(OR(T992="",P992=""),"",(T992-P992)/T992)</f>
        <v>0.599764705882353</v>
      </c>
      <c r="V992" s="26" t="n">
        <f aca="false">IF(T992="",0,T992/N992-1)</f>
        <v>0.221264367816092</v>
      </c>
      <c r="W992" s="19" t="s">
        <v>1168</v>
      </c>
    </row>
    <row r="993" customFormat="false" ht="15" hidden="false" customHeight="false" outlineLevel="0" collapsed="false">
      <c r="A993" s="38" t="n">
        <v>942</v>
      </c>
      <c r="B993" s="38" t="s">
        <v>1169</v>
      </c>
      <c r="C993" s="38" t="s">
        <v>57</v>
      </c>
      <c r="D993" s="38"/>
      <c r="E993" s="38" t="s">
        <v>58</v>
      </c>
      <c r="F993" s="39" t="n">
        <v>5</v>
      </c>
      <c r="G993" s="39" t="n">
        <v>3</v>
      </c>
      <c r="H993" s="40" t="n">
        <v>2200</v>
      </c>
      <c r="I993" s="40" t="n">
        <v>0</v>
      </c>
      <c r="J993" s="40" t="n">
        <v>0</v>
      </c>
      <c r="K993" s="41" t="n">
        <f aca="false">H993+I993+J993</f>
        <v>2200</v>
      </c>
      <c r="L993" s="42" t="n">
        <f aca="false">IF($K$1282=0,0,K993/$K$1282)</f>
        <v>0.000182244563005173</v>
      </c>
      <c r="M993" s="43" t="n">
        <f aca="false">IF(F993&lt;=0,0,K993/F993)</f>
        <v>440</v>
      </c>
      <c r="N993" s="40" t="n">
        <v>440</v>
      </c>
      <c r="O993" s="44" t="n">
        <v>9.75</v>
      </c>
      <c r="P993" s="43" t="n">
        <f aca="false">O993*'Price Groups'!$B$5</f>
        <v>219.375</v>
      </c>
      <c r="Q993" s="45" t="n">
        <f aca="false">IF(OR(N993="",P993=""),"",(N993-P993)/N993)</f>
        <v>0.501420454545455</v>
      </c>
      <c r="R993" s="46" t="n">
        <v>1</v>
      </c>
      <c r="S993" s="47" t="n">
        <f aca="false">IF(R993="-",0,IFERROR(VLOOKUP(R993,'Price Groups'!$A$13:$C$17,3,FALSE()),0))</f>
        <v>0.22</v>
      </c>
      <c r="T993" s="41" t="n">
        <f aca="false">IF(OR(N993="",R993="-"),"",CEILING(ROUND(N993*(1+S993),2),IF(N993*(1+S993)&lt;100,0.5,IF(N993*(1+S993)&lt;1000,1,5))))</f>
        <v>537</v>
      </c>
      <c r="U993" s="45" t="n">
        <f aca="false">IF(OR(T993="",P993=""),"",(T993-P993)/T993)</f>
        <v>0.591480446927374</v>
      </c>
      <c r="V993" s="45" t="n">
        <f aca="false">IF(T993="",0,T993/N993-1)</f>
        <v>0.220454545454545</v>
      </c>
      <c r="W993" s="38" t="s">
        <v>94</v>
      </c>
    </row>
    <row r="994" customFormat="false" ht="15" hidden="false" customHeight="false" outlineLevel="0" collapsed="false">
      <c r="A994" s="19" t="n">
        <v>943</v>
      </c>
      <c r="B994" s="19" t="s">
        <v>1170</v>
      </c>
      <c r="C994" s="19" t="s">
        <v>57</v>
      </c>
      <c r="D994" s="19"/>
      <c r="E994" s="19" t="s">
        <v>58</v>
      </c>
      <c r="F994" s="20" t="n">
        <v>5</v>
      </c>
      <c r="G994" s="20" t="n">
        <v>8</v>
      </c>
      <c r="H994" s="21" t="n">
        <v>20046.25</v>
      </c>
      <c r="I994" s="21" t="n">
        <v>0</v>
      </c>
      <c r="J994" s="21" t="n">
        <v>-8397</v>
      </c>
      <c r="K994" s="22" t="n">
        <f aca="false">H994+I994+J994</f>
        <v>11649.25</v>
      </c>
      <c r="L994" s="23" t="n">
        <f aca="false">IF($K$1282=0,0,K994/$K$1282)</f>
        <v>0.000965005670721822</v>
      </c>
      <c r="M994" s="24" t="n">
        <f aca="false">IF(F994&lt;=0,0,K994/F994)</f>
        <v>2329.85</v>
      </c>
      <c r="N994" s="21" t="n">
        <v>2090</v>
      </c>
      <c r="O994" s="49" t="n">
        <v>41</v>
      </c>
      <c r="P994" s="24" t="n">
        <f aca="false">O994*'Price Groups'!$B$5</f>
        <v>922.5</v>
      </c>
      <c r="Q994" s="26" t="n">
        <f aca="false">IF(OR(N994="",P994=""),"",(N994-P994)/N994)</f>
        <v>0.558612440191388</v>
      </c>
      <c r="R994" s="27" t="n">
        <v>3</v>
      </c>
      <c r="S994" s="28" t="n">
        <f aca="false">IF(R994="-",0,IFERROR(VLOOKUP(R994,'Price Groups'!$A$13:$C$17,3,FALSE()),0))</f>
        <v>0.16</v>
      </c>
      <c r="T994" s="22" t="n">
        <f aca="false">IF(OR(N994="",R994="-"),"",CEILING(ROUND(N994*(1+S994),2),IF(N994*(1+S994)&lt;100,0.5,IF(N994*(1+S994)&lt;1000,1,5))))</f>
        <v>2425</v>
      </c>
      <c r="U994" s="26" t="n">
        <f aca="false">IF(OR(T994="",P994=""),"",(T994-P994)/T994)</f>
        <v>0.619587628865979</v>
      </c>
      <c r="V994" s="26" t="n">
        <f aca="false">IF(T994="",0,T994/N994-1)</f>
        <v>0.160287081339713</v>
      </c>
      <c r="W994" s="19" t="s">
        <v>107</v>
      </c>
    </row>
    <row r="995" customFormat="false" ht="15" hidden="false" customHeight="false" outlineLevel="0" collapsed="false">
      <c r="A995" s="38" t="n">
        <v>944</v>
      </c>
      <c r="B995" s="38" t="s">
        <v>1171</v>
      </c>
      <c r="C995" s="38" t="s">
        <v>57</v>
      </c>
      <c r="D995" s="38"/>
      <c r="E995" s="38" t="s">
        <v>58</v>
      </c>
      <c r="F995" s="39" t="n">
        <v>5</v>
      </c>
      <c r="G995" s="39" t="n">
        <v>3</v>
      </c>
      <c r="H995" s="40" t="n">
        <v>714.19</v>
      </c>
      <c r="I995" s="40" t="n">
        <v>0</v>
      </c>
      <c r="J995" s="40" t="n">
        <v>0</v>
      </c>
      <c r="K995" s="41" t="n">
        <f aca="false">H995+I995+J995</f>
        <v>714.19</v>
      </c>
      <c r="L995" s="42" t="n">
        <f aca="false">IF($K$1282=0,0,K995/$K$1282)</f>
        <v>5.91623838421202E-005</v>
      </c>
      <c r="M995" s="43" t="n">
        <f aca="false">IF(F995&lt;=0,0,K995/F995)</f>
        <v>142.838</v>
      </c>
      <c r="N995" s="40" t="n">
        <v>137.3</v>
      </c>
      <c r="O995" s="44" t="n">
        <v>5.57</v>
      </c>
      <c r="P995" s="43" t="n">
        <f aca="false">O995*'Price Groups'!$B$5</f>
        <v>125.325</v>
      </c>
      <c r="Q995" s="45" t="n">
        <f aca="false">IF(OR(N995="",P995=""),"",(N995-P995)/N995)</f>
        <v>0.0872177713037146</v>
      </c>
      <c r="R995" s="46" t="n">
        <v>1</v>
      </c>
      <c r="S995" s="47" t="n">
        <f aca="false">IF(R995="-",0,IFERROR(VLOOKUP(R995,'Price Groups'!$A$13:$C$17,3,FALSE()),0))</f>
        <v>0.22</v>
      </c>
      <c r="T995" s="41" t="n">
        <f aca="false">IF(OR(N995="",R995="-"),"",CEILING(ROUND(N995*(1+S995),2),IF(N995*(1+S995)&lt;100,0.5,IF(N995*(1+S995)&lt;1000,1,5))))</f>
        <v>168</v>
      </c>
      <c r="U995" s="45" t="n">
        <f aca="false">IF(OR(T995="",P995=""),"",(T995-P995)/T995)</f>
        <v>0.254017857142857</v>
      </c>
      <c r="V995" s="45" t="n">
        <f aca="false">IF(T995="",0,T995/N995-1)</f>
        <v>0.223597960670066</v>
      </c>
      <c r="W995" s="38" t="s">
        <v>857</v>
      </c>
    </row>
    <row r="996" customFormat="false" ht="15" hidden="false" customHeight="false" outlineLevel="0" collapsed="false">
      <c r="A996" s="19" t="n">
        <v>945</v>
      </c>
      <c r="B996" s="19" t="s">
        <v>1172</v>
      </c>
      <c r="C996" s="19" t="s">
        <v>57</v>
      </c>
      <c r="D996" s="19"/>
      <c r="E996" s="19" t="s">
        <v>58</v>
      </c>
      <c r="F996" s="20" t="n">
        <v>5</v>
      </c>
      <c r="G996" s="20" t="n">
        <v>4</v>
      </c>
      <c r="H996" s="21" t="n">
        <v>784.96</v>
      </c>
      <c r="I996" s="21" t="n">
        <v>0</v>
      </c>
      <c r="J996" s="21" t="n">
        <v>0</v>
      </c>
      <c r="K996" s="22" t="n">
        <f aca="false">H996+I996+J996</f>
        <v>784.96</v>
      </c>
      <c r="L996" s="23" t="n">
        <f aca="false">IF($K$1282=0,0,K996/$K$1282)</f>
        <v>6.50248600802457E-005</v>
      </c>
      <c r="M996" s="24" t="n">
        <f aca="false">IF(F996&lt;=0,0,K996/F996)</f>
        <v>156.992</v>
      </c>
      <c r="N996" s="21" t="n">
        <v>125</v>
      </c>
      <c r="O996" s="49" t="n">
        <v>5.83</v>
      </c>
      <c r="P996" s="24" t="n">
        <f aca="false">O996*'Price Groups'!$B$5</f>
        <v>131.175</v>
      </c>
      <c r="Q996" s="26" t="n">
        <f aca="false">IF(OR(N996="",P996=""),"",(N996-P996)/N996)</f>
        <v>-0.0494000000000001</v>
      </c>
      <c r="R996" s="27" t="n">
        <v>1</v>
      </c>
      <c r="S996" s="28" t="n">
        <f aca="false">IF(R996="-",0,IFERROR(VLOOKUP(R996,'Price Groups'!$A$13:$C$17,3,FALSE()),0))</f>
        <v>0.22</v>
      </c>
      <c r="T996" s="22" t="n">
        <f aca="false">IF(OR(N996="",R996="-"),"",CEILING(ROUND(N996*(1+S996),2),IF(N996*(1+S996)&lt;100,0.5,IF(N996*(1+S996)&lt;1000,1,5))))</f>
        <v>153</v>
      </c>
      <c r="U996" s="26" t="n">
        <f aca="false">IF(OR(T996="",P996=""),"",(T996-P996)/T996)</f>
        <v>0.142647058823529</v>
      </c>
      <c r="V996" s="26" t="n">
        <f aca="false">IF(T996="",0,T996/N996-1)</f>
        <v>0.224</v>
      </c>
      <c r="W996" s="19" t="s">
        <v>1173</v>
      </c>
    </row>
    <row r="997" customFormat="false" ht="15" hidden="false" customHeight="false" outlineLevel="0" collapsed="false">
      <c r="A997" s="38" t="n">
        <v>946</v>
      </c>
      <c r="B997" s="38" t="s">
        <v>1174</v>
      </c>
      <c r="C997" s="38" t="s">
        <v>57</v>
      </c>
      <c r="D997" s="38"/>
      <c r="E997" s="38" t="s">
        <v>58</v>
      </c>
      <c r="F997" s="39" t="n">
        <v>5</v>
      </c>
      <c r="G997" s="39" t="n">
        <v>6</v>
      </c>
      <c r="H997" s="40" t="n">
        <v>823.8</v>
      </c>
      <c r="I997" s="40" t="n">
        <v>0</v>
      </c>
      <c r="J997" s="40" t="n">
        <v>-137.3</v>
      </c>
      <c r="K997" s="41" t="n">
        <f aca="false">H997+I997+J997</f>
        <v>686.5</v>
      </c>
      <c r="L997" s="42" t="n">
        <f aca="false">IF($K$1282=0,0,K997/$K$1282)</f>
        <v>5.68685875013869E-005</v>
      </c>
      <c r="M997" s="43" t="n">
        <f aca="false">IF(F997&lt;=0,0,K997/F997)</f>
        <v>137.3</v>
      </c>
      <c r="N997" s="40" t="n">
        <v>137.3</v>
      </c>
      <c r="O997" s="44" t="n">
        <v>5.57</v>
      </c>
      <c r="P997" s="43" t="n">
        <f aca="false">O997*'Price Groups'!$B$5</f>
        <v>125.325</v>
      </c>
      <c r="Q997" s="45" t="n">
        <f aca="false">IF(OR(N997="",P997=""),"",(N997-P997)/N997)</f>
        <v>0.0872177713037146</v>
      </c>
      <c r="R997" s="46" t="n">
        <v>1</v>
      </c>
      <c r="S997" s="47" t="n">
        <f aca="false">IF(R997="-",0,IFERROR(VLOOKUP(R997,'Price Groups'!$A$13:$C$17,3,FALSE()),0))</f>
        <v>0.22</v>
      </c>
      <c r="T997" s="41" t="n">
        <f aca="false">IF(OR(N997="",R997="-"),"",CEILING(ROUND(N997*(1+S997),2),IF(N997*(1+S997)&lt;100,0.5,IF(N997*(1+S997)&lt;1000,1,5))))</f>
        <v>168</v>
      </c>
      <c r="U997" s="45" t="n">
        <f aca="false">IF(OR(T997="",P997=""),"",(T997-P997)/T997)</f>
        <v>0.254017857142857</v>
      </c>
      <c r="V997" s="45" t="n">
        <f aca="false">IF(T997="",0,T997/N997-1)</f>
        <v>0.223597960670066</v>
      </c>
      <c r="W997" s="38" t="s">
        <v>857</v>
      </c>
    </row>
    <row r="998" customFormat="false" ht="15" hidden="false" customHeight="false" outlineLevel="0" collapsed="false">
      <c r="A998" s="19" t="n">
        <v>947</v>
      </c>
      <c r="B998" s="19" t="s">
        <v>1175</v>
      </c>
      <c r="C998" s="19" t="s">
        <v>57</v>
      </c>
      <c r="D998" s="19"/>
      <c r="E998" s="19" t="s">
        <v>58</v>
      </c>
      <c r="F998" s="20" t="n">
        <v>5</v>
      </c>
      <c r="G998" s="20" t="n">
        <v>3</v>
      </c>
      <c r="H998" s="21" t="n">
        <v>824.95</v>
      </c>
      <c r="I998" s="21" t="n">
        <v>0</v>
      </c>
      <c r="J998" s="21" t="n">
        <v>0</v>
      </c>
      <c r="K998" s="22" t="n">
        <f aca="false">H998+I998+J998</f>
        <v>824.95</v>
      </c>
      <c r="L998" s="23" t="n">
        <f aca="false">IF($K$1282=0,0,K998/$K$1282)</f>
        <v>6.83375692050533E-005</v>
      </c>
      <c r="M998" s="24" t="n">
        <f aca="false">IF(F998&lt;=0,0,K998/F998)</f>
        <v>164.99</v>
      </c>
      <c r="N998" s="21" t="n">
        <v>164.99</v>
      </c>
      <c r="O998" s="49" t="n">
        <v>5.83</v>
      </c>
      <c r="P998" s="24" t="n">
        <f aca="false">O998*'Price Groups'!$B$5</f>
        <v>131.175</v>
      </c>
      <c r="Q998" s="26" t="n">
        <f aca="false">IF(OR(N998="",P998=""),"",(N998-P998)/N998)</f>
        <v>0.204951815261531</v>
      </c>
      <c r="R998" s="27" t="n">
        <v>1</v>
      </c>
      <c r="S998" s="28" t="n">
        <f aca="false">IF(R998="-",0,IFERROR(VLOOKUP(R998,'Price Groups'!$A$13:$C$17,3,FALSE()),0))</f>
        <v>0.22</v>
      </c>
      <c r="T998" s="22" t="n">
        <f aca="false">IF(OR(N998="",R998="-"),"",CEILING(ROUND(N998*(1+S998),2),IF(N998*(1+S998)&lt;100,0.5,IF(N998*(1+S998)&lt;1000,1,5))))</f>
        <v>202</v>
      </c>
      <c r="U998" s="26" t="n">
        <f aca="false">IF(OR(T998="",P998=""),"",(T998-P998)/T998)</f>
        <v>0.350618811881188</v>
      </c>
      <c r="V998" s="26" t="n">
        <f aca="false">IF(T998="",0,T998/N998-1)</f>
        <v>0.224316625250015</v>
      </c>
      <c r="W998" s="19" t="s">
        <v>207</v>
      </c>
    </row>
    <row r="999" customFormat="false" ht="15" hidden="false" customHeight="false" outlineLevel="0" collapsed="false">
      <c r="A999" s="38" t="n">
        <v>948</v>
      </c>
      <c r="B999" s="38" t="s">
        <v>1176</v>
      </c>
      <c r="C999" s="38" t="s">
        <v>57</v>
      </c>
      <c r="D999" s="38"/>
      <c r="E999" s="38" t="s">
        <v>58</v>
      </c>
      <c r="F999" s="39" t="n">
        <v>5</v>
      </c>
      <c r="G999" s="39" t="n">
        <v>5</v>
      </c>
      <c r="H999" s="40" t="n">
        <v>1519.92</v>
      </c>
      <c r="I999" s="40" t="n">
        <v>0</v>
      </c>
      <c r="J999" s="40" t="n">
        <v>-569.97</v>
      </c>
      <c r="K999" s="41" t="n">
        <f aca="false">H999+I999+J999</f>
        <v>949.95</v>
      </c>
      <c r="L999" s="42" t="n">
        <f aca="false">IF($K$1282=0,0,K999/$K$1282)</f>
        <v>7.86923739212563E-005</v>
      </c>
      <c r="M999" s="43" t="n">
        <f aca="false">IF(F999&lt;=0,0,K999/F999)</f>
        <v>189.99</v>
      </c>
      <c r="N999" s="40" t="n">
        <v>189.99</v>
      </c>
      <c r="O999" s="44" t="n">
        <v>4.66</v>
      </c>
      <c r="P999" s="43" t="n">
        <f aca="false">O999*'Price Groups'!$B$5</f>
        <v>104.85</v>
      </c>
      <c r="Q999" s="45" t="n">
        <f aca="false">IF(OR(N999="",P999=""),"",(N999-P999)/N999)</f>
        <v>0.448128848886784</v>
      </c>
      <c r="R999" s="46" t="n">
        <v>1</v>
      </c>
      <c r="S999" s="47" t="n">
        <f aca="false">IF(R999="-",0,IFERROR(VLOOKUP(R999,'Price Groups'!$A$13:$C$17,3,FALSE()),0))</f>
        <v>0.22</v>
      </c>
      <c r="T999" s="41" t="n">
        <f aca="false">IF(OR(N999="",R999="-"),"",CEILING(ROUND(N999*(1+S999),2),IF(N999*(1+S999)&lt;100,0.5,IF(N999*(1+S999)&lt;1000,1,5))))</f>
        <v>232</v>
      </c>
      <c r="U999" s="45" t="n">
        <f aca="false">IF(OR(T999="",P999=""),"",(T999-P999)/T999)</f>
        <v>0.548060344827586</v>
      </c>
      <c r="V999" s="45" t="n">
        <f aca="false">IF(T999="",0,T999/N999-1)</f>
        <v>0.22111690088952</v>
      </c>
      <c r="W999" s="38" t="s">
        <v>94</v>
      </c>
    </row>
    <row r="1000" customFormat="false" ht="15" hidden="false" customHeight="false" outlineLevel="0" collapsed="false">
      <c r="A1000" s="19" t="n">
        <v>949</v>
      </c>
      <c r="B1000" s="19" t="s">
        <v>1177</v>
      </c>
      <c r="C1000" s="19" t="s">
        <v>57</v>
      </c>
      <c r="D1000" s="19"/>
      <c r="E1000" s="19" t="s">
        <v>58</v>
      </c>
      <c r="F1000" s="20" t="n">
        <v>5</v>
      </c>
      <c r="G1000" s="20" t="n">
        <v>3</v>
      </c>
      <c r="H1000" s="21" t="n">
        <v>1129.96</v>
      </c>
      <c r="I1000" s="21" t="n">
        <v>0</v>
      </c>
      <c r="J1000" s="21" t="n">
        <v>0</v>
      </c>
      <c r="K1000" s="22" t="n">
        <f aca="false">H1000+I1000+J1000</f>
        <v>1129.96</v>
      </c>
      <c r="L1000" s="23" t="n">
        <f aca="false">IF($K$1282=0,0,K1000/$K$1282)</f>
        <v>9.36041210969659E-005</v>
      </c>
      <c r="M1000" s="24" t="n">
        <f aca="false">IF(F1000&lt;=0,0,K1000/F1000)</f>
        <v>225.992</v>
      </c>
      <c r="N1000" s="21" t="n">
        <v>210</v>
      </c>
      <c r="O1000" s="49" t="n">
        <v>4.46</v>
      </c>
      <c r="P1000" s="24" t="n">
        <f aca="false">O1000*'Price Groups'!$B$5</f>
        <v>100.35</v>
      </c>
      <c r="Q1000" s="26" t="n">
        <f aca="false">IF(OR(N1000="",P1000=""),"",(N1000-P1000)/N1000)</f>
        <v>0.522142857142857</v>
      </c>
      <c r="R1000" s="27" t="n">
        <v>1</v>
      </c>
      <c r="S1000" s="28" t="n">
        <f aca="false">IF(R1000="-",0,IFERROR(VLOOKUP(R1000,'Price Groups'!$A$13:$C$17,3,FALSE()),0))</f>
        <v>0.22</v>
      </c>
      <c r="T1000" s="22" t="n">
        <f aca="false">IF(OR(N1000="",R1000="-"),"",CEILING(ROUND(N1000*(1+S1000),2),IF(N1000*(1+S1000)&lt;100,0.5,IF(N1000*(1+S1000)&lt;1000,1,5))))</f>
        <v>257</v>
      </c>
      <c r="U1000" s="26" t="n">
        <f aca="false">IF(OR(T1000="",P1000=""),"",(T1000-P1000)/T1000)</f>
        <v>0.609533073929961</v>
      </c>
      <c r="V1000" s="26" t="n">
        <f aca="false">IF(T1000="",0,T1000/N1000-1)</f>
        <v>0.223809523809524</v>
      </c>
      <c r="W1000" s="19" t="s">
        <v>94</v>
      </c>
    </row>
    <row r="1001" customFormat="false" ht="15" hidden="false" customHeight="false" outlineLevel="0" collapsed="false">
      <c r="A1001" s="38" t="n">
        <v>950</v>
      </c>
      <c r="B1001" s="38" t="s">
        <v>1178</v>
      </c>
      <c r="C1001" s="38" t="s">
        <v>57</v>
      </c>
      <c r="D1001" s="38"/>
      <c r="E1001" s="38" t="s">
        <v>58</v>
      </c>
      <c r="F1001" s="39" t="n">
        <v>5</v>
      </c>
      <c r="G1001" s="39" t="n">
        <v>5</v>
      </c>
      <c r="H1001" s="40" t="n">
        <v>1679.94</v>
      </c>
      <c r="I1001" s="40" t="n">
        <v>0</v>
      </c>
      <c r="J1001" s="40" t="n">
        <v>-279.99</v>
      </c>
      <c r="K1001" s="41" t="n">
        <f aca="false">H1001+I1001+J1001</f>
        <v>1399.95</v>
      </c>
      <c r="L1001" s="42" t="n">
        <f aca="false">IF($K$1282=0,0,K1001/$K$1282)</f>
        <v>0.000115969670899587</v>
      </c>
      <c r="M1001" s="43" t="n">
        <f aca="false">IF(F1001&lt;=0,0,K1001/F1001)</f>
        <v>279.99</v>
      </c>
      <c r="N1001" s="40" t="n">
        <v>279.99</v>
      </c>
      <c r="O1001" s="44" t="n">
        <v>5.27</v>
      </c>
      <c r="P1001" s="43" t="n">
        <f aca="false">O1001*'Price Groups'!$B$5</f>
        <v>118.575</v>
      </c>
      <c r="Q1001" s="45" t="n">
        <f aca="false">IF(OR(N1001="",P1001=""),"",(N1001-P1001)/N1001)</f>
        <v>0.576502732240437</v>
      </c>
      <c r="R1001" s="46" t="n">
        <v>1</v>
      </c>
      <c r="S1001" s="47" t="n">
        <f aca="false">IF(R1001="-",0,IFERROR(VLOOKUP(R1001,'Price Groups'!$A$13:$C$17,3,FALSE()),0))</f>
        <v>0.22</v>
      </c>
      <c r="T1001" s="41" t="n">
        <f aca="false">IF(OR(N1001="",R1001="-"),"",CEILING(ROUND(N1001*(1+S1001),2),IF(N1001*(1+S1001)&lt;100,0.5,IF(N1001*(1+S1001)&lt;1000,1,5))))</f>
        <v>342</v>
      </c>
      <c r="U1001" s="45" t="n">
        <f aca="false">IF(OR(T1001="",P1001=""),"",(T1001-P1001)/T1001)</f>
        <v>0.653289473684211</v>
      </c>
      <c r="V1001" s="45" t="n">
        <f aca="false">IF(T1001="",0,T1001/N1001-1)</f>
        <v>0.221472195435551</v>
      </c>
      <c r="W1001" s="38" t="s">
        <v>94</v>
      </c>
    </row>
    <row r="1002" customFormat="false" ht="15" hidden="false" customHeight="false" outlineLevel="0" collapsed="false">
      <c r="A1002" s="19" t="n">
        <v>951</v>
      </c>
      <c r="B1002" s="19" t="s">
        <v>1179</v>
      </c>
      <c r="C1002" s="19" t="s">
        <v>57</v>
      </c>
      <c r="D1002" s="19"/>
      <c r="E1002" s="19" t="s">
        <v>58</v>
      </c>
      <c r="F1002" s="20" t="n">
        <v>5</v>
      </c>
      <c r="G1002" s="20" t="n">
        <v>4</v>
      </c>
      <c r="H1002" s="21" t="n">
        <v>642.96</v>
      </c>
      <c r="I1002" s="21" t="n">
        <v>0</v>
      </c>
      <c r="J1002" s="21" t="n">
        <v>0</v>
      </c>
      <c r="K1002" s="22" t="n">
        <f aca="false">H1002+I1002+J1002</f>
        <v>642.96</v>
      </c>
      <c r="L1002" s="23" t="n">
        <f aca="false">IF($K$1282=0,0,K1002/$K$1282)</f>
        <v>5.32618019226391E-005</v>
      </c>
      <c r="M1002" s="24" t="n">
        <f aca="false">IF(F1002&lt;=0,0,K1002/F1002)</f>
        <v>128.592</v>
      </c>
      <c r="N1002" s="21" t="n">
        <v>123</v>
      </c>
      <c r="O1002" s="49" t="n">
        <v>2.83</v>
      </c>
      <c r="P1002" s="24" t="n">
        <f aca="false">O1002*'Price Groups'!$B$5</f>
        <v>63.675</v>
      </c>
      <c r="Q1002" s="26" t="n">
        <f aca="false">IF(OR(N1002="",P1002=""),"",(N1002-P1002)/N1002)</f>
        <v>0.482317073170732</v>
      </c>
      <c r="R1002" s="27" t="n">
        <v>1</v>
      </c>
      <c r="S1002" s="28" t="n">
        <f aca="false">IF(R1002="-",0,IFERROR(VLOOKUP(R1002,'Price Groups'!$A$13:$C$17,3,FALSE()),0))</f>
        <v>0.22</v>
      </c>
      <c r="T1002" s="22" t="n">
        <f aca="false">IF(OR(N1002="",R1002="-"),"",CEILING(ROUND(N1002*(1+S1002),2),IF(N1002*(1+S1002)&lt;100,0.5,IF(N1002*(1+S1002)&lt;1000,1,5))))</f>
        <v>151</v>
      </c>
      <c r="U1002" s="26" t="n">
        <f aca="false">IF(OR(T1002="",P1002=""),"",(T1002-P1002)/T1002)</f>
        <v>0.578311258278146</v>
      </c>
      <c r="V1002" s="26" t="n">
        <f aca="false">IF(T1002="",0,T1002/N1002-1)</f>
        <v>0.227642276422764</v>
      </c>
      <c r="W1002" s="19" t="s">
        <v>94</v>
      </c>
    </row>
    <row r="1003" customFormat="false" ht="15" hidden="false" customHeight="false" outlineLevel="0" collapsed="false">
      <c r="A1003" s="38" t="n">
        <v>952</v>
      </c>
      <c r="B1003" s="38" t="s">
        <v>1180</v>
      </c>
      <c r="C1003" s="38" t="s">
        <v>57</v>
      </c>
      <c r="D1003" s="38"/>
      <c r="E1003" s="38" t="s">
        <v>58</v>
      </c>
      <c r="F1003" s="39" t="n">
        <v>5</v>
      </c>
      <c r="G1003" s="39" t="n">
        <v>7</v>
      </c>
      <c r="H1003" s="40" t="n">
        <v>2799.92</v>
      </c>
      <c r="I1003" s="40" t="n">
        <v>-17.5</v>
      </c>
      <c r="J1003" s="40" t="n">
        <v>-1049.97</v>
      </c>
      <c r="K1003" s="41" t="n">
        <f aca="false">H1003+I1003+J1003</f>
        <v>1732.45</v>
      </c>
      <c r="L1003" s="42" t="n">
        <f aca="false">IF($K$1282=0,0,K1003/$K$1282)</f>
        <v>0.000143513451444687</v>
      </c>
      <c r="M1003" s="43" t="n">
        <f aca="false">IF(F1003&lt;=0,0,K1003/F1003)</f>
        <v>346.49</v>
      </c>
      <c r="N1003" s="40" t="n">
        <v>349.99</v>
      </c>
      <c r="O1003" s="44" t="n">
        <v>14.5</v>
      </c>
      <c r="P1003" s="43" t="n">
        <f aca="false">O1003*'Price Groups'!$B$5</f>
        <v>326.25</v>
      </c>
      <c r="Q1003" s="45" t="n">
        <f aca="false">IF(OR(N1003="",P1003=""),"",(N1003-P1003)/N1003)</f>
        <v>0.067830509443127</v>
      </c>
      <c r="R1003" s="46" t="n">
        <v>1</v>
      </c>
      <c r="S1003" s="47" t="n">
        <f aca="false">IF(R1003="-",0,IFERROR(VLOOKUP(R1003,'Price Groups'!$A$13:$C$17,3,FALSE()),0))</f>
        <v>0.22</v>
      </c>
      <c r="T1003" s="41" t="n">
        <f aca="false">IF(OR(N1003="",R1003="-"),"",CEILING(ROUND(N1003*(1+S1003),2),IF(N1003*(1+S1003)&lt;100,0.5,IF(N1003*(1+S1003)&lt;1000,1,5))))</f>
        <v>427</v>
      </c>
      <c r="U1003" s="45" t="n">
        <f aca="false">IF(OR(T1003="",P1003=""),"",(T1003-P1003)/T1003)</f>
        <v>0.235948477751756</v>
      </c>
      <c r="V1003" s="45" t="n">
        <f aca="false">IF(T1003="",0,T1003/N1003-1)</f>
        <v>0.220034858138804</v>
      </c>
      <c r="W1003" s="38" t="s">
        <v>1181</v>
      </c>
    </row>
    <row r="1004" customFormat="false" ht="15" hidden="false" customHeight="false" outlineLevel="0" collapsed="false">
      <c r="A1004" s="19" t="n">
        <v>953</v>
      </c>
      <c r="B1004" s="19" t="s">
        <v>1182</v>
      </c>
      <c r="C1004" s="19" t="s">
        <v>57</v>
      </c>
      <c r="D1004" s="19"/>
      <c r="E1004" s="19" t="s">
        <v>58</v>
      </c>
      <c r="F1004" s="20" t="n">
        <v>5</v>
      </c>
      <c r="G1004" s="20" t="n">
        <v>3</v>
      </c>
      <c r="H1004" s="21" t="n">
        <v>119.94</v>
      </c>
      <c r="I1004" s="21" t="n">
        <v>0</v>
      </c>
      <c r="J1004" s="21" t="n">
        <v>-19.99</v>
      </c>
      <c r="K1004" s="22" t="n">
        <f aca="false">H1004+I1004+J1004</f>
        <v>99.95</v>
      </c>
      <c r="L1004" s="23" t="n">
        <f aca="false">IF($K$1282=0,0,K1004/$K$1282)</f>
        <v>8.27970185107592E-006</v>
      </c>
      <c r="M1004" s="24" t="n">
        <f aca="false">IF(F1004&lt;=0,0,K1004/F1004)</f>
        <v>19.99</v>
      </c>
      <c r="N1004" s="21" t="n">
        <v>19.99</v>
      </c>
      <c r="O1004" s="49" t="n">
        <v>0.16</v>
      </c>
      <c r="P1004" s="24" t="n">
        <f aca="false">O1004*'Price Groups'!$B$5</f>
        <v>3.6</v>
      </c>
      <c r="Q1004" s="26" t="n">
        <f aca="false">IF(OR(N1004="",P1004=""),"",(N1004-P1004)/N1004)</f>
        <v>0.819909954977489</v>
      </c>
      <c r="R1004" s="27" t="n">
        <v>1</v>
      </c>
      <c r="S1004" s="28" t="n">
        <f aca="false">IF(R1004="-",0,IFERROR(VLOOKUP(R1004,'Price Groups'!$A$13:$C$17,3,FALSE()),0))</f>
        <v>0.22</v>
      </c>
      <c r="T1004" s="22" t="n">
        <f aca="false">IF(OR(N1004="",R1004="-"),"",CEILING(ROUND(N1004*(1+S1004),2),IF(N1004*(1+S1004)&lt;100,0.5,IF(N1004*(1+S1004)&lt;1000,1,5))))</f>
        <v>24.5</v>
      </c>
      <c r="U1004" s="26" t="n">
        <f aca="false">IF(OR(T1004="",P1004=""),"",(T1004-P1004)/T1004)</f>
        <v>0.853061224489796</v>
      </c>
      <c r="V1004" s="26" t="n">
        <f aca="false">IF(T1004="",0,T1004/N1004-1)</f>
        <v>0.225612806403202</v>
      </c>
      <c r="W1004" s="19" t="s">
        <v>94</v>
      </c>
    </row>
    <row r="1005" customFormat="false" ht="15" hidden="false" customHeight="false" outlineLevel="0" collapsed="false">
      <c r="A1005" s="38" t="n">
        <v>954</v>
      </c>
      <c r="B1005" s="38" t="s">
        <v>1183</v>
      </c>
      <c r="C1005" s="38" t="s">
        <v>57</v>
      </c>
      <c r="D1005" s="38"/>
      <c r="E1005" s="38" t="s">
        <v>58</v>
      </c>
      <c r="F1005" s="39" t="n">
        <v>5</v>
      </c>
      <c r="G1005" s="39" t="n">
        <v>9</v>
      </c>
      <c r="H1005" s="40" t="n">
        <v>2381.67</v>
      </c>
      <c r="I1005" s="40" t="n">
        <v>-0.39</v>
      </c>
      <c r="J1005" s="40" t="n">
        <v>-951.68</v>
      </c>
      <c r="K1005" s="41" t="n">
        <f aca="false">H1005+I1005+J1005</f>
        <v>1429.6</v>
      </c>
      <c r="L1005" s="42" t="n">
        <f aca="false">IF($K$1282=0,0,K1005/$K$1282)</f>
        <v>0.000118425830578271</v>
      </c>
      <c r="M1005" s="43" t="n">
        <f aca="false">IF(F1005&lt;=0,0,K1005/F1005)</f>
        <v>285.92</v>
      </c>
      <c r="N1005" s="40" t="n">
        <v>200.84</v>
      </c>
      <c r="O1005" s="44" t="n">
        <v>6.79</v>
      </c>
      <c r="P1005" s="43" t="n">
        <f aca="false">O1005*'Price Groups'!$B$5</f>
        <v>152.775</v>
      </c>
      <c r="Q1005" s="45" t="n">
        <f aca="false">IF(OR(N1005="",P1005=""),"",(N1005-P1005)/N1005)</f>
        <v>0.23931985660227</v>
      </c>
      <c r="R1005" s="46" t="n">
        <v>1</v>
      </c>
      <c r="S1005" s="47" t="n">
        <f aca="false">IF(R1005="-",0,IFERROR(VLOOKUP(R1005,'Price Groups'!$A$13:$C$17,3,FALSE()),0))</f>
        <v>0.22</v>
      </c>
      <c r="T1005" s="41" t="n">
        <f aca="false">IF(OR(N1005="",R1005="-"),"",CEILING(ROUND(N1005*(1+S1005),2),IF(N1005*(1+S1005)&lt;100,0.5,IF(N1005*(1+S1005)&lt;1000,1,5))))</f>
        <v>246</v>
      </c>
      <c r="U1005" s="45" t="n">
        <f aca="false">IF(OR(T1005="",P1005=""),"",(T1005-P1005)/T1005)</f>
        <v>0.378963414634146</v>
      </c>
      <c r="V1005" s="45" t="n">
        <f aca="false">IF(T1005="",0,T1005/N1005-1)</f>
        <v>0.224855606452898</v>
      </c>
      <c r="W1005" s="38" t="s">
        <v>244</v>
      </c>
    </row>
    <row r="1006" customFormat="false" ht="15" hidden="false" customHeight="false" outlineLevel="0" collapsed="false">
      <c r="A1006" s="19" t="n">
        <v>955</v>
      </c>
      <c r="B1006" s="19" t="s">
        <v>1184</v>
      </c>
      <c r="C1006" s="19" t="s">
        <v>57</v>
      </c>
      <c r="D1006" s="19"/>
      <c r="E1006" s="19" t="s">
        <v>58</v>
      </c>
      <c r="F1006" s="20" t="n">
        <v>5</v>
      </c>
      <c r="G1006" s="20" t="n">
        <v>5</v>
      </c>
      <c r="H1006" s="21" t="n">
        <v>550</v>
      </c>
      <c r="I1006" s="21" t="n">
        <v>0</v>
      </c>
      <c r="J1006" s="21" t="n">
        <v>0</v>
      </c>
      <c r="K1006" s="22" t="n">
        <f aca="false">H1006+I1006+J1006</f>
        <v>550</v>
      </c>
      <c r="L1006" s="23" t="n">
        <f aca="false">IF($K$1282=0,0,K1006/$K$1282)</f>
        <v>4.55611407512932E-005</v>
      </c>
      <c r="M1006" s="24" t="n">
        <f aca="false">IF(F1006&lt;=0,0,K1006/F1006)</f>
        <v>110</v>
      </c>
      <c r="N1006" s="21" t="n">
        <v>110</v>
      </c>
      <c r="O1006" s="49" t="n">
        <v>2.43</v>
      </c>
      <c r="P1006" s="24" t="n">
        <f aca="false">O1006*'Price Groups'!$B$5</f>
        <v>54.675</v>
      </c>
      <c r="Q1006" s="26" t="n">
        <f aca="false">IF(OR(N1006="",P1006=""),"",(N1006-P1006)/N1006)</f>
        <v>0.502954545454545</v>
      </c>
      <c r="R1006" s="27" t="n">
        <v>1</v>
      </c>
      <c r="S1006" s="28" t="n">
        <f aca="false">IF(R1006="-",0,IFERROR(VLOOKUP(R1006,'Price Groups'!$A$13:$C$17,3,FALSE()),0))</f>
        <v>0.22</v>
      </c>
      <c r="T1006" s="22" t="n">
        <f aca="false">IF(OR(N1006="",R1006="-"),"",CEILING(ROUND(N1006*(1+S1006),2),IF(N1006*(1+S1006)&lt;100,0.5,IF(N1006*(1+S1006)&lt;1000,1,5))))</f>
        <v>135</v>
      </c>
      <c r="U1006" s="26" t="n">
        <f aca="false">IF(OR(T1006="",P1006=""),"",(T1006-P1006)/T1006)</f>
        <v>0.595</v>
      </c>
      <c r="V1006" s="26" t="n">
        <f aca="false">IF(T1006="",0,T1006/N1006-1)</f>
        <v>0.227272727272727</v>
      </c>
      <c r="W1006" s="19" t="s">
        <v>94</v>
      </c>
    </row>
    <row r="1007" customFormat="false" ht="15" hidden="false" customHeight="false" outlineLevel="0" collapsed="false">
      <c r="A1007" s="38" t="n">
        <v>956</v>
      </c>
      <c r="B1007" s="38" t="s">
        <v>1185</v>
      </c>
      <c r="C1007" s="38" t="s">
        <v>57</v>
      </c>
      <c r="D1007" s="38"/>
      <c r="E1007" s="38" t="s">
        <v>58</v>
      </c>
      <c r="F1007" s="39" t="n">
        <v>5</v>
      </c>
      <c r="G1007" s="39" t="n">
        <v>5</v>
      </c>
      <c r="H1007" s="40" t="n">
        <v>749.95</v>
      </c>
      <c r="I1007" s="40" t="n">
        <v>0</v>
      </c>
      <c r="J1007" s="40" t="n">
        <v>0</v>
      </c>
      <c r="K1007" s="41" t="n">
        <f aca="false">H1007+I1007+J1007</f>
        <v>749.95</v>
      </c>
      <c r="L1007" s="42" t="n">
        <f aca="false">IF($K$1282=0,0,K1007/$K$1282)</f>
        <v>6.21246863753315E-005</v>
      </c>
      <c r="M1007" s="43" t="n">
        <f aca="false">IF(F1007&lt;=0,0,K1007/F1007)</f>
        <v>149.99</v>
      </c>
      <c r="N1007" s="40" t="n">
        <v>149.99</v>
      </c>
      <c r="O1007" s="44" t="n">
        <v>3.3</v>
      </c>
      <c r="P1007" s="43" t="n">
        <f aca="false">O1007*'Price Groups'!$B$5</f>
        <v>74.25</v>
      </c>
      <c r="Q1007" s="45" t="n">
        <f aca="false">IF(OR(N1007="",P1007=""),"",(N1007-P1007)/N1007)</f>
        <v>0.504966997799853</v>
      </c>
      <c r="R1007" s="46" t="n">
        <v>1</v>
      </c>
      <c r="S1007" s="47" t="n">
        <f aca="false">IF(R1007="-",0,IFERROR(VLOOKUP(R1007,'Price Groups'!$A$13:$C$17,3,FALSE()),0))</f>
        <v>0.22</v>
      </c>
      <c r="T1007" s="41" t="n">
        <f aca="false">IF(OR(N1007="",R1007="-"),"",CEILING(ROUND(N1007*(1+S1007),2),IF(N1007*(1+S1007)&lt;100,0.5,IF(N1007*(1+S1007)&lt;1000,1,5))))</f>
        <v>183</v>
      </c>
      <c r="U1007" s="45" t="n">
        <f aca="false">IF(OR(T1007="",P1007=""),"",(T1007-P1007)/T1007)</f>
        <v>0.594262295081967</v>
      </c>
      <c r="V1007" s="45" t="n">
        <f aca="false">IF(T1007="",0,T1007/N1007-1)</f>
        <v>0.220081338755917</v>
      </c>
      <c r="W1007" s="38" t="s">
        <v>94</v>
      </c>
    </row>
    <row r="1008" customFormat="false" ht="15" hidden="false" customHeight="false" outlineLevel="0" collapsed="false">
      <c r="A1008" s="19" t="n">
        <v>957</v>
      </c>
      <c r="B1008" s="19" t="s">
        <v>1186</v>
      </c>
      <c r="C1008" s="19" t="s">
        <v>57</v>
      </c>
      <c r="D1008" s="19"/>
      <c r="E1008" s="19" t="s">
        <v>58</v>
      </c>
      <c r="F1008" s="20" t="n">
        <v>5</v>
      </c>
      <c r="G1008" s="20" t="n">
        <v>5</v>
      </c>
      <c r="H1008" s="21" t="n">
        <v>4200</v>
      </c>
      <c r="I1008" s="21" t="n">
        <v>0</v>
      </c>
      <c r="J1008" s="21" t="n">
        <v>0</v>
      </c>
      <c r="K1008" s="22" t="n">
        <f aca="false">H1008+I1008+J1008</f>
        <v>4200</v>
      </c>
      <c r="L1008" s="23" t="n">
        <f aca="false">IF($K$1282=0,0,K1008/$K$1282)</f>
        <v>0.000347921438464421</v>
      </c>
      <c r="M1008" s="24" t="n">
        <f aca="false">IF(F1008&lt;=0,0,K1008/F1008)</f>
        <v>840</v>
      </c>
      <c r="N1008" s="21" t="n">
        <v>800</v>
      </c>
      <c r="O1008" s="49" t="n">
        <v>23.38</v>
      </c>
      <c r="P1008" s="24" t="n">
        <f aca="false">O1008*'Price Groups'!$B$5</f>
        <v>526.05</v>
      </c>
      <c r="Q1008" s="26" t="n">
        <f aca="false">IF(OR(N1008="",P1008=""),"",(N1008-P1008)/N1008)</f>
        <v>0.3424375</v>
      </c>
      <c r="R1008" s="27" t="n">
        <v>1</v>
      </c>
      <c r="S1008" s="28" t="n">
        <f aca="false">IF(R1008="-",0,IFERROR(VLOOKUP(R1008,'Price Groups'!$A$13:$C$17,3,FALSE()),0))</f>
        <v>0.22</v>
      </c>
      <c r="T1008" s="22" t="n">
        <f aca="false">IF(OR(N1008="",R1008="-"),"",CEILING(ROUND(N1008*(1+S1008),2),IF(N1008*(1+S1008)&lt;100,0.5,IF(N1008*(1+S1008)&lt;1000,1,5))))</f>
        <v>976</v>
      </c>
      <c r="U1008" s="26" t="n">
        <f aca="false">IF(OR(T1008="",P1008=""),"",(T1008-P1008)/T1008)</f>
        <v>0.461014344262295</v>
      </c>
      <c r="V1008" s="26" t="n">
        <f aca="false">IF(T1008="",0,T1008/N1008-1)</f>
        <v>0.22</v>
      </c>
      <c r="W1008" s="19" t="s">
        <v>94</v>
      </c>
    </row>
    <row r="1009" customFormat="false" ht="15" hidden="false" customHeight="false" outlineLevel="0" collapsed="false">
      <c r="A1009" s="38" t="n">
        <v>958</v>
      </c>
      <c r="B1009" s="38" t="s">
        <v>1187</v>
      </c>
      <c r="C1009" s="38" t="s">
        <v>57</v>
      </c>
      <c r="D1009" s="38"/>
      <c r="E1009" s="38" t="s">
        <v>58</v>
      </c>
      <c r="F1009" s="39" t="n">
        <v>5</v>
      </c>
      <c r="G1009" s="39" t="n">
        <v>2</v>
      </c>
      <c r="H1009" s="40" t="n">
        <v>665</v>
      </c>
      <c r="I1009" s="40" t="n">
        <v>0</v>
      </c>
      <c r="J1009" s="40" t="n">
        <v>0</v>
      </c>
      <c r="K1009" s="41" t="n">
        <f aca="false">H1009+I1009+J1009</f>
        <v>665</v>
      </c>
      <c r="L1009" s="42" t="n">
        <f aca="false">IF($K$1282=0,0,K1009/$K$1282)</f>
        <v>5.50875610902E-005</v>
      </c>
      <c r="M1009" s="43" t="n">
        <f aca="false">IF(F1009&lt;=0,0,K1009/F1009)</f>
        <v>133</v>
      </c>
      <c r="N1009" s="40" t="n">
        <v>133</v>
      </c>
      <c r="O1009" s="44" t="n">
        <v>2.9</v>
      </c>
      <c r="P1009" s="43" t="n">
        <f aca="false">O1009*'Price Groups'!$B$5</f>
        <v>65.25</v>
      </c>
      <c r="Q1009" s="45" t="n">
        <f aca="false">IF(OR(N1009="",P1009=""),"",(N1009-P1009)/N1009)</f>
        <v>0.509398496240602</v>
      </c>
      <c r="R1009" s="46" t="n">
        <v>1</v>
      </c>
      <c r="S1009" s="47" t="n">
        <f aca="false">IF(R1009="-",0,IFERROR(VLOOKUP(R1009,'Price Groups'!$A$13:$C$17,3,FALSE()),0))</f>
        <v>0.22</v>
      </c>
      <c r="T1009" s="41" t="n">
        <f aca="false">IF(OR(N1009="",R1009="-"),"",CEILING(ROUND(N1009*(1+S1009),2),IF(N1009*(1+S1009)&lt;100,0.5,IF(N1009*(1+S1009)&lt;1000,1,5))))</f>
        <v>163</v>
      </c>
      <c r="U1009" s="45" t="n">
        <f aca="false">IF(OR(T1009="",P1009=""),"",(T1009-P1009)/T1009)</f>
        <v>0.599693251533742</v>
      </c>
      <c r="V1009" s="45" t="n">
        <f aca="false">IF(T1009="",0,T1009/N1009-1)</f>
        <v>0.225563909774436</v>
      </c>
      <c r="W1009" s="38" t="s">
        <v>94</v>
      </c>
    </row>
    <row r="1010" customFormat="false" ht="15" hidden="false" customHeight="false" outlineLevel="0" collapsed="false">
      <c r="A1010" s="19" t="n">
        <v>959</v>
      </c>
      <c r="B1010" s="19" t="s">
        <v>1188</v>
      </c>
      <c r="C1010" s="19" t="s">
        <v>57</v>
      </c>
      <c r="D1010" s="19"/>
      <c r="E1010" s="19" t="s">
        <v>58</v>
      </c>
      <c r="F1010" s="20" t="n">
        <v>5</v>
      </c>
      <c r="G1010" s="20" t="n">
        <v>3</v>
      </c>
      <c r="H1010" s="21" t="n">
        <v>749.95</v>
      </c>
      <c r="I1010" s="21" t="n">
        <v>0</v>
      </c>
      <c r="J1010" s="21" t="n">
        <v>0</v>
      </c>
      <c r="K1010" s="22" t="n">
        <f aca="false">H1010+I1010+J1010</f>
        <v>749.95</v>
      </c>
      <c r="L1010" s="23" t="n">
        <f aca="false">IF($K$1282=0,0,K1010/$K$1282)</f>
        <v>6.21246863753315E-005</v>
      </c>
      <c r="M1010" s="24" t="n">
        <f aca="false">IF(F1010&lt;=0,0,K1010/F1010)</f>
        <v>149.99</v>
      </c>
      <c r="N1010" s="21" t="n">
        <v>149.99</v>
      </c>
      <c r="O1010" s="49" t="n">
        <v>2.79</v>
      </c>
      <c r="P1010" s="24" t="n">
        <f aca="false">O1010*'Price Groups'!$B$5</f>
        <v>62.775</v>
      </c>
      <c r="Q1010" s="26" t="n">
        <f aca="false">IF(OR(N1010="",P1010=""),"",(N1010-P1010)/N1010)</f>
        <v>0.581472098139876</v>
      </c>
      <c r="R1010" s="27" t="n">
        <v>1</v>
      </c>
      <c r="S1010" s="28" t="n">
        <f aca="false">IF(R1010="-",0,IFERROR(VLOOKUP(R1010,'Price Groups'!$A$13:$C$17,3,FALSE()),0))</f>
        <v>0.22</v>
      </c>
      <c r="T1010" s="22" t="n">
        <f aca="false">IF(OR(N1010="",R1010="-"),"",CEILING(ROUND(N1010*(1+S1010),2),IF(N1010*(1+S1010)&lt;100,0.5,IF(N1010*(1+S1010)&lt;1000,1,5))))</f>
        <v>183</v>
      </c>
      <c r="U1010" s="26" t="n">
        <f aca="false">IF(OR(T1010="",P1010=""),"",(T1010-P1010)/T1010)</f>
        <v>0.656967213114754</v>
      </c>
      <c r="V1010" s="26" t="n">
        <f aca="false">IF(T1010="",0,T1010/N1010-1)</f>
        <v>0.220081338755917</v>
      </c>
      <c r="W1010" s="19" t="s">
        <v>94</v>
      </c>
    </row>
    <row r="1011" customFormat="false" ht="15" hidden="false" customHeight="false" outlineLevel="0" collapsed="false">
      <c r="A1011" s="38" t="n">
        <v>960</v>
      </c>
      <c r="B1011" s="38" t="s">
        <v>1189</v>
      </c>
      <c r="C1011" s="38" t="s">
        <v>57</v>
      </c>
      <c r="D1011" s="38"/>
      <c r="E1011" s="38" t="s">
        <v>58</v>
      </c>
      <c r="F1011" s="39" t="n">
        <v>5</v>
      </c>
      <c r="G1011" s="39" t="n">
        <v>5</v>
      </c>
      <c r="H1011" s="40" t="n">
        <v>1299.95</v>
      </c>
      <c r="I1011" s="40" t="n">
        <v>-7.72</v>
      </c>
      <c r="J1011" s="40" t="n">
        <v>0</v>
      </c>
      <c r="K1011" s="41" t="n">
        <f aca="false">H1011+I1011+J1011</f>
        <v>1292.23</v>
      </c>
      <c r="L1011" s="42" t="n">
        <f aca="false">IF($K$1282=0,0,K1011/$K$1282)</f>
        <v>0.000107046314387352</v>
      </c>
      <c r="M1011" s="43" t="n">
        <f aca="false">IF(F1011&lt;=0,0,K1011/F1011)</f>
        <v>258.446</v>
      </c>
      <c r="N1011" s="40" t="n">
        <v>259.99</v>
      </c>
      <c r="O1011" s="44" t="n">
        <v>7.22</v>
      </c>
      <c r="P1011" s="43" t="n">
        <f aca="false">O1011*'Price Groups'!$B$5</f>
        <v>162.45</v>
      </c>
      <c r="Q1011" s="45" t="n">
        <f aca="false">IF(OR(N1011="",P1011=""),"",(N1011-P1011)/N1011)</f>
        <v>0.375168275702912</v>
      </c>
      <c r="R1011" s="46" t="n">
        <v>1</v>
      </c>
      <c r="S1011" s="47" t="n">
        <f aca="false">IF(R1011="-",0,IFERROR(VLOOKUP(R1011,'Price Groups'!$A$13:$C$17,3,FALSE()),0))</f>
        <v>0.22</v>
      </c>
      <c r="T1011" s="41" t="n">
        <f aca="false">IF(OR(N1011="",R1011="-"),"",CEILING(ROUND(N1011*(1+S1011),2),IF(N1011*(1+S1011)&lt;100,0.5,IF(N1011*(1+S1011)&lt;1000,1,5))))</f>
        <v>318</v>
      </c>
      <c r="U1011" s="45" t="n">
        <f aca="false">IF(OR(T1011="",P1011=""),"",(T1011-P1011)/T1011)</f>
        <v>0.489150943396226</v>
      </c>
      <c r="V1011" s="45" t="n">
        <f aca="false">IF(T1011="",0,T1011/N1011-1)</f>
        <v>0.223123966306396</v>
      </c>
      <c r="W1011" s="38" t="s">
        <v>94</v>
      </c>
    </row>
    <row r="1012" customFormat="false" ht="15" hidden="false" customHeight="false" outlineLevel="0" collapsed="false">
      <c r="A1012" s="19" t="n">
        <v>961</v>
      </c>
      <c r="B1012" s="19" t="s">
        <v>1190</v>
      </c>
      <c r="C1012" s="19" t="s">
        <v>57</v>
      </c>
      <c r="D1012" s="19"/>
      <c r="E1012" s="19" t="s">
        <v>58</v>
      </c>
      <c r="F1012" s="20" t="n">
        <v>5</v>
      </c>
      <c r="G1012" s="20" t="n">
        <v>6</v>
      </c>
      <c r="H1012" s="21" t="n">
        <v>1559.94</v>
      </c>
      <c r="I1012" s="21" t="n">
        <v>-53.07</v>
      </c>
      <c r="J1012" s="21" t="n">
        <v>-259.99</v>
      </c>
      <c r="K1012" s="22" t="n">
        <f aca="false">H1012+I1012+J1012</f>
        <v>1246.88</v>
      </c>
      <c r="L1012" s="23" t="n">
        <f aca="false">IF($K$1282=0,0,K1012/$K$1282)</f>
        <v>0.000103289591236314</v>
      </c>
      <c r="M1012" s="24" t="n">
        <f aca="false">IF(F1012&lt;=0,0,K1012/F1012)</f>
        <v>249.376</v>
      </c>
      <c r="N1012" s="21" t="n">
        <v>259.99</v>
      </c>
      <c r="O1012" s="49" t="n">
        <v>7.22</v>
      </c>
      <c r="P1012" s="24" t="n">
        <f aca="false">O1012*'Price Groups'!$B$5</f>
        <v>162.45</v>
      </c>
      <c r="Q1012" s="26" t="n">
        <f aca="false">IF(OR(N1012="",P1012=""),"",(N1012-P1012)/N1012)</f>
        <v>0.375168275702912</v>
      </c>
      <c r="R1012" s="27" t="n">
        <v>1</v>
      </c>
      <c r="S1012" s="28" t="n">
        <f aca="false">IF(R1012="-",0,IFERROR(VLOOKUP(R1012,'Price Groups'!$A$13:$C$17,3,FALSE()),0))</f>
        <v>0.22</v>
      </c>
      <c r="T1012" s="22" t="n">
        <f aca="false">IF(OR(N1012="",R1012="-"),"",CEILING(ROUND(N1012*(1+S1012),2),IF(N1012*(1+S1012)&lt;100,0.5,IF(N1012*(1+S1012)&lt;1000,1,5))))</f>
        <v>318</v>
      </c>
      <c r="U1012" s="26" t="n">
        <f aca="false">IF(OR(T1012="",P1012=""),"",(T1012-P1012)/T1012)</f>
        <v>0.489150943396226</v>
      </c>
      <c r="V1012" s="26" t="n">
        <f aca="false">IF(T1012="",0,T1012/N1012-1)</f>
        <v>0.223123966306396</v>
      </c>
      <c r="W1012" s="19" t="s">
        <v>94</v>
      </c>
    </row>
    <row r="1013" customFormat="false" ht="15" hidden="false" customHeight="false" outlineLevel="0" collapsed="false">
      <c r="A1013" s="38" t="n">
        <v>962</v>
      </c>
      <c r="B1013" s="38" t="s">
        <v>1191</v>
      </c>
      <c r="C1013" s="38" t="s">
        <v>57</v>
      </c>
      <c r="D1013" s="38"/>
      <c r="E1013" s="38" t="s">
        <v>58</v>
      </c>
      <c r="F1013" s="39" t="n">
        <v>5</v>
      </c>
      <c r="G1013" s="39" t="n">
        <v>6</v>
      </c>
      <c r="H1013" s="40" t="n">
        <v>464.94</v>
      </c>
      <c r="I1013" s="40" t="n">
        <v>-94.97</v>
      </c>
      <c r="J1013" s="40" t="n">
        <v>-79.99</v>
      </c>
      <c r="K1013" s="41" t="n">
        <f aca="false">H1013+I1013+J1013</f>
        <v>289.98</v>
      </c>
      <c r="L1013" s="42" t="n">
        <f aca="false">IF($K$1282=0,0,K1013/$K$1282)</f>
        <v>2.40214901728364E-005</v>
      </c>
      <c r="M1013" s="43" t="n">
        <f aca="false">IF(F1013&lt;=0,0,K1013/F1013)</f>
        <v>57.996</v>
      </c>
      <c r="N1013" s="40" t="n">
        <v>74.99</v>
      </c>
      <c r="O1013" s="44" t="n">
        <v>1.21</v>
      </c>
      <c r="P1013" s="43" t="n">
        <f aca="false">O1013*'Price Groups'!$B$5</f>
        <v>27.225</v>
      </c>
      <c r="Q1013" s="45" t="n">
        <f aca="false">IF(OR(N1013="",P1013=""),"",(N1013-P1013)/N1013)</f>
        <v>0.636951593545806</v>
      </c>
      <c r="R1013" s="46" t="n">
        <v>1</v>
      </c>
      <c r="S1013" s="47" t="n">
        <f aca="false">IF(R1013="-",0,IFERROR(VLOOKUP(R1013,'Price Groups'!$A$13:$C$17,3,FALSE()),0))</f>
        <v>0.22</v>
      </c>
      <c r="T1013" s="41" t="n">
        <f aca="false">IF(OR(N1013="",R1013="-"),"",CEILING(ROUND(N1013*(1+S1013),2),IF(N1013*(1+S1013)&lt;100,0.5,IF(N1013*(1+S1013)&lt;1000,1,5))))</f>
        <v>91.5</v>
      </c>
      <c r="U1013" s="45" t="n">
        <f aca="false">IF(OR(T1013="",P1013=""),"",(T1013-P1013)/T1013)</f>
        <v>0.702459016393443</v>
      </c>
      <c r="V1013" s="45" t="n">
        <f aca="false">IF(T1013="",0,T1013/N1013-1)</f>
        <v>0.220162688358448</v>
      </c>
      <c r="W1013" s="38" t="s">
        <v>94</v>
      </c>
    </row>
    <row r="1014" customFormat="false" ht="15" hidden="false" customHeight="false" outlineLevel="0" collapsed="false">
      <c r="A1014" s="19" t="n">
        <v>963</v>
      </c>
      <c r="B1014" s="19" t="s">
        <v>1192</v>
      </c>
      <c r="C1014" s="19" t="s">
        <v>57</v>
      </c>
      <c r="D1014" s="19"/>
      <c r="E1014" s="19" t="s">
        <v>58</v>
      </c>
      <c r="F1014" s="20" t="n">
        <v>5</v>
      </c>
      <c r="G1014" s="20" t="n">
        <v>7</v>
      </c>
      <c r="H1014" s="21" t="n">
        <v>1575</v>
      </c>
      <c r="I1014" s="21" t="n">
        <v>0</v>
      </c>
      <c r="J1014" s="21" t="n">
        <v>-450</v>
      </c>
      <c r="K1014" s="22" t="n">
        <f aca="false">H1014+I1014+J1014</f>
        <v>1125</v>
      </c>
      <c r="L1014" s="23" t="n">
        <f aca="false">IF($K$1282=0,0,K1014/$K$1282)</f>
        <v>9.3193242445827E-005</v>
      </c>
      <c r="M1014" s="24" t="n">
        <f aca="false">IF(F1014&lt;=0,0,K1014/F1014)</f>
        <v>225</v>
      </c>
      <c r="N1014" s="21" t="n">
        <v>181.38</v>
      </c>
      <c r="O1014" s="49" t="n">
        <v>5.66</v>
      </c>
      <c r="P1014" s="24" t="n">
        <f aca="false">O1014*'Price Groups'!$B$5</f>
        <v>127.35</v>
      </c>
      <c r="Q1014" s="26" t="n">
        <f aca="false">IF(OR(N1014="",P1014=""),"",(N1014-P1014)/N1014)</f>
        <v>0.297882897783659</v>
      </c>
      <c r="R1014" s="27" t="n">
        <v>1</v>
      </c>
      <c r="S1014" s="28" t="n">
        <f aca="false">IF(R1014="-",0,IFERROR(VLOOKUP(R1014,'Price Groups'!$A$13:$C$17,3,FALSE()),0))</f>
        <v>0.22</v>
      </c>
      <c r="T1014" s="22" t="n">
        <f aca="false">IF(OR(N1014="",R1014="-"),"",CEILING(ROUND(N1014*(1+S1014),2),IF(N1014*(1+S1014)&lt;100,0.5,IF(N1014*(1+S1014)&lt;1000,1,5))))</f>
        <v>222</v>
      </c>
      <c r="U1014" s="26" t="n">
        <f aca="false">IF(OR(T1014="",P1014=""),"",(T1014-P1014)/T1014)</f>
        <v>0.426351351351351</v>
      </c>
      <c r="V1014" s="26" t="n">
        <f aca="false">IF(T1014="",0,T1014/N1014-1)</f>
        <v>0.223949718822362</v>
      </c>
      <c r="W1014" s="19" t="s">
        <v>94</v>
      </c>
    </row>
    <row r="1015" customFormat="false" ht="15" hidden="false" customHeight="false" outlineLevel="0" collapsed="false">
      <c r="A1015" s="38" t="n">
        <v>964</v>
      </c>
      <c r="B1015" s="38" t="s">
        <v>1193</v>
      </c>
      <c r="C1015" s="38" t="s">
        <v>57</v>
      </c>
      <c r="D1015" s="38"/>
      <c r="E1015" s="38" t="s">
        <v>58</v>
      </c>
      <c r="F1015" s="39" t="n">
        <v>5</v>
      </c>
      <c r="G1015" s="39" t="n">
        <v>6</v>
      </c>
      <c r="H1015" s="40" t="n">
        <v>1749.93</v>
      </c>
      <c r="I1015" s="40" t="n">
        <v>0</v>
      </c>
      <c r="J1015" s="40" t="n">
        <v>-499.98</v>
      </c>
      <c r="K1015" s="41" t="n">
        <f aca="false">H1015+I1015+J1015</f>
        <v>1249.95</v>
      </c>
      <c r="L1015" s="42" t="n">
        <f aca="false">IF($K$1282=0,0,K1015/$K$1282)</f>
        <v>0.000103543905240144</v>
      </c>
      <c r="M1015" s="43" t="n">
        <f aca="false">IF(F1015&lt;=0,0,K1015/F1015)</f>
        <v>249.99</v>
      </c>
      <c r="N1015" s="40" t="n">
        <v>249.99</v>
      </c>
      <c r="O1015" s="44" t="n">
        <v>5.5</v>
      </c>
      <c r="P1015" s="43" t="n">
        <f aca="false">O1015*'Price Groups'!$B$5</f>
        <v>123.75</v>
      </c>
      <c r="Q1015" s="45" t="n">
        <f aca="false">IF(OR(N1015="",P1015=""),"",(N1015-P1015)/N1015)</f>
        <v>0.504980199207968</v>
      </c>
      <c r="R1015" s="46" t="n">
        <v>1</v>
      </c>
      <c r="S1015" s="47" t="n">
        <f aca="false">IF(R1015="-",0,IFERROR(VLOOKUP(R1015,'Price Groups'!$A$13:$C$17,3,FALSE()),0))</f>
        <v>0.22</v>
      </c>
      <c r="T1015" s="41" t="n">
        <f aca="false">IF(OR(N1015="",R1015="-"),"",CEILING(ROUND(N1015*(1+S1015),2),IF(N1015*(1+S1015)&lt;100,0.5,IF(N1015*(1+S1015)&lt;1000,1,5))))</f>
        <v>305</v>
      </c>
      <c r="U1015" s="45" t="n">
        <f aca="false">IF(OR(T1015="",P1015=""),"",(T1015-P1015)/T1015)</f>
        <v>0.594262295081967</v>
      </c>
      <c r="V1015" s="45" t="n">
        <f aca="false">IF(T1015="",0,T1015/N1015-1)</f>
        <v>0.220048801952078</v>
      </c>
      <c r="W1015" s="38" t="s">
        <v>94</v>
      </c>
    </row>
    <row r="1016" customFormat="false" ht="15" hidden="false" customHeight="false" outlineLevel="0" collapsed="false">
      <c r="A1016" s="19" t="n">
        <v>965</v>
      </c>
      <c r="B1016" s="19" t="s">
        <v>1194</v>
      </c>
      <c r="C1016" s="19" t="s">
        <v>57</v>
      </c>
      <c r="D1016" s="19"/>
      <c r="E1016" s="19" t="s">
        <v>58</v>
      </c>
      <c r="F1016" s="20" t="n">
        <v>5</v>
      </c>
      <c r="G1016" s="20" t="n">
        <v>5</v>
      </c>
      <c r="H1016" s="21" t="n">
        <v>3599.94</v>
      </c>
      <c r="I1016" s="21" t="n">
        <v>0</v>
      </c>
      <c r="J1016" s="21" t="n">
        <v>-599.99</v>
      </c>
      <c r="K1016" s="22" t="n">
        <f aca="false">H1016+I1016+J1016</f>
        <v>2999.95</v>
      </c>
      <c r="L1016" s="23" t="n">
        <f aca="false">IF($K$1282=0,0,K1016/$K$1282)</f>
        <v>0.000248511171266986</v>
      </c>
      <c r="M1016" s="24" t="n">
        <f aca="false">IF(F1016&lt;=0,0,K1016/F1016)</f>
        <v>599.99</v>
      </c>
      <c r="N1016" s="21" t="n">
        <v>599.99</v>
      </c>
      <c r="O1016" s="49" t="n">
        <v>9.32</v>
      </c>
      <c r="P1016" s="24" t="n">
        <f aca="false">O1016*'Price Groups'!$B$5</f>
        <v>209.7</v>
      </c>
      <c r="Q1016" s="26" t="n">
        <f aca="false">IF(OR(N1016="",P1016=""),"",(N1016-P1016)/N1016)</f>
        <v>0.650494174902915</v>
      </c>
      <c r="R1016" s="27" t="n">
        <v>1</v>
      </c>
      <c r="S1016" s="28" t="n">
        <f aca="false">IF(R1016="-",0,IFERROR(VLOOKUP(R1016,'Price Groups'!$A$13:$C$17,3,FALSE()),0))</f>
        <v>0.22</v>
      </c>
      <c r="T1016" s="22" t="n">
        <f aca="false">IF(OR(N1016="",R1016="-"),"",CEILING(ROUND(N1016*(1+S1016),2),IF(N1016*(1+S1016)&lt;100,0.5,IF(N1016*(1+S1016)&lt;1000,1,5))))</f>
        <v>732</v>
      </c>
      <c r="U1016" s="26" t="n">
        <f aca="false">IF(OR(T1016="",P1016=""),"",(T1016-P1016)/T1016)</f>
        <v>0.713524590163934</v>
      </c>
      <c r="V1016" s="26" t="n">
        <f aca="false">IF(T1016="",0,T1016/N1016-1)</f>
        <v>0.220020333672228</v>
      </c>
      <c r="W1016" s="19" t="s">
        <v>94</v>
      </c>
    </row>
    <row r="1017" customFormat="false" ht="15" hidden="false" customHeight="false" outlineLevel="0" collapsed="false">
      <c r="A1017" s="38" t="n">
        <v>966</v>
      </c>
      <c r="B1017" s="38" t="s">
        <v>1195</v>
      </c>
      <c r="C1017" s="38" t="s">
        <v>57</v>
      </c>
      <c r="D1017" s="38"/>
      <c r="E1017" s="38" t="s">
        <v>58</v>
      </c>
      <c r="F1017" s="39" t="n">
        <v>5</v>
      </c>
      <c r="G1017" s="39" t="n">
        <v>6</v>
      </c>
      <c r="H1017" s="40" t="n">
        <v>22275.25</v>
      </c>
      <c r="I1017" s="40" t="n">
        <v>0</v>
      </c>
      <c r="J1017" s="40" t="n">
        <v>-6398</v>
      </c>
      <c r="K1017" s="41" t="n">
        <f aca="false">H1017+I1017+J1017</f>
        <v>15877.25</v>
      </c>
      <c r="L1017" s="42" t="n">
        <f aca="false">IF($K$1282=0,0,K1017/$K$1282)</f>
        <v>0.00131524658544267</v>
      </c>
      <c r="M1017" s="43" t="n">
        <f aca="false">IF(F1017&lt;=0,0,K1017/F1017)</f>
        <v>3175.45</v>
      </c>
      <c r="N1017" s="40" t="n">
        <v>3199</v>
      </c>
      <c r="O1017" s="44" t="n">
        <v>125</v>
      </c>
      <c r="P1017" s="43" t="n">
        <f aca="false">O1017*'Price Groups'!$B$5</f>
        <v>2812.5</v>
      </c>
      <c r="Q1017" s="45" t="n">
        <f aca="false">IF(OR(N1017="",P1017=""),"",(N1017-P1017)/N1017)</f>
        <v>0.120819005939356</v>
      </c>
      <c r="R1017" s="46" t="n">
        <v>1</v>
      </c>
      <c r="S1017" s="47" t="n">
        <f aca="false">IF(R1017="-",0,IFERROR(VLOOKUP(R1017,'Price Groups'!$A$13:$C$17,3,FALSE()),0))</f>
        <v>0.22</v>
      </c>
      <c r="T1017" s="41" t="n">
        <f aca="false">IF(OR(N1017="",R1017="-"),"",CEILING(ROUND(N1017*(1+S1017),2),IF(N1017*(1+S1017)&lt;100,0.5,IF(N1017*(1+S1017)&lt;1000,1,5))))</f>
        <v>3905</v>
      </c>
      <c r="U1017" s="45" t="n">
        <f aca="false">IF(OR(T1017="",P1017=""),"",(T1017-P1017)/T1017)</f>
        <v>0.2797695262484</v>
      </c>
      <c r="V1017" s="45" t="n">
        <f aca="false">IF(T1017="",0,T1017/N1017-1)</f>
        <v>0.220693966864645</v>
      </c>
      <c r="W1017" s="38" t="s">
        <v>473</v>
      </c>
    </row>
    <row r="1018" customFormat="false" ht="15" hidden="false" customHeight="false" outlineLevel="0" collapsed="false">
      <c r="A1018" s="19" t="n">
        <v>967</v>
      </c>
      <c r="B1018" s="19" t="s">
        <v>1196</v>
      </c>
      <c r="C1018" s="19" t="s">
        <v>57</v>
      </c>
      <c r="D1018" s="19"/>
      <c r="E1018" s="19" t="s">
        <v>58</v>
      </c>
      <c r="F1018" s="20" t="n">
        <v>5</v>
      </c>
      <c r="G1018" s="20" t="n">
        <v>5</v>
      </c>
      <c r="H1018" s="21" t="n">
        <v>799.95</v>
      </c>
      <c r="I1018" s="21" t="n">
        <v>0</v>
      </c>
      <c r="J1018" s="21" t="n">
        <v>0</v>
      </c>
      <c r="K1018" s="22" t="n">
        <f aca="false">H1018+I1018+J1018</f>
        <v>799.95</v>
      </c>
      <c r="L1018" s="23" t="n">
        <f aca="false">IF($K$1282=0,0,K1018/$K$1282)</f>
        <v>6.62666082618127E-005</v>
      </c>
      <c r="M1018" s="24" t="n">
        <f aca="false">IF(F1018&lt;=0,0,K1018/F1018)</f>
        <v>159.99</v>
      </c>
      <c r="N1018" s="21" t="n">
        <v>159.99</v>
      </c>
      <c r="O1018" s="49" t="n">
        <v>3.65</v>
      </c>
      <c r="P1018" s="24" t="n">
        <f aca="false">O1018*'Price Groups'!$B$5</f>
        <v>82.125</v>
      </c>
      <c r="Q1018" s="26" t="n">
        <f aca="false">IF(OR(N1018="",P1018=""),"",(N1018-P1018)/N1018)</f>
        <v>0.486686667916745</v>
      </c>
      <c r="R1018" s="27" t="n">
        <v>1</v>
      </c>
      <c r="S1018" s="28" t="n">
        <f aca="false">IF(R1018="-",0,IFERROR(VLOOKUP(R1018,'Price Groups'!$A$13:$C$17,3,FALSE()),0))</f>
        <v>0.22</v>
      </c>
      <c r="T1018" s="22" t="n">
        <f aca="false">IF(OR(N1018="",R1018="-"),"",CEILING(ROUND(N1018*(1+S1018),2),IF(N1018*(1+S1018)&lt;100,0.5,IF(N1018*(1+S1018)&lt;1000,1,5))))</f>
        <v>196</v>
      </c>
      <c r="U1018" s="26" t="n">
        <f aca="false">IF(OR(T1018="",P1018=""),"",(T1018-P1018)/T1018)</f>
        <v>0.580994897959184</v>
      </c>
      <c r="V1018" s="26" t="n">
        <f aca="false">IF(T1018="",0,T1018/N1018-1)</f>
        <v>0.225076567285455</v>
      </c>
      <c r="W1018" s="19" t="s">
        <v>94</v>
      </c>
    </row>
    <row r="1019" customFormat="false" ht="15" hidden="false" customHeight="false" outlineLevel="0" collapsed="false">
      <c r="A1019" s="38" t="n">
        <v>968</v>
      </c>
      <c r="B1019" s="38" t="s">
        <v>1197</v>
      </c>
      <c r="C1019" s="38" t="s">
        <v>57</v>
      </c>
      <c r="D1019" s="38"/>
      <c r="E1019" s="38" t="s">
        <v>58</v>
      </c>
      <c r="F1019" s="39" t="n">
        <v>5</v>
      </c>
      <c r="G1019" s="39" t="n">
        <v>7</v>
      </c>
      <c r="H1019" s="40" t="n">
        <v>4200</v>
      </c>
      <c r="I1019" s="40" t="n">
        <v>0</v>
      </c>
      <c r="J1019" s="40" t="n">
        <v>-1200</v>
      </c>
      <c r="K1019" s="41" t="n">
        <f aca="false">H1019+I1019+J1019</f>
        <v>3000</v>
      </c>
      <c r="L1019" s="42" t="n">
        <f aca="false">IF($K$1282=0,0,K1019/$K$1282)</f>
        <v>0.000248515313188872</v>
      </c>
      <c r="M1019" s="43" t="n">
        <f aca="false">IF(F1019&lt;=0,0,K1019/F1019)</f>
        <v>600</v>
      </c>
      <c r="N1019" s="40" t="n">
        <v>600</v>
      </c>
      <c r="O1019" s="44" t="n">
        <v>14.34</v>
      </c>
      <c r="P1019" s="43" t="n">
        <f aca="false">O1019*'Price Groups'!$B$5</f>
        <v>322.65</v>
      </c>
      <c r="Q1019" s="45" t="n">
        <f aca="false">IF(OR(N1019="",P1019=""),"",(N1019-P1019)/N1019)</f>
        <v>0.46225</v>
      </c>
      <c r="R1019" s="46" t="n">
        <v>1</v>
      </c>
      <c r="S1019" s="47" t="n">
        <f aca="false">IF(R1019="-",0,IFERROR(VLOOKUP(R1019,'Price Groups'!$A$13:$C$17,3,FALSE()),0))</f>
        <v>0.22</v>
      </c>
      <c r="T1019" s="41" t="n">
        <f aca="false">IF(OR(N1019="",R1019="-"),"",CEILING(ROUND(N1019*(1+S1019),2),IF(N1019*(1+S1019)&lt;100,0.5,IF(N1019*(1+S1019)&lt;1000,1,5))))</f>
        <v>732</v>
      </c>
      <c r="U1019" s="45" t="n">
        <f aca="false">IF(OR(T1019="",P1019=""),"",(T1019-P1019)/T1019)</f>
        <v>0.55922131147541</v>
      </c>
      <c r="V1019" s="45" t="n">
        <f aca="false">IF(T1019="",0,T1019/N1019-1)</f>
        <v>0.22</v>
      </c>
      <c r="W1019" s="38" t="s">
        <v>94</v>
      </c>
    </row>
    <row r="1020" customFormat="false" ht="15" hidden="false" customHeight="false" outlineLevel="0" collapsed="false">
      <c r="A1020" s="19" t="n">
        <v>969</v>
      </c>
      <c r="B1020" s="19" t="s">
        <v>1198</v>
      </c>
      <c r="C1020" s="19" t="s">
        <v>57</v>
      </c>
      <c r="D1020" s="19"/>
      <c r="E1020" s="19" t="s">
        <v>58</v>
      </c>
      <c r="F1020" s="20" t="n">
        <v>5</v>
      </c>
      <c r="G1020" s="20" t="n">
        <v>6</v>
      </c>
      <c r="H1020" s="21" t="n">
        <v>917.08</v>
      </c>
      <c r="I1020" s="21" t="n">
        <v>0</v>
      </c>
      <c r="J1020" s="21" t="n">
        <v>-118.56</v>
      </c>
      <c r="K1020" s="22" t="n">
        <f aca="false">H1020+I1020+J1020</f>
        <v>798.52</v>
      </c>
      <c r="L1020" s="23" t="n">
        <f aca="false">IF($K$1282=0,0,K1020/$K$1282)</f>
        <v>6.61481492958594E-005</v>
      </c>
      <c r="M1020" s="24" t="n">
        <f aca="false">IF(F1020&lt;=0,0,K1020/F1020)</f>
        <v>159.704</v>
      </c>
      <c r="N1020" s="21" t="n">
        <v>118.56</v>
      </c>
      <c r="O1020" s="49" t="n">
        <v>3.7</v>
      </c>
      <c r="P1020" s="24" t="n">
        <f aca="false">O1020*'Price Groups'!$B$5</f>
        <v>83.25</v>
      </c>
      <c r="Q1020" s="26" t="n">
        <f aca="false">IF(OR(N1020="",P1020=""),"",(N1020-P1020)/N1020)</f>
        <v>0.297823886639676</v>
      </c>
      <c r="R1020" s="27" t="n">
        <v>1</v>
      </c>
      <c r="S1020" s="28" t="n">
        <f aca="false">IF(R1020="-",0,IFERROR(VLOOKUP(R1020,'Price Groups'!$A$13:$C$17,3,FALSE()),0))</f>
        <v>0.22</v>
      </c>
      <c r="T1020" s="22" t="n">
        <f aca="false">IF(OR(N1020="",R1020="-"),"",CEILING(ROUND(N1020*(1+S1020),2),IF(N1020*(1+S1020)&lt;100,0.5,IF(N1020*(1+S1020)&lt;1000,1,5))))</f>
        <v>145</v>
      </c>
      <c r="U1020" s="26" t="n">
        <f aca="false">IF(OR(T1020="",P1020=""),"",(T1020-P1020)/T1020)</f>
        <v>0.425862068965517</v>
      </c>
      <c r="V1020" s="26" t="n">
        <f aca="false">IF(T1020="",0,T1020/N1020-1)</f>
        <v>0.223009446693657</v>
      </c>
      <c r="W1020" s="19" t="s">
        <v>94</v>
      </c>
    </row>
    <row r="1021" customFormat="false" ht="15" hidden="false" customHeight="false" outlineLevel="0" collapsed="false">
      <c r="A1021" s="38" t="n">
        <v>970</v>
      </c>
      <c r="B1021" s="38" t="s">
        <v>1199</v>
      </c>
      <c r="C1021" s="38" t="s">
        <v>57</v>
      </c>
      <c r="D1021" s="38"/>
      <c r="E1021" s="38" t="s">
        <v>58</v>
      </c>
      <c r="F1021" s="39" t="n">
        <v>4</v>
      </c>
      <c r="G1021" s="39" t="n">
        <v>3</v>
      </c>
      <c r="H1021" s="40" t="n">
        <v>148</v>
      </c>
      <c r="I1021" s="40" t="n">
        <v>-7.4</v>
      </c>
      <c r="J1021" s="40" t="n">
        <v>0</v>
      </c>
      <c r="K1021" s="41" t="n">
        <f aca="false">H1021+I1021+J1021</f>
        <v>140.6</v>
      </c>
      <c r="L1021" s="42" t="n">
        <f aca="false">IF($K$1282=0,0,K1021/$K$1282)</f>
        <v>1.16470843447851E-005</v>
      </c>
      <c r="M1021" s="43" t="n">
        <f aca="false">IF(F1021&lt;=0,0,K1021/F1021)</f>
        <v>35.15</v>
      </c>
      <c r="N1021" s="40" t="n">
        <v>37</v>
      </c>
      <c r="O1021" s="44" t="n">
        <v>0.69</v>
      </c>
      <c r="P1021" s="43" t="n">
        <f aca="false">O1021*'Price Groups'!$B$5</f>
        <v>15.525</v>
      </c>
      <c r="Q1021" s="45" t="n">
        <f aca="false">IF(OR(N1021="",P1021=""),"",(N1021-P1021)/N1021)</f>
        <v>0.580405405405405</v>
      </c>
      <c r="R1021" s="46" t="n">
        <v>1</v>
      </c>
      <c r="S1021" s="47" t="n">
        <f aca="false">IF(R1021="-",0,IFERROR(VLOOKUP(R1021,'Price Groups'!$A$13:$C$17,3,FALSE()),0))</f>
        <v>0.22</v>
      </c>
      <c r="T1021" s="41" t="n">
        <f aca="false">IF(OR(N1021="",R1021="-"),"",CEILING(ROUND(N1021*(1+S1021),2),IF(N1021*(1+S1021)&lt;100,0.5,IF(N1021*(1+S1021)&lt;1000,1,5))))</f>
        <v>45.5</v>
      </c>
      <c r="U1021" s="45" t="n">
        <f aca="false">IF(OR(T1021="",P1021=""),"",(T1021-P1021)/T1021)</f>
        <v>0.658791208791209</v>
      </c>
      <c r="V1021" s="45" t="n">
        <f aca="false">IF(T1021="",0,T1021/N1021-1)</f>
        <v>0.22972972972973</v>
      </c>
      <c r="W1021" s="38" t="s">
        <v>94</v>
      </c>
    </row>
    <row r="1022" customFormat="false" ht="15" hidden="false" customHeight="false" outlineLevel="0" collapsed="false">
      <c r="A1022" s="19" t="n">
        <v>971</v>
      </c>
      <c r="B1022" s="19" t="s">
        <v>1200</v>
      </c>
      <c r="C1022" s="19" t="s">
        <v>57</v>
      </c>
      <c r="D1022" s="19"/>
      <c r="E1022" s="19" t="s">
        <v>58</v>
      </c>
      <c r="F1022" s="20" t="n">
        <v>4</v>
      </c>
      <c r="G1022" s="20" t="n">
        <v>2</v>
      </c>
      <c r="H1022" s="21" t="n">
        <v>799.96</v>
      </c>
      <c r="I1022" s="21" t="n">
        <v>0</v>
      </c>
      <c r="J1022" s="21" t="n">
        <v>0</v>
      </c>
      <c r="K1022" s="22" t="n">
        <f aca="false">H1022+I1022+J1022</f>
        <v>799.96</v>
      </c>
      <c r="L1022" s="23" t="n">
        <f aca="false">IF($K$1282=0,0,K1022/$K$1282)</f>
        <v>6.626743664619E-005</v>
      </c>
      <c r="M1022" s="24" t="n">
        <f aca="false">IF(F1022&lt;=0,0,K1022/F1022)</f>
        <v>199.99</v>
      </c>
      <c r="N1022" s="21" t="n">
        <v>199.99</v>
      </c>
      <c r="O1022" s="49" t="n">
        <v>5.66</v>
      </c>
      <c r="P1022" s="24" t="n">
        <f aca="false">O1022*'Price Groups'!$B$5</f>
        <v>127.35</v>
      </c>
      <c r="Q1022" s="26" t="n">
        <f aca="false">IF(OR(N1022="",P1022=""),"",(N1022-P1022)/N1022)</f>
        <v>0.363218160908045</v>
      </c>
      <c r="R1022" s="27" t="n">
        <v>1</v>
      </c>
      <c r="S1022" s="28" t="n">
        <f aca="false">IF(R1022="-",0,IFERROR(VLOOKUP(R1022,'Price Groups'!$A$13:$C$17,3,FALSE()),0))</f>
        <v>0.22</v>
      </c>
      <c r="T1022" s="22" t="n">
        <f aca="false">IF(OR(N1022="",R1022="-"),"",CEILING(ROUND(N1022*(1+S1022),2),IF(N1022*(1+S1022)&lt;100,0.5,IF(N1022*(1+S1022)&lt;1000,1,5))))</f>
        <v>244</v>
      </c>
      <c r="U1022" s="26" t="n">
        <f aca="false">IF(OR(T1022="",P1022=""),"",(T1022-P1022)/T1022)</f>
        <v>0.478073770491803</v>
      </c>
      <c r="V1022" s="26" t="n">
        <f aca="false">IF(T1022="",0,T1022/N1022-1)</f>
        <v>0.220061003050152</v>
      </c>
      <c r="W1022" s="19" t="s">
        <v>94</v>
      </c>
    </row>
    <row r="1023" customFormat="false" ht="15" hidden="false" customHeight="false" outlineLevel="0" collapsed="false">
      <c r="A1023" s="38" t="n">
        <v>972</v>
      </c>
      <c r="B1023" s="38" t="s">
        <v>1201</v>
      </c>
      <c r="C1023" s="38" t="s">
        <v>57</v>
      </c>
      <c r="D1023" s="38"/>
      <c r="E1023" s="38" t="s">
        <v>58</v>
      </c>
      <c r="F1023" s="39" t="n">
        <v>4</v>
      </c>
      <c r="G1023" s="39" t="n">
        <v>1</v>
      </c>
      <c r="H1023" s="40" t="n">
        <v>2599.96</v>
      </c>
      <c r="I1023" s="40" t="n">
        <v>0</v>
      </c>
      <c r="J1023" s="40" t="n">
        <v>0</v>
      </c>
      <c r="K1023" s="41" t="n">
        <f aca="false">H1023+I1023+J1023</f>
        <v>2599.96</v>
      </c>
      <c r="L1023" s="42" t="n">
        <f aca="false">IF($K$1282=0,0,K1023/$K$1282)</f>
        <v>0.000215376624559513</v>
      </c>
      <c r="M1023" s="43" t="n">
        <f aca="false">IF(F1023&lt;=0,0,K1023/F1023)</f>
        <v>649.99</v>
      </c>
      <c r="N1023" s="40" t="n">
        <v>649.99</v>
      </c>
      <c r="O1023" s="44" t="n">
        <v>18.78</v>
      </c>
      <c r="P1023" s="43" t="n">
        <f aca="false">O1023*'Price Groups'!$B$5</f>
        <v>422.55</v>
      </c>
      <c r="Q1023" s="45" t="n">
        <f aca="false">IF(OR(N1023="",P1023=""),"",(N1023-P1023)/N1023)</f>
        <v>0.349913075585778</v>
      </c>
      <c r="R1023" s="46" t="n">
        <v>1</v>
      </c>
      <c r="S1023" s="47" t="n">
        <f aca="false">IF(R1023="-",0,IFERROR(VLOOKUP(R1023,'Price Groups'!$A$13:$C$17,3,FALSE()),0))</f>
        <v>0.22</v>
      </c>
      <c r="T1023" s="41" t="n">
        <f aca="false">IF(OR(N1023="",R1023="-"),"",CEILING(ROUND(N1023*(1+S1023),2),IF(N1023*(1+S1023)&lt;100,0.5,IF(N1023*(1+S1023)&lt;1000,1,5))))</f>
        <v>793</v>
      </c>
      <c r="U1023" s="45" t="n">
        <f aca="false">IF(OR(T1023="",P1023=""),"",(T1023-P1023)/T1023)</f>
        <v>0.467150063051702</v>
      </c>
      <c r="V1023" s="45" t="n">
        <f aca="false">IF(T1023="",0,T1023/N1023-1)</f>
        <v>0.220018769519531</v>
      </c>
      <c r="W1023" s="38" t="s">
        <v>94</v>
      </c>
    </row>
    <row r="1024" customFormat="false" ht="15" hidden="false" customHeight="false" outlineLevel="0" collapsed="false">
      <c r="A1024" s="19" t="n">
        <v>973</v>
      </c>
      <c r="B1024" s="19" t="s">
        <v>1202</v>
      </c>
      <c r="C1024" s="19" t="s">
        <v>57</v>
      </c>
      <c r="D1024" s="19"/>
      <c r="E1024" s="19" t="s">
        <v>58</v>
      </c>
      <c r="F1024" s="20" t="n">
        <v>4</v>
      </c>
      <c r="G1024" s="20" t="n">
        <v>4</v>
      </c>
      <c r="H1024" s="21" t="n">
        <v>195</v>
      </c>
      <c r="I1024" s="21" t="n">
        <v>0</v>
      </c>
      <c r="J1024" s="21" t="n">
        <v>-39</v>
      </c>
      <c r="K1024" s="22" t="n">
        <f aca="false">H1024+I1024+J1024</f>
        <v>156</v>
      </c>
      <c r="L1024" s="23" t="n">
        <f aca="false">IF($K$1282=0,0,K1024/$K$1282)</f>
        <v>1.29227962858213E-005</v>
      </c>
      <c r="M1024" s="24" t="n">
        <f aca="false">IF(F1024&lt;=0,0,K1024/F1024)</f>
        <v>39</v>
      </c>
      <c r="N1024" s="21" t="n">
        <v>39</v>
      </c>
      <c r="O1024" s="49" t="n">
        <v>0.73</v>
      </c>
      <c r="P1024" s="24" t="n">
        <f aca="false">O1024*'Price Groups'!$B$5</f>
        <v>16.425</v>
      </c>
      <c r="Q1024" s="26" t="n">
        <f aca="false">IF(OR(N1024="",P1024=""),"",(N1024-P1024)/N1024)</f>
        <v>0.578846153846154</v>
      </c>
      <c r="R1024" s="27" t="n">
        <v>1</v>
      </c>
      <c r="S1024" s="28" t="n">
        <f aca="false">IF(R1024="-",0,IFERROR(VLOOKUP(R1024,'Price Groups'!$A$13:$C$17,3,FALSE()),0))</f>
        <v>0.22</v>
      </c>
      <c r="T1024" s="22" t="n">
        <f aca="false">IF(OR(N1024="",R1024="-"),"",CEILING(ROUND(N1024*(1+S1024),2),IF(N1024*(1+S1024)&lt;100,0.5,IF(N1024*(1+S1024)&lt;1000,1,5))))</f>
        <v>48</v>
      </c>
      <c r="U1024" s="26" t="n">
        <f aca="false">IF(OR(T1024="",P1024=""),"",(T1024-P1024)/T1024)</f>
        <v>0.6578125</v>
      </c>
      <c r="V1024" s="26" t="n">
        <f aca="false">IF(T1024="",0,T1024/N1024-1)</f>
        <v>0.230769230769231</v>
      </c>
      <c r="W1024" s="19" t="s">
        <v>94</v>
      </c>
    </row>
    <row r="1025" customFormat="false" ht="15" hidden="false" customHeight="false" outlineLevel="0" collapsed="false">
      <c r="A1025" s="38" t="n">
        <v>974</v>
      </c>
      <c r="B1025" s="38" t="s">
        <v>1203</v>
      </c>
      <c r="C1025" s="38" t="s">
        <v>57</v>
      </c>
      <c r="D1025" s="38"/>
      <c r="E1025" s="38" t="s">
        <v>58</v>
      </c>
      <c r="F1025" s="39" t="n">
        <v>4</v>
      </c>
      <c r="G1025" s="39" t="n">
        <v>3</v>
      </c>
      <c r="H1025" s="40" t="n">
        <v>259.96</v>
      </c>
      <c r="I1025" s="40" t="n">
        <v>0</v>
      </c>
      <c r="J1025" s="40" t="n">
        <v>0</v>
      </c>
      <c r="K1025" s="41" t="n">
        <f aca="false">H1025+I1025+J1025</f>
        <v>259.96</v>
      </c>
      <c r="L1025" s="42" t="n">
        <f aca="false">IF($K$1282=0,0,K1025/$K$1282)</f>
        <v>2.15346802721931E-005</v>
      </c>
      <c r="M1025" s="43" t="n">
        <f aca="false">IF(F1025&lt;=0,0,K1025/F1025)</f>
        <v>64.99</v>
      </c>
      <c r="N1025" s="40" t="n">
        <v>64.99</v>
      </c>
      <c r="O1025" s="44" t="n">
        <v>1.6</v>
      </c>
      <c r="P1025" s="43" t="n">
        <f aca="false">O1025*'Price Groups'!$B$5</f>
        <v>36</v>
      </c>
      <c r="Q1025" s="45" t="n">
        <f aca="false">IF(OR(N1025="",P1025=""),"",(N1025-P1025)/N1025)</f>
        <v>0.446068625942453</v>
      </c>
      <c r="R1025" s="46" t="n">
        <v>1</v>
      </c>
      <c r="S1025" s="47" t="n">
        <f aca="false">IF(R1025="-",0,IFERROR(VLOOKUP(R1025,'Price Groups'!$A$13:$C$17,3,FALSE()),0))</f>
        <v>0.22</v>
      </c>
      <c r="T1025" s="41" t="n">
        <f aca="false">IF(OR(N1025="",R1025="-"),"",CEILING(ROUND(N1025*(1+S1025),2),IF(N1025*(1+S1025)&lt;100,0.5,IF(N1025*(1+S1025)&lt;1000,1,5))))</f>
        <v>79.5</v>
      </c>
      <c r="U1025" s="45" t="n">
        <f aca="false">IF(OR(T1025="",P1025=""),"",(T1025-P1025)/T1025)</f>
        <v>0.547169811320755</v>
      </c>
      <c r="V1025" s="45" t="n">
        <f aca="false">IF(T1025="",0,T1025/N1025-1)</f>
        <v>0.223265117710417</v>
      </c>
      <c r="W1025" s="38" t="s">
        <v>94</v>
      </c>
    </row>
    <row r="1026" customFormat="false" ht="15" hidden="false" customHeight="false" outlineLevel="0" collapsed="false">
      <c r="A1026" s="19" t="n">
        <v>975</v>
      </c>
      <c r="B1026" s="19" t="s">
        <v>1204</v>
      </c>
      <c r="C1026" s="19" t="s">
        <v>57</v>
      </c>
      <c r="D1026" s="19"/>
      <c r="E1026" s="19" t="s">
        <v>58</v>
      </c>
      <c r="F1026" s="20" t="n">
        <v>4</v>
      </c>
      <c r="G1026" s="20" t="n">
        <v>5</v>
      </c>
      <c r="H1026" s="21" t="n">
        <v>1100</v>
      </c>
      <c r="I1026" s="21" t="n">
        <v>-11</v>
      </c>
      <c r="J1026" s="21" t="n">
        <v>-209</v>
      </c>
      <c r="K1026" s="22" t="n">
        <f aca="false">H1026+I1026+J1026</f>
        <v>880</v>
      </c>
      <c r="L1026" s="23" t="n">
        <f aca="false">IF($K$1282=0,0,K1026/$K$1282)</f>
        <v>7.28978252020691E-005</v>
      </c>
      <c r="M1026" s="24" t="n">
        <f aca="false">IF(F1026&lt;=0,0,K1026/F1026)</f>
        <v>220</v>
      </c>
      <c r="N1026" s="21" t="n">
        <v>220</v>
      </c>
      <c r="O1026" s="49" t="n">
        <v>5.57</v>
      </c>
      <c r="P1026" s="24" t="n">
        <f aca="false">O1026*'Price Groups'!$B$5</f>
        <v>125.325</v>
      </c>
      <c r="Q1026" s="26" t="n">
        <f aca="false">IF(OR(N1026="",P1026=""),"",(N1026-P1026)/N1026)</f>
        <v>0.430340909090909</v>
      </c>
      <c r="R1026" s="27" t="n">
        <v>1</v>
      </c>
      <c r="S1026" s="28" t="n">
        <f aca="false">IF(R1026="-",0,IFERROR(VLOOKUP(R1026,'Price Groups'!$A$13:$C$17,3,FALSE()),0))</f>
        <v>0.22</v>
      </c>
      <c r="T1026" s="22" t="n">
        <f aca="false">IF(OR(N1026="",R1026="-"),"",CEILING(ROUND(N1026*(1+S1026),2),IF(N1026*(1+S1026)&lt;100,0.5,IF(N1026*(1+S1026)&lt;1000,1,5))))</f>
        <v>269</v>
      </c>
      <c r="U1026" s="26" t="n">
        <f aca="false">IF(OR(T1026="",P1026=""),"",(T1026-P1026)/T1026)</f>
        <v>0.53410780669145</v>
      </c>
      <c r="V1026" s="26" t="n">
        <f aca="false">IF(T1026="",0,T1026/N1026-1)</f>
        <v>0.222727272727273</v>
      </c>
      <c r="W1026" s="19" t="s">
        <v>94</v>
      </c>
    </row>
    <row r="1027" customFormat="false" ht="15" hidden="false" customHeight="false" outlineLevel="0" collapsed="false">
      <c r="A1027" s="38" t="n">
        <v>976</v>
      </c>
      <c r="B1027" s="38" t="s">
        <v>1205</v>
      </c>
      <c r="C1027" s="38" t="s">
        <v>57</v>
      </c>
      <c r="D1027" s="38"/>
      <c r="E1027" s="38" t="s">
        <v>58</v>
      </c>
      <c r="F1027" s="39" t="n">
        <v>4</v>
      </c>
      <c r="G1027" s="39" t="n">
        <v>3</v>
      </c>
      <c r="H1027" s="40" t="n">
        <v>604.58</v>
      </c>
      <c r="I1027" s="40" t="n">
        <v>-13.73</v>
      </c>
      <c r="J1027" s="40" t="n">
        <v>0</v>
      </c>
      <c r="K1027" s="41" t="n">
        <f aca="false">H1027+I1027+J1027</f>
        <v>590.85</v>
      </c>
      <c r="L1027" s="42" t="n">
        <f aca="false">IF($K$1282=0,0,K1027/$K$1282)</f>
        <v>4.89450909325483E-005</v>
      </c>
      <c r="M1027" s="43" t="n">
        <f aca="false">IF(F1027&lt;=0,0,K1027/F1027)</f>
        <v>147.7125</v>
      </c>
      <c r="N1027" s="40" t="n">
        <v>137.3</v>
      </c>
      <c r="O1027" s="44" t="n">
        <v>5.57</v>
      </c>
      <c r="P1027" s="43" t="n">
        <f aca="false">O1027*'Price Groups'!$B$5</f>
        <v>125.325</v>
      </c>
      <c r="Q1027" s="45" t="n">
        <f aca="false">IF(OR(N1027="",P1027=""),"",(N1027-P1027)/N1027)</f>
        <v>0.0872177713037146</v>
      </c>
      <c r="R1027" s="46" t="n">
        <v>1</v>
      </c>
      <c r="S1027" s="47" t="n">
        <f aca="false">IF(R1027="-",0,IFERROR(VLOOKUP(R1027,'Price Groups'!$A$13:$C$17,3,FALSE()),0))</f>
        <v>0.22</v>
      </c>
      <c r="T1027" s="41" t="n">
        <f aca="false">IF(OR(N1027="",R1027="-"),"",CEILING(ROUND(N1027*(1+S1027),2),IF(N1027*(1+S1027)&lt;100,0.5,IF(N1027*(1+S1027)&lt;1000,1,5))))</f>
        <v>168</v>
      </c>
      <c r="U1027" s="45" t="n">
        <f aca="false">IF(OR(T1027="",P1027=""),"",(T1027-P1027)/T1027)</f>
        <v>0.254017857142857</v>
      </c>
      <c r="V1027" s="45" t="n">
        <f aca="false">IF(T1027="",0,T1027/N1027-1)</f>
        <v>0.223597960670066</v>
      </c>
      <c r="W1027" s="38" t="s">
        <v>857</v>
      </c>
    </row>
    <row r="1028" customFormat="false" ht="15" hidden="false" customHeight="false" outlineLevel="0" collapsed="false">
      <c r="A1028" s="19" t="n">
        <v>977</v>
      </c>
      <c r="B1028" s="19" t="s">
        <v>118</v>
      </c>
      <c r="C1028" s="19" t="s">
        <v>307</v>
      </c>
      <c r="D1028" s="19" t="s">
        <v>117</v>
      </c>
      <c r="E1028" s="19" t="s">
        <v>58</v>
      </c>
      <c r="F1028" s="20" t="n">
        <v>4</v>
      </c>
      <c r="G1028" s="20" t="n">
        <v>5</v>
      </c>
      <c r="H1028" s="21" t="n">
        <v>3749.95</v>
      </c>
      <c r="I1028" s="21" t="n">
        <v>0</v>
      </c>
      <c r="J1028" s="21" t="n">
        <v>-749.99</v>
      </c>
      <c r="K1028" s="22" t="n">
        <f aca="false">H1028+I1028+J1028</f>
        <v>2999.96</v>
      </c>
      <c r="L1028" s="23" t="n">
        <f aca="false">IF($K$1282=0,0,K1028/$K$1282)</f>
        <v>0.000248511999651363</v>
      </c>
      <c r="M1028" s="24" t="n">
        <f aca="false">IF(F1028&lt;=0,0,K1028/F1028)</f>
        <v>749.99</v>
      </c>
      <c r="N1028" s="21" t="n">
        <v>785</v>
      </c>
      <c r="O1028" s="49" t="n">
        <v>17.94</v>
      </c>
      <c r="P1028" s="24" t="n">
        <f aca="false">O1028*'Price Groups'!$B$5</f>
        <v>403.65</v>
      </c>
      <c r="Q1028" s="26" t="n">
        <f aca="false">IF(OR(N1028="",P1028=""),"",(N1028-P1028)/N1028)</f>
        <v>0.485796178343949</v>
      </c>
      <c r="R1028" s="27" t="n">
        <v>5</v>
      </c>
      <c r="S1028" s="28" t="n">
        <f aca="false">IF(R1028="-",0,IFERROR(VLOOKUP(R1028,'Price Groups'!$A$13:$C$17,3,FALSE()),0))</f>
        <v>0.02</v>
      </c>
      <c r="T1028" s="22" t="n">
        <f aca="false">IF(OR(N1028="",R1028="-"),"",CEILING(ROUND(N1028*(1+S1028),2),IF(N1028*(1+S1028)&lt;100,0.5,IF(N1028*(1+S1028)&lt;1000,1,5))))</f>
        <v>801</v>
      </c>
      <c r="U1028" s="26" t="n">
        <f aca="false">IF(OR(T1028="",P1028=""),"",(T1028-P1028)/T1028)</f>
        <v>0.496067415730337</v>
      </c>
      <c r="V1028" s="26" t="n">
        <f aca="false">IF(T1028="",0,T1028/N1028-1)</f>
        <v>0.0203821656050955</v>
      </c>
      <c r="W1028" s="19" t="s">
        <v>1206</v>
      </c>
    </row>
    <row r="1029" customFormat="false" ht="15" hidden="false" customHeight="false" outlineLevel="0" collapsed="false">
      <c r="A1029" s="38" t="n">
        <v>978</v>
      </c>
      <c r="B1029" s="38" t="s">
        <v>1207</v>
      </c>
      <c r="C1029" s="38" t="s">
        <v>57</v>
      </c>
      <c r="D1029" s="38"/>
      <c r="E1029" s="38" t="s">
        <v>58</v>
      </c>
      <c r="F1029" s="39" t="n">
        <v>4</v>
      </c>
      <c r="G1029" s="39" t="n">
        <v>5</v>
      </c>
      <c r="H1029" s="40" t="n">
        <v>732.83</v>
      </c>
      <c r="I1029" s="40" t="n">
        <v>-28.63</v>
      </c>
      <c r="J1029" s="40" t="n">
        <v>-159.99</v>
      </c>
      <c r="K1029" s="41" t="n">
        <f aca="false">H1029+I1029+J1029</f>
        <v>544.21</v>
      </c>
      <c r="L1029" s="42" t="n">
        <f aca="false">IF($K$1282=0,0,K1029/$K$1282)</f>
        <v>4.50815061968387E-005</v>
      </c>
      <c r="M1029" s="43" t="n">
        <f aca="false">IF(F1029&lt;=0,0,K1029/F1029)</f>
        <v>136.0525</v>
      </c>
      <c r="N1029" s="40" t="n">
        <v>159.99</v>
      </c>
      <c r="O1029" s="44" t="n">
        <v>4.25</v>
      </c>
      <c r="P1029" s="43" t="n">
        <f aca="false">O1029*'Price Groups'!$B$5</f>
        <v>95.625</v>
      </c>
      <c r="Q1029" s="45" t="n">
        <f aca="false">IF(OR(N1029="",P1029=""),"",(N1029-P1029)/N1029)</f>
        <v>0.402306394149634</v>
      </c>
      <c r="R1029" s="46" t="n">
        <v>1</v>
      </c>
      <c r="S1029" s="47" t="n">
        <f aca="false">IF(R1029="-",0,IFERROR(VLOOKUP(R1029,'Price Groups'!$A$13:$C$17,3,FALSE()),0))</f>
        <v>0.22</v>
      </c>
      <c r="T1029" s="41" t="n">
        <f aca="false">IF(OR(N1029="",R1029="-"),"",CEILING(ROUND(N1029*(1+S1029),2),IF(N1029*(1+S1029)&lt;100,0.5,IF(N1029*(1+S1029)&lt;1000,1,5))))</f>
        <v>196</v>
      </c>
      <c r="U1029" s="45" t="n">
        <f aca="false">IF(OR(T1029="",P1029=""),"",(T1029-P1029)/T1029)</f>
        <v>0.512117346938776</v>
      </c>
      <c r="V1029" s="45" t="n">
        <f aca="false">IF(T1029="",0,T1029/N1029-1)</f>
        <v>0.225076567285455</v>
      </c>
      <c r="W1029" s="38" t="s">
        <v>94</v>
      </c>
    </row>
    <row r="1030" customFormat="false" ht="15" hidden="false" customHeight="false" outlineLevel="0" collapsed="false">
      <c r="A1030" s="19" t="n">
        <v>979</v>
      </c>
      <c r="B1030" s="19" t="s">
        <v>1208</v>
      </c>
      <c r="C1030" s="19" t="s">
        <v>57</v>
      </c>
      <c r="D1030" s="19"/>
      <c r="E1030" s="19" t="s">
        <v>58</v>
      </c>
      <c r="F1030" s="20" t="n">
        <v>4</v>
      </c>
      <c r="G1030" s="20" t="n">
        <v>4</v>
      </c>
      <c r="H1030" s="21" t="n">
        <v>1813.08</v>
      </c>
      <c r="I1030" s="21" t="n">
        <v>0</v>
      </c>
      <c r="J1030" s="21" t="n">
        <v>0</v>
      </c>
      <c r="K1030" s="22" t="n">
        <f aca="false">H1030+I1030+J1030</f>
        <v>1813.08</v>
      </c>
      <c r="L1030" s="23" t="n">
        <f aca="false">IF($K$1282=0,0,K1030/$K$1282)</f>
        <v>0.000150192714678827</v>
      </c>
      <c r="M1030" s="24" t="n">
        <f aca="false">IF(F1030&lt;=0,0,K1030/F1030)</f>
        <v>453.27</v>
      </c>
      <c r="N1030" s="21" t="n">
        <v>474.99</v>
      </c>
      <c r="O1030" s="49" t="n">
        <v>12</v>
      </c>
      <c r="P1030" s="24" t="n">
        <f aca="false">O1030*'Price Groups'!$B$5</f>
        <v>270</v>
      </c>
      <c r="Q1030" s="26" t="n">
        <f aca="false">IF(OR(N1030="",P1030=""),"",(N1030-P1030)/N1030)</f>
        <v>0.431566980357481</v>
      </c>
      <c r="R1030" s="27" t="n">
        <v>1</v>
      </c>
      <c r="S1030" s="28" t="n">
        <f aca="false">IF(R1030="-",0,IFERROR(VLOOKUP(R1030,'Price Groups'!$A$13:$C$17,3,FALSE()),0))</f>
        <v>0.22</v>
      </c>
      <c r="T1030" s="22" t="n">
        <f aca="false">IF(OR(N1030="",R1030="-"),"",CEILING(ROUND(N1030*(1+S1030),2),IF(N1030*(1+S1030)&lt;100,0.5,IF(N1030*(1+S1030)&lt;1000,1,5))))</f>
        <v>580</v>
      </c>
      <c r="U1030" s="26" t="n">
        <f aca="false">IF(OR(T1030="",P1030=""),"",(T1030-P1030)/T1030)</f>
        <v>0.53448275862069</v>
      </c>
      <c r="V1030" s="26" t="n">
        <f aca="false">IF(T1030="",0,T1030/N1030-1)</f>
        <v>0.221078338491337</v>
      </c>
      <c r="W1030" s="19" t="s">
        <v>94</v>
      </c>
    </row>
    <row r="1031" customFormat="false" ht="15" hidden="false" customHeight="false" outlineLevel="0" collapsed="false">
      <c r="A1031" s="38" t="n">
        <v>980</v>
      </c>
      <c r="B1031" s="38" t="s">
        <v>1209</v>
      </c>
      <c r="C1031" s="38" t="s">
        <v>57</v>
      </c>
      <c r="D1031" s="38"/>
      <c r="E1031" s="38" t="s">
        <v>58</v>
      </c>
      <c r="F1031" s="39" t="n">
        <v>4</v>
      </c>
      <c r="G1031" s="39" t="n">
        <v>5</v>
      </c>
      <c r="H1031" s="40" t="n">
        <v>229.94</v>
      </c>
      <c r="I1031" s="40" t="n">
        <v>-3.79</v>
      </c>
      <c r="J1031" s="40" t="n">
        <v>-77.98</v>
      </c>
      <c r="K1031" s="41" t="n">
        <f aca="false">H1031+I1031+J1031</f>
        <v>148.17</v>
      </c>
      <c r="L1031" s="42" t="n">
        <f aca="false">IF($K$1282=0,0,K1031/$K$1282)</f>
        <v>1.22741713183984E-005</v>
      </c>
      <c r="M1031" s="43" t="n">
        <f aca="false">IF(F1031&lt;=0,0,K1031/F1031)</f>
        <v>37.0425</v>
      </c>
      <c r="N1031" s="40" t="n">
        <v>37.99</v>
      </c>
      <c r="O1031" s="44" t="n">
        <v>1.08</v>
      </c>
      <c r="P1031" s="43" t="n">
        <f aca="false">O1031*'Price Groups'!$B$5</f>
        <v>24.3</v>
      </c>
      <c r="Q1031" s="45" t="n">
        <f aca="false">IF(OR(N1031="",P1031=""),"",(N1031-P1031)/N1031)</f>
        <v>0.360357988944459</v>
      </c>
      <c r="R1031" s="46" t="n">
        <v>1</v>
      </c>
      <c r="S1031" s="47" t="n">
        <f aca="false">IF(R1031="-",0,IFERROR(VLOOKUP(R1031,'Price Groups'!$A$13:$C$17,3,FALSE()),0))</f>
        <v>0.22</v>
      </c>
      <c r="T1031" s="41" t="n">
        <f aca="false">IF(OR(N1031="",R1031="-"),"",CEILING(ROUND(N1031*(1+S1031),2),IF(N1031*(1+S1031)&lt;100,0.5,IF(N1031*(1+S1031)&lt;1000,1,5))))</f>
        <v>46.5</v>
      </c>
      <c r="U1031" s="45" t="n">
        <f aca="false">IF(OR(T1031="",P1031=""),"",(T1031-P1031)/T1031)</f>
        <v>0.47741935483871</v>
      </c>
      <c r="V1031" s="45" t="n">
        <f aca="false">IF(T1031="",0,T1031/N1031-1)</f>
        <v>0.224006317451961</v>
      </c>
      <c r="W1031" s="38" t="s">
        <v>94</v>
      </c>
    </row>
    <row r="1032" customFormat="false" ht="15" hidden="false" customHeight="false" outlineLevel="0" collapsed="false">
      <c r="A1032" s="19" t="n">
        <v>981</v>
      </c>
      <c r="B1032" s="19" t="s">
        <v>1210</v>
      </c>
      <c r="C1032" s="19" t="s">
        <v>57</v>
      </c>
      <c r="D1032" s="19"/>
      <c r="E1032" s="19" t="s">
        <v>58</v>
      </c>
      <c r="F1032" s="20" t="n">
        <v>4</v>
      </c>
      <c r="G1032" s="20" t="n">
        <v>5</v>
      </c>
      <c r="H1032" s="21" t="n">
        <v>250.4</v>
      </c>
      <c r="I1032" s="21" t="n">
        <v>-4.94</v>
      </c>
      <c r="J1032" s="21" t="n">
        <v>-93.7</v>
      </c>
      <c r="K1032" s="22" t="n">
        <f aca="false">H1032+I1032+J1032</f>
        <v>151.76</v>
      </c>
      <c r="L1032" s="23" t="n">
        <f aca="false">IF($K$1282=0,0,K1032/$K$1282)</f>
        <v>1.25715613098477E-005</v>
      </c>
      <c r="M1032" s="24" t="n">
        <f aca="false">IF(F1032&lt;=0,0,K1032/F1032)</f>
        <v>37.94</v>
      </c>
      <c r="N1032" s="21" t="n">
        <v>32.88</v>
      </c>
      <c r="O1032" s="49" t="n">
        <v>1.16</v>
      </c>
      <c r="P1032" s="24" t="n">
        <f aca="false">O1032*'Price Groups'!$B$5</f>
        <v>26.1</v>
      </c>
      <c r="Q1032" s="26" t="n">
        <f aca="false">IF(OR(N1032="",P1032=""),"",(N1032-P1032)/N1032)</f>
        <v>0.206204379562044</v>
      </c>
      <c r="R1032" s="27" t="n">
        <v>1</v>
      </c>
      <c r="S1032" s="28" t="n">
        <f aca="false">IF(R1032="-",0,IFERROR(VLOOKUP(R1032,'Price Groups'!$A$13:$C$17,3,FALSE()),0))</f>
        <v>0.22</v>
      </c>
      <c r="T1032" s="22" t="n">
        <f aca="false">IF(OR(N1032="",R1032="-"),"",CEILING(ROUND(N1032*(1+S1032),2),IF(N1032*(1+S1032)&lt;100,0.5,IF(N1032*(1+S1032)&lt;1000,1,5))))</f>
        <v>40.5</v>
      </c>
      <c r="U1032" s="26" t="n">
        <f aca="false">IF(OR(T1032="",P1032=""),"",(T1032-P1032)/T1032)</f>
        <v>0.355555555555556</v>
      </c>
      <c r="V1032" s="26" t="n">
        <f aca="false">IF(T1032="",0,T1032/N1032-1)</f>
        <v>0.231751824817518</v>
      </c>
      <c r="W1032" s="19" t="s">
        <v>333</v>
      </c>
    </row>
    <row r="1033" customFormat="false" ht="15" hidden="false" customHeight="false" outlineLevel="0" collapsed="false">
      <c r="A1033" s="38" t="n">
        <v>982</v>
      </c>
      <c r="B1033" s="38" t="s">
        <v>1211</v>
      </c>
      <c r="C1033" s="38" t="s">
        <v>57</v>
      </c>
      <c r="D1033" s="38"/>
      <c r="E1033" s="38" t="s">
        <v>58</v>
      </c>
      <c r="F1033" s="39" t="n">
        <v>4</v>
      </c>
      <c r="G1033" s="39" t="n">
        <v>4</v>
      </c>
      <c r="H1033" s="40" t="n">
        <v>2100</v>
      </c>
      <c r="I1033" s="40" t="n">
        <v>-42</v>
      </c>
      <c r="J1033" s="40" t="n">
        <v>-420</v>
      </c>
      <c r="K1033" s="41" t="n">
        <f aca="false">H1033+I1033+J1033</f>
        <v>1638</v>
      </c>
      <c r="L1033" s="42" t="n">
        <f aca="false">IF($K$1282=0,0,K1033/$K$1282)</f>
        <v>0.000135689361001124</v>
      </c>
      <c r="M1033" s="43" t="n">
        <f aca="false">IF(F1033&lt;=0,0,K1033/F1033)</f>
        <v>409.5</v>
      </c>
      <c r="N1033" s="40" t="n">
        <v>420</v>
      </c>
      <c r="O1033" s="44" t="n">
        <v>9.95</v>
      </c>
      <c r="P1033" s="43" t="n">
        <f aca="false">O1033*'Price Groups'!$B$5</f>
        <v>223.875</v>
      </c>
      <c r="Q1033" s="45" t="n">
        <f aca="false">IF(OR(N1033="",P1033=""),"",(N1033-P1033)/N1033)</f>
        <v>0.466964285714286</v>
      </c>
      <c r="R1033" s="46" t="n">
        <v>1</v>
      </c>
      <c r="S1033" s="47" t="n">
        <f aca="false">IF(R1033="-",0,IFERROR(VLOOKUP(R1033,'Price Groups'!$A$13:$C$17,3,FALSE()),0))</f>
        <v>0.22</v>
      </c>
      <c r="T1033" s="41" t="n">
        <f aca="false">IF(OR(N1033="",R1033="-"),"",CEILING(ROUND(N1033*(1+S1033),2),IF(N1033*(1+S1033)&lt;100,0.5,IF(N1033*(1+S1033)&lt;1000,1,5))))</f>
        <v>513</v>
      </c>
      <c r="U1033" s="45" t="n">
        <f aca="false">IF(OR(T1033="",P1033=""),"",(T1033-P1033)/T1033)</f>
        <v>0.56359649122807</v>
      </c>
      <c r="V1033" s="45" t="n">
        <f aca="false">IF(T1033="",0,T1033/N1033-1)</f>
        <v>0.221428571428572</v>
      </c>
      <c r="W1033" s="38" t="s">
        <v>94</v>
      </c>
    </row>
    <row r="1034" customFormat="false" ht="15" hidden="false" customHeight="false" outlineLevel="0" collapsed="false">
      <c r="A1034" s="19" t="n">
        <v>983</v>
      </c>
      <c r="B1034" s="19" t="s">
        <v>1212</v>
      </c>
      <c r="C1034" s="19" t="s">
        <v>57</v>
      </c>
      <c r="D1034" s="19"/>
      <c r="E1034" s="19" t="s">
        <v>58</v>
      </c>
      <c r="F1034" s="20" t="n">
        <v>4</v>
      </c>
      <c r="G1034" s="20" t="n">
        <v>4</v>
      </c>
      <c r="H1034" s="21" t="n">
        <v>369.96</v>
      </c>
      <c r="I1034" s="21" t="n">
        <v>0</v>
      </c>
      <c r="J1034" s="21" t="n">
        <v>0</v>
      </c>
      <c r="K1034" s="22" t="n">
        <f aca="false">H1034+I1034+J1034</f>
        <v>369.96</v>
      </c>
      <c r="L1034" s="23" t="n">
        <f aca="false">IF($K$1282=0,0,K1034/$K$1282)</f>
        <v>3.06469084224517E-005</v>
      </c>
      <c r="M1034" s="24" t="n">
        <f aca="false">IF(F1034&lt;=0,0,K1034/F1034)</f>
        <v>92.49</v>
      </c>
      <c r="N1034" s="21" t="n">
        <v>84.99</v>
      </c>
      <c r="O1034" s="49" t="n">
        <v>2</v>
      </c>
      <c r="P1034" s="24" t="n">
        <f aca="false">O1034*'Price Groups'!$B$5</f>
        <v>45</v>
      </c>
      <c r="Q1034" s="26" t="n">
        <f aca="false">IF(OR(N1034="",P1034=""),"",(N1034-P1034)/N1034)</f>
        <v>0.470525944228733</v>
      </c>
      <c r="R1034" s="27" t="n">
        <v>1</v>
      </c>
      <c r="S1034" s="28" t="n">
        <f aca="false">IF(R1034="-",0,IFERROR(VLOOKUP(R1034,'Price Groups'!$A$13:$C$17,3,FALSE()),0))</f>
        <v>0.22</v>
      </c>
      <c r="T1034" s="22" t="n">
        <f aca="false">IF(OR(N1034="",R1034="-"),"",CEILING(ROUND(N1034*(1+S1034),2),IF(N1034*(1+S1034)&lt;100,0.5,IF(N1034*(1+S1034)&lt;1000,1,5))))</f>
        <v>104</v>
      </c>
      <c r="U1034" s="26" t="n">
        <f aca="false">IF(OR(T1034="",P1034=""),"",(T1034-P1034)/T1034)</f>
        <v>0.567307692307692</v>
      </c>
      <c r="V1034" s="26" t="n">
        <f aca="false">IF(T1034="",0,T1034/N1034-1)</f>
        <v>0.22367337333804</v>
      </c>
      <c r="W1034" s="19" t="s">
        <v>94</v>
      </c>
    </row>
    <row r="1035" customFormat="false" ht="15" hidden="false" customHeight="false" outlineLevel="0" collapsed="false">
      <c r="A1035" s="38" t="n">
        <v>984</v>
      </c>
      <c r="B1035" s="38" t="s">
        <v>1213</v>
      </c>
      <c r="C1035" s="38" t="s">
        <v>57</v>
      </c>
      <c r="D1035" s="38"/>
      <c r="E1035" s="38" t="s">
        <v>58</v>
      </c>
      <c r="F1035" s="39" t="n">
        <v>4</v>
      </c>
      <c r="G1035" s="39" t="n">
        <v>6</v>
      </c>
      <c r="H1035" s="40" t="n">
        <v>1980.64</v>
      </c>
      <c r="I1035" s="40" t="n">
        <v>0</v>
      </c>
      <c r="J1035" s="40" t="n">
        <v>-1260.68</v>
      </c>
      <c r="K1035" s="41" t="n">
        <f aca="false">H1035+I1035+J1035</f>
        <v>719.96</v>
      </c>
      <c r="L1035" s="42" t="n">
        <f aca="false">IF($K$1282=0,0,K1035/$K$1282)</f>
        <v>5.96403616278201E-005</v>
      </c>
      <c r="M1035" s="43" t="n">
        <f aca="false">IF(F1035&lt;=0,0,K1035/F1035)</f>
        <v>179.99</v>
      </c>
      <c r="N1035" s="40" t="n">
        <v>135.18</v>
      </c>
      <c r="O1035" s="44" t="n">
        <v>4.57</v>
      </c>
      <c r="P1035" s="43" t="n">
        <f aca="false">O1035*'Price Groups'!$B$5</f>
        <v>102.825</v>
      </c>
      <c r="Q1035" s="45" t="n">
        <f aca="false">IF(OR(N1035="",P1035=""),"",(N1035-P1035)/N1035)</f>
        <v>0.239347536617843</v>
      </c>
      <c r="R1035" s="46" t="n">
        <v>1</v>
      </c>
      <c r="S1035" s="47" t="n">
        <f aca="false">IF(R1035="-",0,IFERROR(VLOOKUP(R1035,'Price Groups'!$A$13:$C$17,3,FALSE()),0))</f>
        <v>0.22</v>
      </c>
      <c r="T1035" s="41" t="n">
        <f aca="false">IF(OR(N1035="",R1035="-"),"",CEILING(ROUND(N1035*(1+S1035),2),IF(N1035*(1+S1035)&lt;100,0.5,IF(N1035*(1+S1035)&lt;1000,1,5))))</f>
        <v>165</v>
      </c>
      <c r="U1035" s="45" t="n">
        <f aca="false">IF(OR(T1035="",P1035=""),"",(T1035-P1035)/T1035)</f>
        <v>0.376818181818182</v>
      </c>
      <c r="V1035" s="45" t="n">
        <f aca="false">IF(T1035="",0,T1035/N1035-1)</f>
        <v>0.220594762538837</v>
      </c>
      <c r="W1035" s="38" t="s">
        <v>244</v>
      </c>
    </row>
    <row r="1036" customFormat="false" ht="15" hidden="false" customHeight="false" outlineLevel="0" collapsed="false">
      <c r="A1036" s="19" t="n">
        <v>985</v>
      </c>
      <c r="B1036" s="19" t="s">
        <v>1214</v>
      </c>
      <c r="C1036" s="19" t="s">
        <v>57</v>
      </c>
      <c r="D1036" s="19"/>
      <c r="E1036" s="19" t="s">
        <v>58</v>
      </c>
      <c r="F1036" s="20" t="n">
        <v>4</v>
      </c>
      <c r="G1036" s="20" t="n">
        <v>4</v>
      </c>
      <c r="H1036" s="21" t="n">
        <v>1050</v>
      </c>
      <c r="I1036" s="21" t="n">
        <v>-42</v>
      </c>
      <c r="J1036" s="21" t="n">
        <v>-210</v>
      </c>
      <c r="K1036" s="22" t="n">
        <f aca="false">H1036+I1036+J1036</f>
        <v>798</v>
      </c>
      <c r="L1036" s="23" t="n">
        <f aca="false">IF($K$1282=0,0,K1036/$K$1282)</f>
        <v>6.610507330824E-005</v>
      </c>
      <c r="M1036" s="24" t="n">
        <f aca="false">IF(F1036&lt;=0,0,K1036/F1036)</f>
        <v>199.5</v>
      </c>
      <c r="N1036" s="21" t="n">
        <v>210</v>
      </c>
      <c r="O1036" s="49" t="n">
        <v>4.46</v>
      </c>
      <c r="P1036" s="24" t="n">
        <f aca="false">O1036*'Price Groups'!$B$5</f>
        <v>100.35</v>
      </c>
      <c r="Q1036" s="26" t="n">
        <f aca="false">IF(OR(N1036="",P1036=""),"",(N1036-P1036)/N1036)</f>
        <v>0.522142857142857</v>
      </c>
      <c r="R1036" s="27" t="n">
        <v>1</v>
      </c>
      <c r="S1036" s="28" t="n">
        <f aca="false">IF(R1036="-",0,IFERROR(VLOOKUP(R1036,'Price Groups'!$A$13:$C$17,3,FALSE()),0))</f>
        <v>0.22</v>
      </c>
      <c r="T1036" s="22" t="n">
        <f aca="false">IF(OR(N1036="",R1036="-"),"",CEILING(ROUND(N1036*(1+S1036),2),IF(N1036*(1+S1036)&lt;100,0.5,IF(N1036*(1+S1036)&lt;1000,1,5))))</f>
        <v>257</v>
      </c>
      <c r="U1036" s="26" t="n">
        <f aca="false">IF(OR(T1036="",P1036=""),"",(T1036-P1036)/T1036)</f>
        <v>0.609533073929961</v>
      </c>
      <c r="V1036" s="26" t="n">
        <f aca="false">IF(T1036="",0,T1036/N1036-1)</f>
        <v>0.223809523809524</v>
      </c>
      <c r="W1036" s="19" t="s">
        <v>94</v>
      </c>
    </row>
    <row r="1037" customFormat="false" ht="15" hidden="false" customHeight="false" outlineLevel="0" collapsed="false">
      <c r="A1037" s="38" t="n">
        <v>986</v>
      </c>
      <c r="B1037" s="38" t="s">
        <v>1215</v>
      </c>
      <c r="C1037" s="38" t="s">
        <v>57</v>
      </c>
      <c r="D1037" s="38"/>
      <c r="E1037" s="38" t="s">
        <v>58</v>
      </c>
      <c r="F1037" s="39" t="n">
        <v>4</v>
      </c>
      <c r="G1037" s="39" t="n">
        <v>3</v>
      </c>
      <c r="H1037" s="40" t="n">
        <v>840</v>
      </c>
      <c r="I1037" s="40" t="n">
        <v>0</v>
      </c>
      <c r="J1037" s="40" t="n">
        <v>0</v>
      </c>
      <c r="K1037" s="41" t="n">
        <f aca="false">H1037+I1037+J1037</f>
        <v>840</v>
      </c>
      <c r="L1037" s="42" t="n">
        <f aca="false">IF($K$1282=0,0,K1037/$K$1282)</f>
        <v>6.95842876928842E-005</v>
      </c>
      <c r="M1037" s="43" t="n">
        <f aca="false">IF(F1037&lt;=0,0,K1037/F1037)</f>
        <v>210</v>
      </c>
      <c r="N1037" s="40" t="n">
        <v>210</v>
      </c>
      <c r="O1037" s="44" t="n">
        <v>6.08</v>
      </c>
      <c r="P1037" s="43" t="n">
        <f aca="false">O1037*'Price Groups'!$B$5</f>
        <v>136.8</v>
      </c>
      <c r="Q1037" s="45" t="n">
        <f aca="false">IF(OR(N1037="",P1037=""),"",(N1037-P1037)/N1037)</f>
        <v>0.348571428571429</v>
      </c>
      <c r="R1037" s="46" t="n">
        <v>1</v>
      </c>
      <c r="S1037" s="47" t="n">
        <f aca="false">IF(R1037="-",0,IFERROR(VLOOKUP(R1037,'Price Groups'!$A$13:$C$17,3,FALSE()),0))</f>
        <v>0.22</v>
      </c>
      <c r="T1037" s="41" t="n">
        <f aca="false">IF(OR(N1037="",R1037="-"),"",CEILING(ROUND(N1037*(1+S1037),2),IF(N1037*(1+S1037)&lt;100,0.5,IF(N1037*(1+S1037)&lt;1000,1,5))))</f>
        <v>257</v>
      </c>
      <c r="U1037" s="45" t="n">
        <f aca="false">IF(OR(T1037="",P1037=""),"",(T1037-P1037)/T1037)</f>
        <v>0.467704280155642</v>
      </c>
      <c r="V1037" s="45" t="n">
        <f aca="false">IF(T1037="",0,T1037/N1037-1)</f>
        <v>0.223809523809524</v>
      </c>
      <c r="W1037" s="38" t="s">
        <v>94</v>
      </c>
    </row>
    <row r="1038" customFormat="false" ht="15" hidden="false" customHeight="false" outlineLevel="0" collapsed="false">
      <c r="A1038" s="19" t="n">
        <v>987</v>
      </c>
      <c r="B1038" s="19" t="s">
        <v>1216</v>
      </c>
      <c r="C1038" s="19" t="s">
        <v>57</v>
      </c>
      <c r="D1038" s="19"/>
      <c r="E1038" s="19" t="s">
        <v>58</v>
      </c>
      <c r="F1038" s="20" t="n">
        <v>4</v>
      </c>
      <c r="G1038" s="20" t="n">
        <v>5</v>
      </c>
      <c r="H1038" s="21" t="n">
        <v>549.95</v>
      </c>
      <c r="I1038" s="21" t="n">
        <v>-21.98</v>
      </c>
      <c r="J1038" s="21" t="n">
        <v>-109.99</v>
      </c>
      <c r="K1038" s="22" t="n">
        <f aca="false">H1038+I1038+J1038</f>
        <v>417.98</v>
      </c>
      <c r="L1038" s="23" t="n">
        <f aca="false">IF($K$1282=0,0,K1038/$K$1282)</f>
        <v>3.46248102022282E-005</v>
      </c>
      <c r="M1038" s="24" t="n">
        <f aca="false">IF(F1038&lt;=0,0,K1038/F1038)</f>
        <v>104.495</v>
      </c>
      <c r="N1038" s="21" t="n">
        <v>109.99</v>
      </c>
      <c r="O1038" s="49" t="n">
        <v>2.63</v>
      </c>
      <c r="P1038" s="24" t="n">
        <f aca="false">O1038*'Price Groups'!$B$5</f>
        <v>59.175</v>
      </c>
      <c r="Q1038" s="26" t="n">
        <f aca="false">IF(OR(N1038="",P1038=""),"",(N1038-P1038)/N1038)</f>
        <v>0.461996545140467</v>
      </c>
      <c r="R1038" s="27" t="n">
        <v>1</v>
      </c>
      <c r="S1038" s="28" t="n">
        <f aca="false">IF(R1038="-",0,IFERROR(VLOOKUP(R1038,'Price Groups'!$A$13:$C$17,3,FALSE()),0))</f>
        <v>0.22</v>
      </c>
      <c r="T1038" s="22" t="n">
        <f aca="false">IF(OR(N1038="",R1038="-"),"",CEILING(ROUND(N1038*(1+S1038),2),IF(N1038*(1+S1038)&lt;100,0.5,IF(N1038*(1+S1038)&lt;1000,1,5))))</f>
        <v>135</v>
      </c>
      <c r="U1038" s="26" t="n">
        <f aca="false">IF(OR(T1038="",P1038=""),"",(T1038-P1038)/T1038)</f>
        <v>0.561666666666667</v>
      </c>
      <c r="V1038" s="26" t="n">
        <f aca="false">IF(T1038="",0,T1038/N1038-1)</f>
        <v>0.227384307664333</v>
      </c>
      <c r="W1038" s="19" t="s">
        <v>94</v>
      </c>
    </row>
    <row r="1039" customFormat="false" ht="15" hidden="false" customHeight="false" outlineLevel="0" collapsed="false">
      <c r="A1039" s="38" t="n">
        <v>988</v>
      </c>
      <c r="B1039" s="38" t="s">
        <v>1217</v>
      </c>
      <c r="C1039" s="38" t="s">
        <v>57</v>
      </c>
      <c r="D1039" s="38"/>
      <c r="E1039" s="38" t="s">
        <v>58</v>
      </c>
      <c r="F1039" s="39" t="n">
        <v>4</v>
      </c>
      <c r="G1039" s="39" t="n">
        <v>3</v>
      </c>
      <c r="H1039" s="40" t="n">
        <v>519.96</v>
      </c>
      <c r="I1039" s="40" t="n">
        <v>0</v>
      </c>
      <c r="J1039" s="40" t="n">
        <v>0</v>
      </c>
      <c r="K1039" s="41" t="n">
        <f aca="false">H1039+I1039+J1039</f>
        <v>519.96</v>
      </c>
      <c r="L1039" s="42" t="n">
        <f aca="false">IF($K$1282=0,0,K1039/$K$1282)</f>
        <v>4.30726740818953E-005</v>
      </c>
      <c r="M1039" s="43" t="n">
        <f aca="false">IF(F1039&lt;=0,0,K1039/F1039)</f>
        <v>129.99</v>
      </c>
      <c r="N1039" s="40" t="n">
        <v>129.99</v>
      </c>
      <c r="O1039" s="44" t="n">
        <v>3</v>
      </c>
      <c r="P1039" s="43" t="n">
        <f aca="false">O1039*'Price Groups'!$B$5</f>
        <v>67.5</v>
      </c>
      <c r="Q1039" s="45" t="n">
        <f aca="false">IF(OR(N1039="",P1039=""),"",(N1039-P1039)/N1039)</f>
        <v>0.480729286868221</v>
      </c>
      <c r="R1039" s="46" t="n">
        <v>1</v>
      </c>
      <c r="S1039" s="47" t="n">
        <f aca="false">IF(R1039="-",0,IFERROR(VLOOKUP(R1039,'Price Groups'!$A$13:$C$17,3,FALSE()),0))</f>
        <v>0.22</v>
      </c>
      <c r="T1039" s="41" t="n">
        <f aca="false">IF(OR(N1039="",R1039="-"),"",CEILING(ROUND(N1039*(1+S1039),2),IF(N1039*(1+S1039)&lt;100,0.5,IF(N1039*(1+S1039)&lt;1000,1,5))))</f>
        <v>159</v>
      </c>
      <c r="U1039" s="45" t="n">
        <f aca="false">IF(OR(T1039="",P1039=""),"",(T1039-P1039)/T1039)</f>
        <v>0.575471698113208</v>
      </c>
      <c r="V1039" s="45" t="n">
        <f aca="false">IF(T1039="",0,T1039/N1039-1)</f>
        <v>0.223171013154858</v>
      </c>
      <c r="W1039" s="38" t="s">
        <v>94</v>
      </c>
    </row>
    <row r="1040" customFormat="false" ht="15" hidden="false" customHeight="false" outlineLevel="0" collapsed="false">
      <c r="A1040" s="19" t="n">
        <v>989</v>
      </c>
      <c r="B1040" s="19" t="s">
        <v>1218</v>
      </c>
      <c r="C1040" s="19" t="s">
        <v>57</v>
      </c>
      <c r="D1040" s="19"/>
      <c r="E1040" s="19" t="s">
        <v>58</v>
      </c>
      <c r="F1040" s="20" t="n">
        <v>4</v>
      </c>
      <c r="G1040" s="20" t="n">
        <v>5</v>
      </c>
      <c r="H1040" s="21" t="n">
        <v>17000</v>
      </c>
      <c r="I1040" s="21" t="n">
        <v>-615.49</v>
      </c>
      <c r="J1040" s="21" t="n">
        <v>-3400</v>
      </c>
      <c r="K1040" s="22" t="n">
        <f aca="false">H1040+I1040+J1040</f>
        <v>12984.51</v>
      </c>
      <c r="L1040" s="23" t="n">
        <f aca="false">IF($K$1282=0,0,K1040/$K$1282)</f>
        <v>0.00107561652308468</v>
      </c>
      <c r="M1040" s="24" t="n">
        <f aca="false">IF(F1040&lt;=0,0,K1040/F1040)</f>
        <v>3246.1275</v>
      </c>
      <c r="N1040" s="21" t="n">
        <v>3400</v>
      </c>
      <c r="O1040" s="49" t="n">
        <v>64.51</v>
      </c>
      <c r="P1040" s="24" t="n">
        <f aca="false">O1040*'Price Groups'!$B$5</f>
        <v>1451.475</v>
      </c>
      <c r="Q1040" s="26" t="n">
        <f aca="false">IF(OR(N1040="",P1040=""),"",(N1040-P1040)/N1040)</f>
        <v>0.573095588235294</v>
      </c>
      <c r="R1040" s="27" t="n">
        <v>3</v>
      </c>
      <c r="S1040" s="28" t="n">
        <f aca="false">IF(R1040="-",0,IFERROR(VLOOKUP(R1040,'Price Groups'!$A$13:$C$17,3,FALSE()),0))</f>
        <v>0.16</v>
      </c>
      <c r="T1040" s="22" t="n">
        <f aca="false">IF(OR(N1040="",R1040="-"),"",CEILING(ROUND(N1040*(1+S1040),2),IF(N1040*(1+S1040)&lt;100,0.5,IF(N1040*(1+S1040)&lt;1000,1,5))))</f>
        <v>3945</v>
      </c>
      <c r="U1040" s="26" t="n">
        <f aca="false">IF(OR(T1040="",P1040=""),"",(T1040-P1040)/T1040)</f>
        <v>0.632072243346008</v>
      </c>
      <c r="V1040" s="26" t="n">
        <f aca="false">IF(T1040="",0,T1040/N1040-1)</f>
        <v>0.160294117647059</v>
      </c>
      <c r="W1040" s="19" t="s">
        <v>107</v>
      </c>
    </row>
    <row r="1041" customFormat="false" ht="15" hidden="false" customHeight="false" outlineLevel="0" collapsed="false">
      <c r="A1041" s="38" t="n">
        <v>990</v>
      </c>
      <c r="B1041" s="38" t="s">
        <v>1219</v>
      </c>
      <c r="C1041" s="38" t="s">
        <v>57</v>
      </c>
      <c r="D1041" s="38"/>
      <c r="E1041" s="38" t="s">
        <v>58</v>
      </c>
      <c r="F1041" s="39" t="n">
        <v>4</v>
      </c>
      <c r="G1041" s="39" t="n">
        <v>4</v>
      </c>
      <c r="H1041" s="40" t="n">
        <v>239.96</v>
      </c>
      <c r="I1041" s="40" t="n">
        <v>-7.99</v>
      </c>
      <c r="J1041" s="40" t="n">
        <v>0</v>
      </c>
      <c r="K1041" s="41" t="n">
        <f aca="false">H1041+I1041+J1041</f>
        <v>231.97</v>
      </c>
      <c r="L1041" s="42" t="n">
        <f aca="false">IF($K$1282=0,0,K1041/$K$1282)</f>
        <v>1.92160324001409E-005</v>
      </c>
      <c r="M1041" s="43" t="n">
        <f aca="false">IF(F1041&lt;=0,0,K1041/F1041)</f>
        <v>57.9925</v>
      </c>
      <c r="N1041" s="40" t="n">
        <v>39.99</v>
      </c>
      <c r="O1041" s="44" t="n">
        <v>2.24</v>
      </c>
      <c r="P1041" s="43" t="n">
        <f aca="false">O1041*'Price Groups'!$B$5</f>
        <v>50.4</v>
      </c>
      <c r="Q1041" s="45" t="n">
        <f aca="false">IF(OR(N1041="",P1041=""),"",(N1041-P1041)/N1041)</f>
        <v>-0.260315078769693</v>
      </c>
      <c r="R1041" s="46" t="n">
        <v>1</v>
      </c>
      <c r="S1041" s="47" t="n">
        <f aca="false">IF(R1041="-",0,IFERROR(VLOOKUP(R1041,'Price Groups'!$A$13:$C$17,3,FALSE()),0))</f>
        <v>0.22</v>
      </c>
      <c r="T1041" s="41" t="n">
        <f aca="false">IF(OR(N1041="",R1041="-"),"",CEILING(ROUND(N1041*(1+S1041),2),IF(N1041*(1+S1041)&lt;100,0.5,IF(N1041*(1+S1041)&lt;1000,1,5))))</f>
        <v>49</v>
      </c>
      <c r="U1041" s="45" t="n">
        <f aca="false">IF(OR(T1041="",P1041=""),"",(T1041-P1041)/T1041)</f>
        <v>-0.0285714285714287</v>
      </c>
      <c r="V1041" s="45" t="n">
        <f aca="false">IF(T1041="",0,T1041/N1041-1)</f>
        <v>0.225306326581645</v>
      </c>
      <c r="W1041" s="38" t="s">
        <v>1220</v>
      </c>
    </row>
    <row r="1042" customFormat="false" ht="15" hidden="false" customHeight="false" outlineLevel="0" collapsed="false">
      <c r="A1042" s="19" t="n">
        <v>991</v>
      </c>
      <c r="B1042" s="19" t="s">
        <v>1221</v>
      </c>
      <c r="C1042" s="19" t="s">
        <v>57</v>
      </c>
      <c r="D1042" s="19"/>
      <c r="E1042" s="19" t="s">
        <v>58</v>
      </c>
      <c r="F1042" s="20" t="n">
        <v>4</v>
      </c>
      <c r="G1042" s="20" t="n">
        <v>4</v>
      </c>
      <c r="H1042" s="21" t="n">
        <v>625</v>
      </c>
      <c r="I1042" s="21" t="n">
        <v>0</v>
      </c>
      <c r="J1042" s="21" t="n">
        <v>0</v>
      </c>
      <c r="K1042" s="22" t="n">
        <f aca="false">H1042+I1042+J1042</f>
        <v>625</v>
      </c>
      <c r="L1042" s="23" t="n">
        <f aca="false">IF($K$1282=0,0,K1042/$K$1282)</f>
        <v>5.1774023581015E-005</v>
      </c>
      <c r="M1042" s="24" t="n">
        <f aca="false">IF(F1042&lt;=0,0,K1042/F1042)</f>
        <v>156.25</v>
      </c>
      <c r="N1042" s="21" t="n">
        <v>75</v>
      </c>
      <c r="O1042" s="49" t="n">
        <v>5</v>
      </c>
      <c r="P1042" s="24" t="n">
        <f aca="false">O1042*'Price Groups'!$B$5</f>
        <v>112.5</v>
      </c>
      <c r="Q1042" s="26" t="n">
        <f aca="false">IF(OR(N1042="",P1042=""),"",(N1042-P1042)/N1042)</f>
        <v>-0.5</v>
      </c>
      <c r="R1042" s="27" t="n">
        <v>1</v>
      </c>
      <c r="S1042" s="28" t="n">
        <f aca="false">IF(R1042="-",0,IFERROR(VLOOKUP(R1042,'Price Groups'!$A$13:$C$17,3,FALSE()),0))</f>
        <v>0.22</v>
      </c>
      <c r="T1042" s="22" t="n">
        <f aca="false">IF(OR(N1042="",R1042="-"),"",CEILING(ROUND(N1042*(1+S1042),2),IF(N1042*(1+S1042)&lt;100,0.5,IF(N1042*(1+S1042)&lt;1000,1,5))))</f>
        <v>91.5</v>
      </c>
      <c r="U1042" s="26" t="n">
        <f aca="false">IF(OR(T1042="",P1042=""),"",(T1042-P1042)/T1042)</f>
        <v>-0.229508196721311</v>
      </c>
      <c r="V1042" s="26" t="n">
        <f aca="false">IF(T1042="",0,T1042/N1042-1)</f>
        <v>0.22</v>
      </c>
      <c r="W1042" s="19" t="s">
        <v>1222</v>
      </c>
    </row>
    <row r="1043" customFormat="false" ht="15" hidden="false" customHeight="false" outlineLevel="0" collapsed="false">
      <c r="A1043" s="38" t="n">
        <v>992</v>
      </c>
      <c r="B1043" s="38" t="s">
        <v>1223</v>
      </c>
      <c r="C1043" s="38" t="s">
        <v>57</v>
      </c>
      <c r="D1043" s="38"/>
      <c r="E1043" s="38" t="s">
        <v>58</v>
      </c>
      <c r="F1043" s="39" t="n">
        <v>4</v>
      </c>
      <c r="G1043" s="39" t="n">
        <v>4</v>
      </c>
      <c r="H1043" s="40" t="n">
        <v>359.96</v>
      </c>
      <c r="I1043" s="40" t="n">
        <v>0</v>
      </c>
      <c r="J1043" s="40" t="n">
        <v>0</v>
      </c>
      <c r="K1043" s="41" t="n">
        <f aca="false">H1043+I1043+J1043</f>
        <v>359.96</v>
      </c>
      <c r="L1043" s="42" t="n">
        <f aca="false">IF($K$1282=0,0,K1043/$K$1282)</f>
        <v>2.98185240451555E-005</v>
      </c>
      <c r="M1043" s="43" t="n">
        <f aca="false">IF(F1043&lt;=0,0,K1043/F1043)</f>
        <v>89.99</v>
      </c>
      <c r="N1043" s="40" t="n">
        <v>89.99</v>
      </c>
      <c r="O1043" s="44" t="n">
        <v>1.72</v>
      </c>
      <c r="P1043" s="43" t="n">
        <f aca="false">O1043*'Price Groups'!$B$5</f>
        <v>38.7</v>
      </c>
      <c r="Q1043" s="45" t="n">
        <f aca="false">IF(OR(N1043="",P1043=""),"",(N1043-P1043)/N1043)</f>
        <v>0.56995221691299</v>
      </c>
      <c r="R1043" s="46" t="n">
        <v>1</v>
      </c>
      <c r="S1043" s="47" t="n">
        <f aca="false">IF(R1043="-",0,IFERROR(VLOOKUP(R1043,'Price Groups'!$A$13:$C$17,3,FALSE()),0))</f>
        <v>0.22</v>
      </c>
      <c r="T1043" s="41" t="n">
        <f aca="false">IF(OR(N1043="",R1043="-"),"",CEILING(ROUND(N1043*(1+S1043),2),IF(N1043*(1+S1043)&lt;100,0.5,IF(N1043*(1+S1043)&lt;1000,1,5))))</f>
        <v>110</v>
      </c>
      <c r="U1043" s="45" t="n">
        <f aca="false">IF(OR(T1043="",P1043=""),"",(T1043-P1043)/T1043)</f>
        <v>0.648181818181818</v>
      </c>
      <c r="V1043" s="45" t="n">
        <f aca="false">IF(T1043="",0,T1043/N1043-1)</f>
        <v>0.222358039782198</v>
      </c>
      <c r="W1043" s="38" t="s">
        <v>94</v>
      </c>
    </row>
    <row r="1044" customFormat="false" ht="15" hidden="false" customHeight="false" outlineLevel="0" collapsed="false">
      <c r="A1044" s="19" t="n">
        <v>993</v>
      </c>
      <c r="B1044" s="19" t="s">
        <v>1224</v>
      </c>
      <c r="C1044" s="19" t="s">
        <v>57</v>
      </c>
      <c r="D1044" s="19"/>
      <c r="E1044" s="19" t="s">
        <v>58</v>
      </c>
      <c r="F1044" s="20" t="n">
        <v>4</v>
      </c>
      <c r="G1044" s="20" t="n">
        <v>4</v>
      </c>
      <c r="H1044" s="21" t="n">
        <v>909.3</v>
      </c>
      <c r="I1044" s="21" t="n">
        <v>0</v>
      </c>
      <c r="J1044" s="21" t="n">
        <v>0</v>
      </c>
      <c r="K1044" s="22" t="n">
        <f aca="false">H1044+I1044+J1044</f>
        <v>909.3</v>
      </c>
      <c r="L1044" s="23" t="n">
        <f aca="false">IF($K$1282=0,0,K1044/$K$1282)</f>
        <v>7.53249914275471E-005</v>
      </c>
      <c r="M1044" s="24" t="n">
        <f aca="false">IF(F1044&lt;=0,0,K1044/F1044)</f>
        <v>227.325</v>
      </c>
      <c r="N1044" s="21" t="n">
        <v>174.33</v>
      </c>
      <c r="O1044" s="49" t="n">
        <v>5.44</v>
      </c>
      <c r="P1044" s="24" t="n">
        <f aca="false">O1044*'Price Groups'!$B$5</f>
        <v>122.4</v>
      </c>
      <c r="Q1044" s="26" t="n">
        <f aca="false">IF(OR(N1044="",P1044=""),"",(N1044-P1044)/N1044)</f>
        <v>0.297883324728962</v>
      </c>
      <c r="R1044" s="27" t="n">
        <v>1</v>
      </c>
      <c r="S1044" s="28" t="n">
        <f aca="false">IF(R1044="-",0,IFERROR(VLOOKUP(R1044,'Price Groups'!$A$13:$C$17,3,FALSE()),0))</f>
        <v>0.22</v>
      </c>
      <c r="T1044" s="22" t="n">
        <f aca="false">IF(OR(N1044="",R1044="-"),"",CEILING(ROUND(N1044*(1+S1044),2),IF(N1044*(1+S1044)&lt;100,0.5,IF(N1044*(1+S1044)&lt;1000,1,5))))</f>
        <v>213</v>
      </c>
      <c r="U1044" s="26" t="n">
        <f aca="false">IF(OR(T1044="",P1044=""),"",(T1044-P1044)/T1044)</f>
        <v>0.425352112676056</v>
      </c>
      <c r="V1044" s="26" t="n">
        <f aca="false">IF(T1044="",0,T1044/N1044-1)</f>
        <v>0.221820684907933</v>
      </c>
      <c r="W1044" s="19" t="s">
        <v>94</v>
      </c>
    </row>
    <row r="1045" customFormat="false" ht="15" hidden="false" customHeight="false" outlineLevel="0" collapsed="false">
      <c r="A1045" s="38" t="n">
        <v>994</v>
      </c>
      <c r="B1045" s="38" t="s">
        <v>1225</v>
      </c>
      <c r="C1045" s="38" t="s">
        <v>57</v>
      </c>
      <c r="D1045" s="38"/>
      <c r="E1045" s="38" t="s">
        <v>58</v>
      </c>
      <c r="F1045" s="39" t="n">
        <v>4</v>
      </c>
      <c r="G1045" s="39" t="n">
        <v>4</v>
      </c>
      <c r="H1045" s="40" t="n">
        <v>694.14</v>
      </c>
      <c r="I1045" s="40" t="n">
        <v>-18.9</v>
      </c>
      <c r="J1045" s="40" t="n">
        <v>0</v>
      </c>
      <c r="K1045" s="41" t="n">
        <f aca="false">H1045+I1045+J1045</f>
        <v>675.24</v>
      </c>
      <c r="L1045" s="42" t="n">
        <f aca="false">IF($K$1282=0,0,K1045/$K$1282)</f>
        <v>5.59358266925513E-005</v>
      </c>
      <c r="M1045" s="43" t="n">
        <f aca="false">IF(F1045&lt;=0,0,K1045/F1045)</f>
        <v>168.81</v>
      </c>
      <c r="N1045" s="40" t="n">
        <v>150</v>
      </c>
      <c r="O1045" s="44" t="n">
        <v>5.66</v>
      </c>
      <c r="P1045" s="43" t="n">
        <f aca="false">O1045*'Price Groups'!$B$5</f>
        <v>127.35</v>
      </c>
      <c r="Q1045" s="45" t="n">
        <f aca="false">IF(OR(N1045="",P1045=""),"",(N1045-P1045)/N1045)</f>
        <v>0.151</v>
      </c>
      <c r="R1045" s="46" t="n">
        <v>1</v>
      </c>
      <c r="S1045" s="47" t="n">
        <f aca="false">IF(R1045="-",0,IFERROR(VLOOKUP(R1045,'Price Groups'!$A$13:$C$17,3,FALSE()),0))</f>
        <v>0.22</v>
      </c>
      <c r="T1045" s="41" t="n">
        <f aca="false">IF(OR(N1045="",R1045="-"),"",CEILING(ROUND(N1045*(1+S1045),2),IF(N1045*(1+S1045)&lt;100,0.5,IF(N1045*(1+S1045)&lt;1000,1,5))))</f>
        <v>183</v>
      </c>
      <c r="U1045" s="45" t="n">
        <f aca="false">IF(OR(T1045="",P1045=""),"",(T1045-P1045)/T1045)</f>
        <v>0.304098360655738</v>
      </c>
      <c r="V1045" s="45" t="n">
        <f aca="false">IF(T1045="",0,T1045/N1045-1)</f>
        <v>0.22</v>
      </c>
      <c r="W1045" s="38" t="s">
        <v>178</v>
      </c>
    </row>
    <row r="1046" customFormat="false" ht="15" hidden="false" customHeight="false" outlineLevel="0" collapsed="false">
      <c r="A1046" s="19" t="n">
        <v>995</v>
      </c>
      <c r="B1046" s="19" t="s">
        <v>1226</v>
      </c>
      <c r="C1046" s="19" t="s">
        <v>57</v>
      </c>
      <c r="D1046" s="19"/>
      <c r="E1046" s="19" t="s">
        <v>58</v>
      </c>
      <c r="F1046" s="20" t="n">
        <v>4</v>
      </c>
      <c r="G1046" s="20" t="n">
        <v>3</v>
      </c>
      <c r="H1046" s="21" t="n">
        <v>79.96</v>
      </c>
      <c r="I1046" s="21" t="n">
        <v>0</v>
      </c>
      <c r="J1046" s="21" t="n">
        <v>0</v>
      </c>
      <c r="K1046" s="22" t="n">
        <f aca="false">H1046+I1046+J1046</f>
        <v>79.96</v>
      </c>
      <c r="L1046" s="23" t="n">
        <f aca="false">IF($K$1282=0,0,K1046/$K$1282)</f>
        <v>6.62376148086074E-006</v>
      </c>
      <c r="M1046" s="24" t="n">
        <f aca="false">IF(F1046&lt;=0,0,K1046/F1046)</f>
        <v>19.99</v>
      </c>
      <c r="N1046" s="21" t="n">
        <v>19.99</v>
      </c>
      <c r="O1046" s="49" t="n">
        <v>0.16</v>
      </c>
      <c r="P1046" s="24" t="n">
        <f aca="false">O1046*'Price Groups'!$B$5</f>
        <v>3.6</v>
      </c>
      <c r="Q1046" s="26" t="n">
        <f aca="false">IF(OR(N1046="",P1046=""),"",(N1046-P1046)/N1046)</f>
        <v>0.819909954977489</v>
      </c>
      <c r="R1046" s="27" t="n">
        <v>1</v>
      </c>
      <c r="S1046" s="28" t="n">
        <f aca="false">IF(R1046="-",0,IFERROR(VLOOKUP(R1046,'Price Groups'!$A$13:$C$17,3,FALSE()),0))</f>
        <v>0.22</v>
      </c>
      <c r="T1046" s="22" t="n">
        <f aca="false">IF(OR(N1046="",R1046="-"),"",CEILING(ROUND(N1046*(1+S1046),2),IF(N1046*(1+S1046)&lt;100,0.5,IF(N1046*(1+S1046)&lt;1000,1,5))))</f>
        <v>24.5</v>
      </c>
      <c r="U1046" s="26" t="n">
        <f aca="false">IF(OR(T1046="",P1046=""),"",(T1046-P1046)/T1046)</f>
        <v>0.853061224489796</v>
      </c>
      <c r="V1046" s="26" t="n">
        <f aca="false">IF(T1046="",0,T1046/N1046-1)</f>
        <v>0.225612806403202</v>
      </c>
      <c r="W1046" s="19" t="s">
        <v>94</v>
      </c>
    </row>
    <row r="1047" customFormat="false" ht="15" hidden="false" customHeight="false" outlineLevel="0" collapsed="false">
      <c r="A1047" s="38" t="n">
        <v>996</v>
      </c>
      <c r="B1047" s="38" t="s">
        <v>1227</v>
      </c>
      <c r="C1047" s="38" t="s">
        <v>57</v>
      </c>
      <c r="D1047" s="38"/>
      <c r="E1047" s="38" t="s">
        <v>58</v>
      </c>
      <c r="F1047" s="39" t="n">
        <v>4</v>
      </c>
      <c r="G1047" s="39" t="n">
        <v>1</v>
      </c>
      <c r="H1047" s="40" t="n">
        <v>399.96</v>
      </c>
      <c r="I1047" s="40" t="n">
        <v>0</v>
      </c>
      <c r="J1047" s="40" t="n">
        <v>0</v>
      </c>
      <c r="K1047" s="41" t="n">
        <f aca="false">H1047+I1047+J1047</f>
        <v>399.96</v>
      </c>
      <c r="L1047" s="42" t="n">
        <f aca="false">IF($K$1282=0,0,K1047/$K$1282)</f>
        <v>3.31320615543404E-005</v>
      </c>
      <c r="M1047" s="43" t="n">
        <f aca="false">IF(F1047&lt;=0,0,K1047/F1047)</f>
        <v>99.99</v>
      </c>
      <c r="N1047" s="40" t="n">
        <v>99.99</v>
      </c>
      <c r="O1047" s="44" t="n">
        <v>2.36</v>
      </c>
      <c r="P1047" s="43" t="n">
        <f aca="false">O1047*'Price Groups'!$B$5</f>
        <v>53.1</v>
      </c>
      <c r="Q1047" s="45" t="n">
        <f aca="false">IF(OR(N1047="",P1047=""),"",(N1047-P1047)/N1047)</f>
        <v>0.468946894689469</v>
      </c>
      <c r="R1047" s="46" t="n">
        <v>1</v>
      </c>
      <c r="S1047" s="47" t="n">
        <f aca="false">IF(R1047="-",0,IFERROR(VLOOKUP(R1047,'Price Groups'!$A$13:$C$17,3,FALSE()),0))</f>
        <v>0.22</v>
      </c>
      <c r="T1047" s="41" t="n">
        <f aca="false">IF(OR(N1047="",R1047="-"),"",CEILING(ROUND(N1047*(1+S1047),2),IF(N1047*(1+S1047)&lt;100,0.5,IF(N1047*(1+S1047)&lt;1000,1,5))))</f>
        <v>122</v>
      </c>
      <c r="U1047" s="45" t="n">
        <f aca="false">IF(OR(T1047="",P1047=""),"",(T1047-P1047)/T1047)</f>
        <v>0.564754098360656</v>
      </c>
      <c r="V1047" s="45" t="n">
        <f aca="false">IF(T1047="",0,T1047/N1047-1)</f>
        <v>0.22012201220122</v>
      </c>
      <c r="W1047" s="38" t="s">
        <v>94</v>
      </c>
    </row>
    <row r="1048" customFormat="false" ht="15" hidden="false" customHeight="false" outlineLevel="0" collapsed="false">
      <c r="A1048" s="19" t="n">
        <v>997</v>
      </c>
      <c r="B1048" s="19" t="s">
        <v>1228</v>
      </c>
      <c r="C1048" s="19" t="s">
        <v>57</v>
      </c>
      <c r="D1048" s="19"/>
      <c r="E1048" s="19" t="s">
        <v>58</v>
      </c>
      <c r="F1048" s="20" t="n">
        <v>4</v>
      </c>
      <c r="G1048" s="20" t="n">
        <v>7</v>
      </c>
      <c r="H1048" s="21" t="n">
        <v>2376.1</v>
      </c>
      <c r="I1048" s="21" t="n">
        <v>0</v>
      </c>
      <c r="J1048" s="21" t="n">
        <v>-1025.36</v>
      </c>
      <c r="K1048" s="22" t="n">
        <f aca="false">H1048+I1048+J1048</f>
        <v>1350.74</v>
      </c>
      <c r="L1048" s="23" t="n">
        <f aca="false">IF($K$1282=0,0,K1048/$K$1282)</f>
        <v>0.000111893191378912</v>
      </c>
      <c r="M1048" s="24" t="n">
        <f aca="false">IF(F1048&lt;=0,0,K1048/F1048)</f>
        <v>337.685</v>
      </c>
      <c r="N1048" s="21" t="n">
        <v>325.38</v>
      </c>
      <c r="O1048" s="49" t="n">
        <v>11</v>
      </c>
      <c r="P1048" s="24" t="n">
        <f aca="false">O1048*'Price Groups'!$B$5</f>
        <v>247.5</v>
      </c>
      <c r="Q1048" s="26" t="n">
        <f aca="false">IF(OR(N1048="",P1048=""),"",(N1048-P1048)/N1048)</f>
        <v>0.239350912778905</v>
      </c>
      <c r="R1048" s="27" t="n">
        <v>1</v>
      </c>
      <c r="S1048" s="28" t="n">
        <f aca="false">IF(R1048="-",0,IFERROR(VLOOKUP(R1048,'Price Groups'!$A$13:$C$17,3,FALSE()),0))</f>
        <v>0.22</v>
      </c>
      <c r="T1048" s="22" t="n">
        <f aca="false">IF(OR(N1048="",R1048="-"),"",CEILING(ROUND(N1048*(1+S1048),2),IF(N1048*(1+S1048)&lt;100,0.5,IF(N1048*(1+S1048)&lt;1000,1,5))))</f>
        <v>397</v>
      </c>
      <c r="U1048" s="26" t="n">
        <f aca="false">IF(OR(T1048="",P1048=""),"",(T1048-P1048)/T1048)</f>
        <v>0.376574307304786</v>
      </c>
      <c r="V1048" s="26" t="n">
        <f aca="false">IF(T1048="",0,T1048/N1048-1)</f>
        <v>0.22011186919909</v>
      </c>
      <c r="W1048" s="19" t="s">
        <v>244</v>
      </c>
    </row>
    <row r="1049" customFormat="false" ht="15" hidden="false" customHeight="false" outlineLevel="0" collapsed="false">
      <c r="A1049" s="38" t="n">
        <v>998</v>
      </c>
      <c r="B1049" s="38" t="s">
        <v>1229</v>
      </c>
      <c r="C1049" s="38" t="s">
        <v>57</v>
      </c>
      <c r="D1049" s="38"/>
      <c r="E1049" s="38" t="s">
        <v>58</v>
      </c>
      <c r="F1049" s="39" t="n">
        <v>4</v>
      </c>
      <c r="G1049" s="39" t="n">
        <v>5</v>
      </c>
      <c r="H1049" s="40" t="n">
        <v>550</v>
      </c>
      <c r="I1049" s="40" t="n">
        <v>-11.15</v>
      </c>
      <c r="J1049" s="40" t="n">
        <v>-110</v>
      </c>
      <c r="K1049" s="41" t="n">
        <f aca="false">H1049+I1049+J1049</f>
        <v>428.85</v>
      </c>
      <c r="L1049" s="42" t="n">
        <f aca="false">IF($K$1282=0,0,K1049/$K$1282)</f>
        <v>3.55252640203493E-005</v>
      </c>
      <c r="M1049" s="43" t="n">
        <f aca="false">IF(F1049&lt;=0,0,K1049/F1049)</f>
        <v>107.2125</v>
      </c>
      <c r="N1049" s="40" t="n">
        <v>110</v>
      </c>
      <c r="O1049" s="44" t="n">
        <v>2.43</v>
      </c>
      <c r="P1049" s="43" t="n">
        <f aca="false">O1049*'Price Groups'!$B$5</f>
        <v>54.675</v>
      </c>
      <c r="Q1049" s="45" t="n">
        <f aca="false">IF(OR(N1049="",P1049=""),"",(N1049-P1049)/N1049)</f>
        <v>0.502954545454545</v>
      </c>
      <c r="R1049" s="46" t="n">
        <v>1</v>
      </c>
      <c r="S1049" s="47" t="n">
        <f aca="false">IF(R1049="-",0,IFERROR(VLOOKUP(R1049,'Price Groups'!$A$13:$C$17,3,FALSE()),0))</f>
        <v>0.22</v>
      </c>
      <c r="T1049" s="41" t="n">
        <f aca="false">IF(OR(N1049="",R1049="-"),"",CEILING(ROUND(N1049*(1+S1049),2),IF(N1049*(1+S1049)&lt;100,0.5,IF(N1049*(1+S1049)&lt;1000,1,5))))</f>
        <v>135</v>
      </c>
      <c r="U1049" s="45" t="n">
        <f aca="false">IF(OR(T1049="",P1049=""),"",(T1049-P1049)/T1049)</f>
        <v>0.595</v>
      </c>
      <c r="V1049" s="45" t="n">
        <f aca="false">IF(T1049="",0,T1049/N1049-1)</f>
        <v>0.227272727272727</v>
      </c>
      <c r="W1049" s="38" t="s">
        <v>94</v>
      </c>
    </row>
    <row r="1050" customFormat="false" ht="15" hidden="false" customHeight="false" outlineLevel="0" collapsed="false">
      <c r="A1050" s="19" t="n">
        <v>999</v>
      </c>
      <c r="B1050" s="19" t="s">
        <v>1230</v>
      </c>
      <c r="C1050" s="19" t="s">
        <v>57</v>
      </c>
      <c r="D1050" s="19"/>
      <c r="E1050" s="19" t="s">
        <v>58</v>
      </c>
      <c r="F1050" s="20" t="n">
        <v>4</v>
      </c>
      <c r="G1050" s="20" t="n">
        <v>3</v>
      </c>
      <c r="H1050" s="21" t="n">
        <v>440</v>
      </c>
      <c r="I1050" s="21" t="n">
        <v>0</v>
      </c>
      <c r="J1050" s="21" t="n">
        <v>0</v>
      </c>
      <c r="K1050" s="22" t="n">
        <f aca="false">H1050+I1050+J1050</f>
        <v>440</v>
      </c>
      <c r="L1050" s="23" t="n">
        <f aca="false">IF($K$1282=0,0,K1050/$K$1282)</f>
        <v>3.64489126010346E-005</v>
      </c>
      <c r="M1050" s="24" t="n">
        <f aca="false">IF(F1050&lt;=0,0,K1050/F1050)</f>
        <v>110</v>
      </c>
      <c r="N1050" s="21" t="n">
        <v>110</v>
      </c>
      <c r="O1050" s="49" t="n">
        <v>2.43</v>
      </c>
      <c r="P1050" s="24" t="n">
        <f aca="false">O1050*'Price Groups'!$B$5</f>
        <v>54.675</v>
      </c>
      <c r="Q1050" s="26" t="n">
        <f aca="false">IF(OR(N1050="",P1050=""),"",(N1050-P1050)/N1050)</f>
        <v>0.502954545454545</v>
      </c>
      <c r="R1050" s="27" t="n">
        <v>1</v>
      </c>
      <c r="S1050" s="28" t="n">
        <f aca="false">IF(R1050="-",0,IFERROR(VLOOKUP(R1050,'Price Groups'!$A$13:$C$17,3,FALSE()),0))</f>
        <v>0.22</v>
      </c>
      <c r="T1050" s="22" t="n">
        <f aca="false">IF(OR(N1050="",R1050="-"),"",CEILING(ROUND(N1050*(1+S1050),2),IF(N1050*(1+S1050)&lt;100,0.5,IF(N1050*(1+S1050)&lt;1000,1,5))))</f>
        <v>135</v>
      </c>
      <c r="U1050" s="26" t="n">
        <f aca="false">IF(OR(T1050="",P1050=""),"",(T1050-P1050)/T1050)</f>
        <v>0.595</v>
      </c>
      <c r="V1050" s="26" t="n">
        <f aca="false">IF(T1050="",0,T1050/N1050-1)</f>
        <v>0.227272727272727</v>
      </c>
      <c r="W1050" s="19" t="s">
        <v>94</v>
      </c>
    </row>
    <row r="1051" customFormat="false" ht="15" hidden="false" customHeight="false" outlineLevel="0" collapsed="false">
      <c r="A1051" s="38" t="n">
        <v>1000</v>
      </c>
      <c r="B1051" s="38" t="s">
        <v>1231</v>
      </c>
      <c r="C1051" s="38" t="s">
        <v>57</v>
      </c>
      <c r="D1051" s="38"/>
      <c r="E1051" s="38" t="s">
        <v>58</v>
      </c>
      <c r="F1051" s="39" t="n">
        <v>4</v>
      </c>
      <c r="G1051" s="39" t="n">
        <v>2</v>
      </c>
      <c r="H1051" s="40" t="n">
        <v>77</v>
      </c>
      <c r="I1051" s="40" t="n">
        <v>0</v>
      </c>
      <c r="J1051" s="40" t="n">
        <v>-33</v>
      </c>
      <c r="K1051" s="41" t="n">
        <f aca="false">H1051+I1051+J1051</f>
        <v>44</v>
      </c>
      <c r="L1051" s="42" t="n">
        <f aca="false">IF($K$1282=0,0,K1051/$K$1282)</f>
        <v>3.64489126010346E-006</v>
      </c>
      <c r="M1051" s="43" t="n">
        <f aca="false">IF(F1051&lt;=0,0,K1051/F1051)</f>
        <v>11</v>
      </c>
      <c r="N1051" s="40" t="n">
        <v>11</v>
      </c>
      <c r="O1051" s="44" t="n">
        <v>0.15</v>
      </c>
      <c r="P1051" s="43" t="n">
        <f aca="false">O1051*'Price Groups'!$B$5</f>
        <v>3.375</v>
      </c>
      <c r="Q1051" s="45" t="n">
        <f aca="false">IF(OR(N1051="",P1051=""),"",(N1051-P1051)/N1051)</f>
        <v>0.693181818181818</v>
      </c>
      <c r="R1051" s="46" t="n">
        <v>1</v>
      </c>
      <c r="S1051" s="47" t="n">
        <f aca="false">IF(R1051="-",0,IFERROR(VLOOKUP(R1051,'Price Groups'!$A$13:$C$17,3,FALSE()),0))</f>
        <v>0.22</v>
      </c>
      <c r="T1051" s="41" t="n">
        <f aca="false">IF(OR(N1051="",R1051="-"),"",CEILING(ROUND(N1051*(1+S1051),2),IF(N1051*(1+S1051)&lt;100,0.5,IF(N1051*(1+S1051)&lt;1000,1,5))))</f>
        <v>13.5</v>
      </c>
      <c r="U1051" s="45" t="n">
        <f aca="false">IF(OR(T1051="",P1051=""),"",(T1051-P1051)/T1051)</f>
        <v>0.75</v>
      </c>
      <c r="V1051" s="45" t="n">
        <f aca="false">IF(T1051="",0,T1051/N1051-1)</f>
        <v>0.227272727272727</v>
      </c>
      <c r="W1051" s="38" t="s">
        <v>94</v>
      </c>
    </row>
    <row r="1052" customFormat="false" ht="15" hidden="false" customHeight="false" outlineLevel="0" collapsed="false">
      <c r="A1052" s="19" t="n">
        <v>1001</v>
      </c>
      <c r="B1052" s="19" t="s">
        <v>215</v>
      </c>
      <c r="C1052" s="19" t="s">
        <v>307</v>
      </c>
      <c r="D1052" s="19" t="s">
        <v>214</v>
      </c>
      <c r="E1052" s="19" t="s">
        <v>58</v>
      </c>
      <c r="F1052" s="20" t="n">
        <v>4</v>
      </c>
      <c r="G1052" s="20" t="n">
        <v>2</v>
      </c>
      <c r="H1052" s="21" t="n">
        <v>1399.96</v>
      </c>
      <c r="I1052" s="21" t="n">
        <v>-35</v>
      </c>
      <c r="J1052" s="21" t="n">
        <v>0</v>
      </c>
      <c r="K1052" s="22" t="n">
        <f aca="false">H1052+I1052+J1052</f>
        <v>1364.96</v>
      </c>
      <c r="L1052" s="23" t="n">
        <f aca="false">IF($K$1282=0,0,K1052/$K$1282)</f>
        <v>0.000113071153963428</v>
      </c>
      <c r="M1052" s="24" t="n">
        <f aca="false">IF(F1052&lt;=0,0,K1052/F1052)</f>
        <v>341.24</v>
      </c>
      <c r="N1052" s="21" t="n">
        <v>349.99</v>
      </c>
      <c r="O1052" s="49" t="n">
        <v>11.28</v>
      </c>
      <c r="P1052" s="24" t="n">
        <f aca="false">O1052*'Price Groups'!$B$5</f>
        <v>253.8</v>
      </c>
      <c r="Q1052" s="26" t="n">
        <f aca="false">IF(OR(N1052="",P1052=""),"",(N1052-P1052)/N1052)</f>
        <v>0.274836423897826</v>
      </c>
      <c r="R1052" s="27" t="n">
        <v>1</v>
      </c>
      <c r="S1052" s="28" t="n">
        <f aca="false">IF(R1052="-",0,IFERROR(VLOOKUP(R1052,'Price Groups'!$A$13:$C$17,3,FALSE()),0))</f>
        <v>0.22</v>
      </c>
      <c r="T1052" s="22" t="n">
        <f aca="false">IF(OR(N1052="",R1052="-"),"",CEILING(ROUND(N1052*(1+S1052),2),IF(N1052*(1+S1052)&lt;100,0.5,IF(N1052*(1+S1052)&lt;1000,1,5))))</f>
        <v>427</v>
      </c>
      <c r="U1052" s="26" t="n">
        <f aca="false">IF(OR(T1052="",P1052=""),"",(T1052-P1052)/T1052)</f>
        <v>0.405620608899297</v>
      </c>
      <c r="V1052" s="26" t="n">
        <f aca="false">IF(T1052="",0,T1052/N1052-1)</f>
        <v>0.220034858138804</v>
      </c>
      <c r="W1052" s="19" t="s">
        <v>1232</v>
      </c>
    </row>
    <row r="1053" customFormat="false" ht="15" hidden="false" customHeight="false" outlineLevel="0" collapsed="false">
      <c r="A1053" s="38" t="n">
        <v>1002</v>
      </c>
      <c r="B1053" s="38" t="s">
        <v>1233</v>
      </c>
      <c r="C1053" s="38" t="s">
        <v>57</v>
      </c>
      <c r="D1053" s="38"/>
      <c r="E1053" s="38" t="s">
        <v>58</v>
      </c>
      <c r="F1053" s="39" t="n">
        <v>4</v>
      </c>
      <c r="G1053" s="39" t="n">
        <v>4</v>
      </c>
      <c r="H1053" s="40" t="n">
        <v>879.96</v>
      </c>
      <c r="I1053" s="40" t="n">
        <v>0</v>
      </c>
      <c r="J1053" s="40" t="n">
        <v>0</v>
      </c>
      <c r="K1053" s="41" t="n">
        <f aca="false">H1053+I1053+J1053</f>
        <v>879.96</v>
      </c>
      <c r="L1053" s="42" t="n">
        <f aca="false">IF($K$1282=0,0,K1053/$K$1282)</f>
        <v>7.28945116645599E-005</v>
      </c>
      <c r="M1053" s="43" t="n">
        <f aca="false">IF(F1053&lt;=0,0,K1053/F1053)</f>
        <v>219.99</v>
      </c>
      <c r="N1053" s="40" t="n">
        <v>219.99</v>
      </c>
      <c r="O1053" s="44" t="n">
        <v>4.86</v>
      </c>
      <c r="P1053" s="43" t="n">
        <f aca="false">O1053*'Price Groups'!$B$5</f>
        <v>109.35</v>
      </c>
      <c r="Q1053" s="45" t="n">
        <f aca="false">IF(OR(N1053="",P1053=""),"",(N1053-P1053)/N1053)</f>
        <v>0.502931951452339</v>
      </c>
      <c r="R1053" s="46" t="n">
        <v>1</v>
      </c>
      <c r="S1053" s="47" t="n">
        <f aca="false">IF(R1053="-",0,IFERROR(VLOOKUP(R1053,'Price Groups'!$A$13:$C$17,3,FALSE()),0))</f>
        <v>0.22</v>
      </c>
      <c r="T1053" s="41" t="n">
        <f aca="false">IF(OR(N1053="",R1053="-"),"",CEILING(ROUND(N1053*(1+S1053),2),IF(N1053*(1+S1053)&lt;100,0.5,IF(N1053*(1+S1053)&lt;1000,1,5))))</f>
        <v>269</v>
      </c>
      <c r="U1053" s="45" t="n">
        <f aca="false">IF(OR(T1053="",P1053=""),"",(T1053-P1053)/T1053)</f>
        <v>0.593494423791822</v>
      </c>
      <c r="V1053" s="45" t="n">
        <f aca="false">IF(T1053="",0,T1053/N1053-1)</f>
        <v>0.22278285376608</v>
      </c>
      <c r="W1053" s="38" t="s">
        <v>94</v>
      </c>
    </row>
    <row r="1054" customFormat="false" ht="15" hidden="false" customHeight="false" outlineLevel="0" collapsed="false">
      <c r="A1054" s="19" t="n">
        <v>1003</v>
      </c>
      <c r="B1054" s="19" t="s">
        <v>1234</v>
      </c>
      <c r="C1054" s="19" t="s">
        <v>57</v>
      </c>
      <c r="D1054" s="19"/>
      <c r="E1054" s="19" t="s">
        <v>58</v>
      </c>
      <c r="F1054" s="20" t="n">
        <v>4</v>
      </c>
      <c r="G1054" s="20" t="n">
        <v>3</v>
      </c>
      <c r="H1054" s="21" t="n">
        <v>599.96</v>
      </c>
      <c r="I1054" s="21" t="n">
        <v>0</v>
      </c>
      <c r="J1054" s="21" t="n">
        <v>0</v>
      </c>
      <c r="K1054" s="22" t="n">
        <f aca="false">H1054+I1054+J1054</f>
        <v>599.96</v>
      </c>
      <c r="L1054" s="23" t="n">
        <f aca="false">IF($K$1282=0,0,K1054/$K$1282)</f>
        <v>4.96997491002652E-005</v>
      </c>
      <c r="M1054" s="24" t="n">
        <f aca="false">IF(F1054&lt;=0,0,K1054/F1054)</f>
        <v>149.99</v>
      </c>
      <c r="N1054" s="21" t="n">
        <v>149.99</v>
      </c>
      <c r="O1054" s="49" t="n">
        <v>2.05</v>
      </c>
      <c r="P1054" s="24" t="n">
        <f aca="false">O1054*'Price Groups'!$B$5</f>
        <v>46.125</v>
      </c>
      <c r="Q1054" s="26" t="n">
        <f aca="false">IF(OR(N1054="",P1054=""),"",(N1054-P1054)/N1054)</f>
        <v>0.692479498633242</v>
      </c>
      <c r="R1054" s="27" t="n">
        <v>1</v>
      </c>
      <c r="S1054" s="28" t="n">
        <f aca="false">IF(R1054="-",0,IFERROR(VLOOKUP(R1054,'Price Groups'!$A$13:$C$17,3,FALSE()),0))</f>
        <v>0.22</v>
      </c>
      <c r="T1054" s="22" t="n">
        <f aca="false">IF(OR(N1054="",R1054="-"),"",CEILING(ROUND(N1054*(1+S1054),2),IF(N1054*(1+S1054)&lt;100,0.5,IF(N1054*(1+S1054)&lt;1000,1,5))))</f>
        <v>183</v>
      </c>
      <c r="U1054" s="26" t="n">
        <f aca="false">IF(OR(T1054="",P1054=""),"",(T1054-P1054)/T1054)</f>
        <v>0.747950819672131</v>
      </c>
      <c r="V1054" s="26" t="n">
        <f aca="false">IF(T1054="",0,T1054/N1054-1)</f>
        <v>0.220081338755917</v>
      </c>
      <c r="W1054" s="19" t="s">
        <v>94</v>
      </c>
    </row>
    <row r="1055" customFormat="false" ht="15" hidden="false" customHeight="false" outlineLevel="0" collapsed="false">
      <c r="A1055" s="38" t="n">
        <v>1004</v>
      </c>
      <c r="B1055" s="38" t="s">
        <v>1235</v>
      </c>
      <c r="C1055" s="38" t="s">
        <v>57</v>
      </c>
      <c r="D1055" s="38"/>
      <c r="E1055" s="38" t="s">
        <v>58</v>
      </c>
      <c r="F1055" s="39" t="n">
        <v>4</v>
      </c>
      <c r="G1055" s="39" t="n">
        <v>5</v>
      </c>
      <c r="H1055" s="40" t="n">
        <v>1249.95</v>
      </c>
      <c r="I1055" s="40" t="n">
        <v>-26.04</v>
      </c>
      <c r="J1055" s="40" t="n">
        <v>-249.99</v>
      </c>
      <c r="K1055" s="41" t="n">
        <f aca="false">H1055+I1055+J1055</f>
        <v>973.92</v>
      </c>
      <c r="L1055" s="42" t="n">
        <f aca="false">IF($K$1282=0,0,K1055/$K$1282)</f>
        <v>8.06780112736354E-005</v>
      </c>
      <c r="M1055" s="43" t="n">
        <f aca="false">IF(F1055&lt;=0,0,K1055/F1055)</f>
        <v>243.48</v>
      </c>
      <c r="N1055" s="40" t="n">
        <v>249.99</v>
      </c>
      <c r="O1055" s="44" t="n">
        <v>7.22</v>
      </c>
      <c r="P1055" s="43" t="n">
        <f aca="false">O1055*'Price Groups'!$B$5</f>
        <v>162.45</v>
      </c>
      <c r="Q1055" s="45" t="n">
        <f aca="false">IF(OR(N1055="",P1055=""),"",(N1055-P1055)/N1055)</f>
        <v>0.350174006960279</v>
      </c>
      <c r="R1055" s="46" t="n">
        <v>1</v>
      </c>
      <c r="S1055" s="47" t="n">
        <f aca="false">IF(R1055="-",0,IFERROR(VLOOKUP(R1055,'Price Groups'!$A$13:$C$17,3,FALSE()),0))</f>
        <v>0.22</v>
      </c>
      <c r="T1055" s="41" t="n">
        <f aca="false">IF(OR(N1055="",R1055="-"),"",CEILING(ROUND(N1055*(1+S1055),2),IF(N1055*(1+S1055)&lt;100,0.5,IF(N1055*(1+S1055)&lt;1000,1,5))))</f>
        <v>305</v>
      </c>
      <c r="U1055" s="45" t="n">
        <f aca="false">IF(OR(T1055="",P1055=""),"",(T1055-P1055)/T1055)</f>
        <v>0.467377049180328</v>
      </c>
      <c r="V1055" s="45" t="n">
        <f aca="false">IF(T1055="",0,T1055/N1055-1)</f>
        <v>0.220048801952078</v>
      </c>
      <c r="W1055" s="38" t="s">
        <v>94</v>
      </c>
    </row>
    <row r="1056" customFormat="false" ht="15" hidden="false" customHeight="false" outlineLevel="0" collapsed="false">
      <c r="A1056" s="19" t="n">
        <v>1005</v>
      </c>
      <c r="B1056" s="19" t="s">
        <v>1236</v>
      </c>
      <c r="C1056" s="19" t="s">
        <v>57</v>
      </c>
      <c r="D1056" s="19"/>
      <c r="E1056" s="19" t="s">
        <v>58</v>
      </c>
      <c r="F1056" s="20" t="n">
        <v>4</v>
      </c>
      <c r="G1056" s="20" t="n">
        <v>4</v>
      </c>
      <c r="H1056" s="21" t="n">
        <v>379.95</v>
      </c>
      <c r="I1056" s="21" t="n">
        <v>-7.49</v>
      </c>
      <c r="J1056" s="21" t="n">
        <v>-79.99</v>
      </c>
      <c r="K1056" s="22" t="n">
        <f aca="false">H1056+I1056+J1056</f>
        <v>292.47</v>
      </c>
      <c r="L1056" s="23" t="n">
        <f aca="false">IF($K$1282=0,0,K1056/$K$1282)</f>
        <v>2.42277578827831E-005</v>
      </c>
      <c r="M1056" s="24" t="n">
        <f aca="false">IF(F1056&lt;=0,0,K1056/F1056)</f>
        <v>73.1175</v>
      </c>
      <c r="N1056" s="21" t="n">
        <v>74.99</v>
      </c>
      <c r="O1056" s="49" t="n">
        <v>1.21</v>
      </c>
      <c r="P1056" s="24" t="n">
        <f aca="false">O1056*'Price Groups'!$B$5</f>
        <v>27.225</v>
      </c>
      <c r="Q1056" s="26" t="n">
        <f aca="false">IF(OR(N1056="",P1056=""),"",(N1056-P1056)/N1056)</f>
        <v>0.636951593545806</v>
      </c>
      <c r="R1056" s="27" t="n">
        <v>1</v>
      </c>
      <c r="S1056" s="28" t="n">
        <f aca="false">IF(R1056="-",0,IFERROR(VLOOKUP(R1056,'Price Groups'!$A$13:$C$17,3,FALSE()),0))</f>
        <v>0.22</v>
      </c>
      <c r="T1056" s="22" t="n">
        <f aca="false">IF(OR(N1056="",R1056="-"),"",CEILING(ROUND(N1056*(1+S1056),2),IF(N1056*(1+S1056)&lt;100,0.5,IF(N1056*(1+S1056)&lt;1000,1,5))))</f>
        <v>91.5</v>
      </c>
      <c r="U1056" s="26" t="n">
        <f aca="false">IF(OR(T1056="",P1056=""),"",(T1056-P1056)/T1056)</f>
        <v>0.702459016393443</v>
      </c>
      <c r="V1056" s="26" t="n">
        <f aca="false">IF(T1056="",0,T1056/N1056-1)</f>
        <v>0.220162688358448</v>
      </c>
      <c r="W1056" s="19" t="s">
        <v>94</v>
      </c>
    </row>
    <row r="1057" customFormat="false" ht="15" hidden="false" customHeight="false" outlineLevel="0" collapsed="false">
      <c r="A1057" s="38" t="n">
        <v>1006</v>
      </c>
      <c r="B1057" s="38" t="s">
        <v>1237</v>
      </c>
      <c r="C1057" s="38" t="s">
        <v>57</v>
      </c>
      <c r="D1057" s="38"/>
      <c r="E1057" s="38" t="s">
        <v>58</v>
      </c>
      <c r="F1057" s="39" t="n">
        <v>4</v>
      </c>
      <c r="G1057" s="39" t="n">
        <v>3</v>
      </c>
      <c r="H1057" s="40" t="n">
        <v>376.12</v>
      </c>
      <c r="I1057" s="40" t="n">
        <v>0</v>
      </c>
      <c r="J1057" s="40" t="n">
        <v>0</v>
      </c>
      <c r="K1057" s="41" t="n">
        <f aca="false">H1057+I1057+J1057</f>
        <v>376.12</v>
      </c>
      <c r="L1057" s="42" t="n">
        <f aca="false">IF($K$1282=0,0,K1057/$K$1282)</f>
        <v>3.11571931988662E-005</v>
      </c>
      <c r="M1057" s="43" t="n">
        <f aca="false">IF(F1057&lt;=0,0,K1057/F1057)</f>
        <v>94.03</v>
      </c>
      <c r="N1057" s="40" t="n">
        <v>110</v>
      </c>
      <c r="O1057" s="44" t="n">
        <v>2.63</v>
      </c>
      <c r="P1057" s="43" t="n">
        <f aca="false">O1057*'Price Groups'!$B$5</f>
        <v>59.175</v>
      </c>
      <c r="Q1057" s="45" t="n">
        <f aca="false">IF(OR(N1057="",P1057=""),"",(N1057-P1057)/N1057)</f>
        <v>0.462045454545455</v>
      </c>
      <c r="R1057" s="46" t="n">
        <v>1</v>
      </c>
      <c r="S1057" s="47" t="n">
        <f aca="false">IF(R1057="-",0,IFERROR(VLOOKUP(R1057,'Price Groups'!$A$13:$C$17,3,FALSE()),0))</f>
        <v>0.22</v>
      </c>
      <c r="T1057" s="41" t="n">
        <f aca="false">IF(OR(N1057="",R1057="-"),"",CEILING(ROUND(N1057*(1+S1057),2),IF(N1057*(1+S1057)&lt;100,0.5,IF(N1057*(1+S1057)&lt;1000,1,5))))</f>
        <v>135</v>
      </c>
      <c r="U1057" s="45" t="n">
        <f aca="false">IF(OR(T1057="",P1057=""),"",(T1057-P1057)/T1057)</f>
        <v>0.561666666666667</v>
      </c>
      <c r="V1057" s="45" t="n">
        <f aca="false">IF(T1057="",0,T1057/N1057-1)</f>
        <v>0.227272727272727</v>
      </c>
      <c r="W1057" s="38" t="s">
        <v>94</v>
      </c>
    </row>
    <row r="1058" customFormat="false" ht="15" hidden="false" customHeight="false" outlineLevel="0" collapsed="false">
      <c r="A1058" s="19" t="n">
        <v>1007</v>
      </c>
      <c r="B1058" s="19" t="s">
        <v>1238</v>
      </c>
      <c r="C1058" s="19" t="s">
        <v>57</v>
      </c>
      <c r="D1058" s="19"/>
      <c r="E1058" s="19" t="s">
        <v>58</v>
      </c>
      <c r="F1058" s="20" t="n">
        <v>4</v>
      </c>
      <c r="G1058" s="20" t="n">
        <v>3</v>
      </c>
      <c r="H1058" s="21" t="n">
        <v>749.95</v>
      </c>
      <c r="I1058" s="21" t="n">
        <v>0</v>
      </c>
      <c r="J1058" s="21" t="n">
        <v>-149.99</v>
      </c>
      <c r="K1058" s="22" t="n">
        <f aca="false">H1058+I1058+J1058</f>
        <v>599.96</v>
      </c>
      <c r="L1058" s="23" t="n">
        <f aca="false">IF($K$1282=0,0,K1058/$K$1282)</f>
        <v>4.96997491002652E-005</v>
      </c>
      <c r="M1058" s="24" t="n">
        <f aca="false">IF(F1058&lt;=0,0,K1058/F1058)</f>
        <v>149.99</v>
      </c>
      <c r="N1058" s="21" t="n">
        <v>85.41</v>
      </c>
      <c r="O1058" s="49" t="n">
        <v>3.3</v>
      </c>
      <c r="P1058" s="24" t="n">
        <f aca="false">O1058*'Price Groups'!$B$5</f>
        <v>74.25</v>
      </c>
      <c r="Q1058" s="26" t="n">
        <f aca="false">IF(OR(N1058="",P1058=""),"",(N1058-P1058)/N1058)</f>
        <v>0.130663856691254</v>
      </c>
      <c r="R1058" s="27" t="n">
        <v>1</v>
      </c>
      <c r="S1058" s="28" t="n">
        <f aca="false">IF(R1058="-",0,IFERROR(VLOOKUP(R1058,'Price Groups'!$A$13:$C$17,3,FALSE()),0))</f>
        <v>0.22</v>
      </c>
      <c r="T1058" s="22" t="n">
        <f aca="false">IF(OR(N1058="",R1058="-"),"",CEILING(ROUND(N1058*(1+S1058),2),IF(N1058*(1+S1058)&lt;100,0.5,IF(N1058*(1+S1058)&lt;1000,1,5))))</f>
        <v>105</v>
      </c>
      <c r="U1058" s="26" t="n">
        <f aca="false">IF(OR(T1058="",P1058=""),"",(T1058-P1058)/T1058)</f>
        <v>0.292857142857143</v>
      </c>
      <c r="V1058" s="26" t="n">
        <f aca="false">IF(T1058="",0,T1058/N1058-1)</f>
        <v>0.229364243062873</v>
      </c>
      <c r="W1058" s="19" t="s">
        <v>476</v>
      </c>
    </row>
    <row r="1059" customFormat="false" ht="15" hidden="false" customHeight="false" outlineLevel="0" collapsed="false">
      <c r="A1059" s="38" t="n">
        <v>1008</v>
      </c>
      <c r="B1059" s="38" t="s">
        <v>1239</v>
      </c>
      <c r="C1059" s="38" t="s">
        <v>57</v>
      </c>
      <c r="D1059" s="38"/>
      <c r="E1059" s="38" t="s">
        <v>58</v>
      </c>
      <c r="F1059" s="39" t="n">
        <v>4</v>
      </c>
      <c r="G1059" s="39" t="n">
        <v>3</v>
      </c>
      <c r="H1059" s="40" t="n">
        <v>535.38</v>
      </c>
      <c r="I1059" s="40" t="n">
        <v>0</v>
      </c>
      <c r="J1059" s="40" t="n">
        <v>0</v>
      </c>
      <c r="K1059" s="41" t="n">
        <f aca="false">H1059+I1059+J1059</f>
        <v>535.38</v>
      </c>
      <c r="L1059" s="42" t="n">
        <f aca="false">IF($K$1282=0,0,K1059/$K$1282)</f>
        <v>4.43500427916861E-005</v>
      </c>
      <c r="M1059" s="43" t="n">
        <f aca="false">IF(F1059&lt;=0,0,K1059/F1059)</f>
        <v>133.845</v>
      </c>
      <c r="N1059" s="40" t="n">
        <v>85.41</v>
      </c>
      <c r="O1059" s="44" t="n">
        <v>3.3</v>
      </c>
      <c r="P1059" s="43" t="n">
        <f aca="false">O1059*'Price Groups'!$B$5</f>
        <v>74.25</v>
      </c>
      <c r="Q1059" s="45" t="n">
        <f aca="false">IF(OR(N1059="",P1059=""),"",(N1059-P1059)/N1059)</f>
        <v>0.130663856691254</v>
      </c>
      <c r="R1059" s="46" t="n">
        <v>1</v>
      </c>
      <c r="S1059" s="47" t="n">
        <f aca="false">IF(R1059="-",0,IFERROR(VLOOKUP(R1059,'Price Groups'!$A$13:$C$17,3,FALSE()),0))</f>
        <v>0.22</v>
      </c>
      <c r="T1059" s="41" t="n">
        <f aca="false">IF(OR(N1059="",R1059="-"),"",CEILING(ROUND(N1059*(1+S1059),2),IF(N1059*(1+S1059)&lt;100,0.5,IF(N1059*(1+S1059)&lt;1000,1,5))))</f>
        <v>105</v>
      </c>
      <c r="U1059" s="45" t="n">
        <f aca="false">IF(OR(T1059="",P1059=""),"",(T1059-P1059)/T1059)</f>
        <v>0.292857142857143</v>
      </c>
      <c r="V1059" s="45" t="n">
        <f aca="false">IF(T1059="",0,T1059/N1059-1)</f>
        <v>0.229364243062873</v>
      </c>
      <c r="W1059" s="38" t="s">
        <v>476</v>
      </c>
    </row>
    <row r="1060" customFormat="false" ht="15" hidden="false" customHeight="false" outlineLevel="0" collapsed="false">
      <c r="A1060" s="19" t="n">
        <v>1009</v>
      </c>
      <c r="B1060" s="19" t="s">
        <v>1240</v>
      </c>
      <c r="C1060" s="19" t="s">
        <v>57</v>
      </c>
      <c r="D1060" s="19"/>
      <c r="E1060" s="19" t="s">
        <v>58</v>
      </c>
      <c r="F1060" s="20" t="n">
        <v>4</v>
      </c>
      <c r="G1060" s="20" t="n">
        <v>4</v>
      </c>
      <c r="H1060" s="21" t="n">
        <v>2099.94</v>
      </c>
      <c r="I1060" s="21" t="n">
        <v>0</v>
      </c>
      <c r="J1060" s="21" t="n">
        <v>-699.98</v>
      </c>
      <c r="K1060" s="22" t="n">
        <f aca="false">H1060+I1060+J1060</f>
        <v>1399.96</v>
      </c>
      <c r="L1060" s="23" t="n">
        <f aca="false">IF($K$1282=0,0,K1060/$K$1282)</f>
        <v>0.000115970499283964</v>
      </c>
      <c r="M1060" s="24" t="n">
        <f aca="false">IF(F1060&lt;=0,0,K1060/F1060)</f>
        <v>349.99</v>
      </c>
      <c r="N1060" s="21" t="n">
        <v>349.99</v>
      </c>
      <c r="O1060" s="49" t="n">
        <v>10.5</v>
      </c>
      <c r="P1060" s="24" t="n">
        <f aca="false">O1060*'Price Groups'!$B$5</f>
        <v>236.25</v>
      </c>
      <c r="Q1060" s="26" t="n">
        <f aca="false">IF(OR(N1060="",P1060=""),"",(N1060-P1060)/N1060)</f>
        <v>0.324980713734678</v>
      </c>
      <c r="R1060" s="27" t="n">
        <v>1</v>
      </c>
      <c r="S1060" s="28" t="n">
        <f aca="false">IF(R1060="-",0,IFERROR(VLOOKUP(R1060,'Price Groups'!$A$13:$C$17,3,FALSE()),0))</f>
        <v>0.22</v>
      </c>
      <c r="T1060" s="22" t="n">
        <f aca="false">IF(OR(N1060="",R1060="-"),"",CEILING(ROUND(N1060*(1+S1060),2),IF(N1060*(1+S1060)&lt;100,0.5,IF(N1060*(1+S1060)&lt;1000,1,5))))</f>
        <v>427</v>
      </c>
      <c r="U1060" s="26" t="n">
        <f aca="false">IF(OR(T1060="",P1060=""),"",(T1060-P1060)/T1060)</f>
        <v>0.44672131147541</v>
      </c>
      <c r="V1060" s="26" t="n">
        <f aca="false">IF(T1060="",0,T1060/N1060-1)</f>
        <v>0.220034858138804</v>
      </c>
      <c r="W1060" s="19" t="s">
        <v>94</v>
      </c>
    </row>
    <row r="1061" customFormat="false" ht="15" hidden="false" customHeight="false" outlineLevel="0" collapsed="false">
      <c r="A1061" s="38" t="n">
        <v>1010</v>
      </c>
      <c r="B1061" s="38" t="s">
        <v>1241</v>
      </c>
      <c r="C1061" s="38" t="s">
        <v>57</v>
      </c>
      <c r="D1061" s="38"/>
      <c r="E1061" s="38" t="s">
        <v>58</v>
      </c>
      <c r="F1061" s="39" t="n">
        <v>4</v>
      </c>
      <c r="G1061" s="39" t="n">
        <v>4</v>
      </c>
      <c r="H1061" s="40" t="n">
        <v>399.96</v>
      </c>
      <c r="I1061" s="40" t="n">
        <v>0</v>
      </c>
      <c r="J1061" s="40" t="n">
        <v>0</v>
      </c>
      <c r="K1061" s="41" t="n">
        <f aca="false">H1061+I1061+J1061</f>
        <v>399.96</v>
      </c>
      <c r="L1061" s="42" t="n">
        <f aca="false">IF($K$1282=0,0,K1061/$K$1282)</f>
        <v>3.31320615543404E-005</v>
      </c>
      <c r="M1061" s="43" t="n">
        <f aca="false">IF(F1061&lt;=0,0,K1061/F1061)</f>
        <v>99.99</v>
      </c>
      <c r="N1061" s="40" t="n">
        <v>99.99</v>
      </c>
      <c r="O1061" s="44" t="n">
        <v>1.82</v>
      </c>
      <c r="P1061" s="43" t="n">
        <f aca="false">O1061*'Price Groups'!$B$5</f>
        <v>40.95</v>
      </c>
      <c r="Q1061" s="45" t="n">
        <f aca="false">IF(OR(N1061="",P1061=""),"",(N1061-P1061)/N1061)</f>
        <v>0.59045904590459</v>
      </c>
      <c r="R1061" s="46" t="n">
        <v>1</v>
      </c>
      <c r="S1061" s="47" t="n">
        <f aca="false">IF(R1061="-",0,IFERROR(VLOOKUP(R1061,'Price Groups'!$A$13:$C$17,3,FALSE()),0))</f>
        <v>0.22</v>
      </c>
      <c r="T1061" s="41" t="n">
        <f aca="false">IF(OR(N1061="",R1061="-"),"",CEILING(ROUND(N1061*(1+S1061),2),IF(N1061*(1+S1061)&lt;100,0.5,IF(N1061*(1+S1061)&lt;1000,1,5))))</f>
        <v>122</v>
      </c>
      <c r="U1061" s="45" t="n">
        <f aca="false">IF(OR(T1061="",P1061=""),"",(T1061-P1061)/T1061)</f>
        <v>0.664344262295082</v>
      </c>
      <c r="V1061" s="45" t="n">
        <f aca="false">IF(T1061="",0,T1061/N1061-1)</f>
        <v>0.22012201220122</v>
      </c>
      <c r="W1061" s="38" t="s">
        <v>94</v>
      </c>
    </row>
    <row r="1062" customFormat="false" ht="15" hidden="false" customHeight="false" outlineLevel="0" collapsed="false">
      <c r="A1062" s="19" t="n">
        <v>1011</v>
      </c>
      <c r="B1062" s="19" t="s">
        <v>1242</v>
      </c>
      <c r="C1062" s="19" t="s">
        <v>57</v>
      </c>
      <c r="D1062" s="19"/>
      <c r="E1062" s="19" t="s">
        <v>58</v>
      </c>
      <c r="F1062" s="20" t="n">
        <v>4</v>
      </c>
      <c r="G1062" s="20" t="n">
        <v>5</v>
      </c>
      <c r="H1062" s="21" t="n">
        <v>7700</v>
      </c>
      <c r="I1062" s="21" t="n">
        <v>0</v>
      </c>
      <c r="J1062" s="21" t="n">
        <v>-3300</v>
      </c>
      <c r="K1062" s="22" t="n">
        <f aca="false">H1062+I1062+J1062</f>
        <v>4400</v>
      </c>
      <c r="L1062" s="23" t="n">
        <f aca="false">IF($K$1282=0,0,K1062/$K$1282)</f>
        <v>0.000364489126010346</v>
      </c>
      <c r="M1062" s="24" t="n">
        <f aca="false">IF(F1062&lt;=0,0,K1062/F1062)</f>
        <v>1100</v>
      </c>
      <c r="N1062" s="21" t="n">
        <v>1100</v>
      </c>
      <c r="O1062" s="49" t="n">
        <v>26.57</v>
      </c>
      <c r="P1062" s="24" t="n">
        <f aca="false">O1062*'Price Groups'!$B$5</f>
        <v>597.825</v>
      </c>
      <c r="Q1062" s="26" t="n">
        <f aca="false">IF(OR(N1062="",P1062=""),"",(N1062-P1062)/N1062)</f>
        <v>0.456522727272727</v>
      </c>
      <c r="R1062" s="27" t="n">
        <v>1</v>
      </c>
      <c r="S1062" s="28" t="n">
        <f aca="false">IF(R1062="-",0,IFERROR(VLOOKUP(R1062,'Price Groups'!$A$13:$C$17,3,FALSE()),0))</f>
        <v>0.22</v>
      </c>
      <c r="T1062" s="22" t="n">
        <f aca="false">IF(OR(N1062="",R1062="-"),"",CEILING(ROUND(N1062*(1+S1062),2),IF(N1062*(1+S1062)&lt;100,0.5,IF(N1062*(1+S1062)&lt;1000,1,5))))</f>
        <v>1345</v>
      </c>
      <c r="U1062" s="26" t="n">
        <f aca="false">IF(OR(T1062="",P1062=""),"",(T1062-P1062)/T1062)</f>
        <v>0.555520446096654</v>
      </c>
      <c r="V1062" s="26" t="n">
        <f aca="false">IF(T1062="",0,T1062/N1062-1)</f>
        <v>0.222727272727273</v>
      </c>
      <c r="W1062" s="19" t="s">
        <v>94</v>
      </c>
    </row>
    <row r="1063" customFormat="false" ht="15" hidden="false" customHeight="false" outlineLevel="0" collapsed="false">
      <c r="A1063" s="38" t="n">
        <v>1012</v>
      </c>
      <c r="B1063" s="38" t="s">
        <v>1243</v>
      </c>
      <c r="C1063" s="38" t="s">
        <v>57</v>
      </c>
      <c r="D1063" s="38"/>
      <c r="E1063" s="38" t="s">
        <v>58</v>
      </c>
      <c r="F1063" s="39" t="n">
        <v>4</v>
      </c>
      <c r="G1063" s="39" t="n">
        <v>6</v>
      </c>
      <c r="H1063" s="40" t="n">
        <v>780</v>
      </c>
      <c r="I1063" s="40" t="n">
        <v>0</v>
      </c>
      <c r="J1063" s="40" t="n">
        <v>-380</v>
      </c>
      <c r="K1063" s="41" t="n">
        <f aca="false">H1063+I1063+J1063</f>
        <v>400</v>
      </c>
      <c r="L1063" s="42" t="n">
        <f aca="false">IF($K$1282=0,0,K1063/$K$1282)</f>
        <v>3.31353750918496E-005</v>
      </c>
      <c r="M1063" s="43" t="n">
        <f aca="false">IF(F1063&lt;=0,0,K1063/F1063)</f>
        <v>100</v>
      </c>
      <c r="N1063" s="40" t="n">
        <v>95</v>
      </c>
      <c r="O1063" s="44" t="n">
        <v>2.17</v>
      </c>
      <c r="P1063" s="43" t="n">
        <f aca="false">O1063*'Price Groups'!$B$5</f>
        <v>48.825</v>
      </c>
      <c r="Q1063" s="45" t="n">
        <f aca="false">IF(OR(N1063="",P1063=""),"",(N1063-P1063)/N1063)</f>
        <v>0.486052631578947</v>
      </c>
      <c r="R1063" s="46" t="n">
        <v>1</v>
      </c>
      <c r="S1063" s="47" t="n">
        <f aca="false">IF(R1063="-",0,IFERROR(VLOOKUP(R1063,'Price Groups'!$A$13:$C$17,3,FALSE()),0))</f>
        <v>0.22</v>
      </c>
      <c r="T1063" s="41" t="n">
        <f aca="false">IF(OR(N1063="",R1063="-"),"",CEILING(ROUND(N1063*(1+S1063),2),IF(N1063*(1+S1063)&lt;100,0.5,IF(N1063*(1+S1063)&lt;1000,1,5))))</f>
        <v>116</v>
      </c>
      <c r="U1063" s="45" t="n">
        <f aca="false">IF(OR(T1063="",P1063=""),"",(T1063-P1063)/T1063)</f>
        <v>0.579094827586207</v>
      </c>
      <c r="V1063" s="45" t="n">
        <f aca="false">IF(T1063="",0,T1063/N1063-1)</f>
        <v>0.221052631578947</v>
      </c>
      <c r="W1063" s="38" t="s">
        <v>94</v>
      </c>
    </row>
    <row r="1064" customFormat="false" ht="15" hidden="false" customHeight="false" outlineLevel="0" collapsed="false">
      <c r="A1064" s="19" t="n">
        <v>1013</v>
      </c>
      <c r="B1064" s="19" t="s">
        <v>1244</v>
      </c>
      <c r="C1064" s="19" t="s">
        <v>57</v>
      </c>
      <c r="D1064" s="19"/>
      <c r="E1064" s="19" t="s">
        <v>58</v>
      </c>
      <c r="F1064" s="20" t="n">
        <v>4</v>
      </c>
      <c r="G1064" s="20" t="n">
        <v>5</v>
      </c>
      <c r="H1064" s="21" t="n">
        <v>2999.94</v>
      </c>
      <c r="I1064" s="21" t="n">
        <v>0</v>
      </c>
      <c r="J1064" s="21" t="n">
        <v>-999.98</v>
      </c>
      <c r="K1064" s="22" t="n">
        <f aca="false">H1064+I1064+J1064</f>
        <v>1999.96</v>
      </c>
      <c r="L1064" s="23" t="n">
        <f aca="false">IF($K$1282=0,0,K1064/$K$1282)</f>
        <v>0.000165673561921739</v>
      </c>
      <c r="M1064" s="24" t="n">
        <f aca="false">IF(F1064&lt;=0,0,K1064/F1064)</f>
        <v>499.99</v>
      </c>
      <c r="N1064" s="21" t="n">
        <v>499.99</v>
      </c>
      <c r="O1064" s="49" t="n">
        <v>11.16</v>
      </c>
      <c r="P1064" s="24" t="n">
        <f aca="false">O1064*'Price Groups'!$B$5</f>
        <v>251.1</v>
      </c>
      <c r="Q1064" s="26" t="n">
        <f aca="false">IF(OR(N1064="",P1064=""),"",(N1064-P1064)/N1064)</f>
        <v>0.497789955799116</v>
      </c>
      <c r="R1064" s="27" t="n">
        <v>1</v>
      </c>
      <c r="S1064" s="28" t="n">
        <f aca="false">IF(R1064="-",0,IFERROR(VLOOKUP(R1064,'Price Groups'!$A$13:$C$17,3,FALSE()),0))</f>
        <v>0.22</v>
      </c>
      <c r="T1064" s="22" t="n">
        <f aca="false">IF(OR(N1064="",R1064="-"),"",CEILING(ROUND(N1064*(1+S1064),2),IF(N1064*(1+S1064)&lt;100,0.5,IF(N1064*(1+S1064)&lt;1000,1,5))))</f>
        <v>610</v>
      </c>
      <c r="U1064" s="26" t="n">
        <f aca="false">IF(OR(T1064="",P1064=""),"",(T1064-P1064)/T1064)</f>
        <v>0.588360655737705</v>
      </c>
      <c r="V1064" s="26" t="n">
        <f aca="false">IF(T1064="",0,T1064/N1064-1)</f>
        <v>0.22002440048801</v>
      </c>
      <c r="W1064" s="19" t="s">
        <v>94</v>
      </c>
    </row>
    <row r="1065" customFormat="false" ht="15" hidden="false" customHeight="false" outlineLevel="0" collapsed="false">
      <c r="A1065" s="38" t="n">
        <v>1014</v>
      </c>
      <c r="B1065" s="38" t="s">
        <v>1245</v>
      </c>
      <c r="C1065" s="38" t="s">
        <v>57</v>
      </c>
      <c r="D1065" s="38"/>
      <c r="E1065" s="38" t="s">
        <v>58</v>
      </c>
      <c r="F1065" s="39" t="n">
        <v>4</v>
      </c>
      <c r="G1065" s="39" t="n">
        <v>4</v>
      </c>
      <c r="H1065" s="40" t="n">
        <v>243.18</v>
      </c>
      <c r="I1065" s="40" t="n">
        <v>0</v>
      </c>
      <c r="J1065" s="40" t="n">
        <v>-104.97</v>
      </c>
      <c r="K1065" s="41" t="n">
        <f aca="false">H1065+I1065+J1065</f>
        <v>138.21</v>
      </c>
      <c r="L1065" s="42" t="n">
        <f aca="false">IF($K$1282=0,0,K1065/$K$1282)</f>
        <v>1.14491004786113E-005</v>
      </c>
      <c r="M1065" s="43" t="n">
        <f aca="false">IF(F1065&lt;=0,0,K1065/F1065)</f>
        <v>34.5525</v>
      </c>
      <c r="N1065" s="40" t="n">
        <v>34.99</v>
      </c>
      <c r="O1065" s="44" t="n">
        <v>1.16</v>
      </c>
      <c r="P1065" s="43" t="n">
        <f aca="false">O1065*'Price Groups'!$B$5</f>
        <v>26.1</v>
      </c>
      <c r="Q1065" s="45" t="n">
        <f aca="false">IF(OR(N1065="",P1065=""),"",(N1065-P1065)/N1065)</f>
        <v>0.254072592169191</v>
      </c>
      <c r="R1065" s="46" t="n">
        <v>1</v>
      </c>
      <c r="S1065" s="47" t="n">
        <f aca="false">IF(R1065="-",0,IFERROR(VLOOKUP(R1065,'Price Groups'!$A$13:$C$17,3,FALSE()),0))</f>
        <v>0.22</v>
      </c>
      <c r="T1065" s="41" t="n">
        <f aca="false">IF(OR(N1065="",R1065="-"),"",CEILING(ROUND(N1065*(1+S1065),2),IF(N1065*(1+S1065)&lt;100,0.5,IF(N1065*(1+S1065)&lt;1000,1,5))))</f>
        <v>43</v>
      </c>
      <c r="U1065" s="45" t="n">
        <f aca="false">IF(OR(T1065="",P1065=""),"",(T1065-P1065)/T1065)</f>
        <v>0.393023255813954</v>
      </c>
      <c r="V1065" s="45" t="n">
        <f aca="false">IF(T1065="",0,T1065/N1065-1)</f>
        <v>0.2289225492998</v>
      </c>
      <c r="W1065" s="38" t="s">
        <v>94</v>
      </c>
    </row>
    <row r="1066" customFormat="false" ht="15" hidden="false" customHeight="false" outlineLevel="0" collapsed="false">
      <c r="A1066" s="19" t="n">
        <v>1015</v>
      </c>
      <c r="B1066" s="19" t="s">
        <v>1246</v>
      </c>
      <c r="C1066" s="19" t="s">
        <v>57</v>
      </c>
      <c r="D1066" s="19"/>
      <c r="E1066" s="19" t="s">
        <v>58</v>
      </c>
      <c r="F1066" s="20" t="n">
        <v>4</v>
      </c>
      <c r="G1066" s="20" t="n">
        <v>4</v>
      </c>
      <c r="H1066" s="21" t="n">
        <v>369.96</v>
      </c>
      <c r="I1066" s="21" t="n">
        <v>-11.69</v>
      </c>
      <c r="J1066" s="21" t="n">
        <v>0</v>
      </c>
      <c r="K1066" s="22" t="n">
        <f aca="false">H1066+I1066+J1066</f>
        <v>358.27</v>
      </c>
      <c r="L1066" s="23" t="n">
        <f aca="false">IF($K$1282=0,0,K1066/$K$1282)</f>
        <v>2.96785270853924E-005</v>
      </c>
      <c r="M1066" s="24" t="n">
        <f aca="false">IF(F1066&lt;=0,0,K1066/F1066)</f>
        <v>89.5675</v>
      </c>
      <c r="N1066" s="21" t="n">
        <v>84.99</v>
      </c>
      <c r="O1066" s="49" t="n">
        <v>2</v>
      </c>
      <c r="P1066" s="24" t="n">
        <f aca="false">O1066*'Price Groups'!$B$5</f>
        <v>45</v>
      </c>
      <c r="Q1066" s="26" t="n">
        <f aca="false">IF(OR(N1066="",P1066=""),"",(N1066-P1066)/N1066)</f>
        <v>0.470525944228733</v>
      </c>
      <c r="R1066" s="27" t="n">
        <v>1</v>
      </c>
      <c r="S1066" s="28" t="n">
        <f aca="false">IF(R1066="-",0,IFERROR(VLOOKUP(R1066,'Price Groups'!$A$13:$C$17,3,FALSE()),0))</f>
        <v>0.22</v>
      </c>
      <c r="T1066" s="22" t="n">
        <f aca="false">IF(OR(N1066="",R1066="-"),"",CEILING(ROUND(N1066*(1+S1066),2),IF(N1066*(1+S1066)&lt;100,0.5,IF(N1066*(1+S1066)&lt;1000,1,5))))</f>
        <v>104</v>
      </c>
      <c r="U1066" s="26" t="n">
        <f aca="false">IF(OR(T1066="",P1066=""),"",(T1066-P1066)/T1066)</f>
        <v>0.567307692307692</v>
      </c>
      <c r="V1066" s="26" t="n">
        <f aca="false">IF(T1066="",0,T1066/N1066-1)</f>
        <v>0.22367337333804</v>
      </c>
      <c r="W1066" s="19" t="s">
        <v>94</v>
      </c>
    </row>
    <row r="1067" customFormat="false" ht="15" hidden="false" customHeight="false" outlineLevel="0" collapsed="false">
      <c r="A1067" s="38" t="n">
        <v>1016</v>
      </c>
      <c r="B1067" s="38" t="s">
        <v>1247</v>
      </c>
      <c r="C1067" s="38" t="s">
        <v>57</v>
      </c>
      <c r="D1067" s="38"/>
      <c r="E1067" s="38" t="s">
        <v>58</v>
      </c>
      <c r="F1067" s="39" t="n">
        <v>4</v>
      </c>
      <c r="G1067" s="39" t="n">
        <v>4</v>
      </c>
      <c r="H1067" s="40" t="n">
        <v>4099.98</v>
      </c>
      <c r="I1067" s="40" t="n">
        <v>0</v>
      </c>
      <c r="J1067" s="40" t="n">
        <v>-800</v>
      </c>
      <c r="K1067" s="41" t="n">
        <f aca="false">H1067+I1067+J1067</f>
        <v>3299.98</v>
      </c>
      <c r="L1067" s="42" t="n">
        <f aca="false">IF($K$1282=0,0,K1067/$K$1282)</f>
        <v>0.000273365187739005</v>
      </c>
      <c r="M1067" s="43" t="n">
        <f aca="false">IF(F1067&lt;=0,0,K1067/F1067)</f>
        <v>824.995</v>
      </c>
      <c r="N1067" s="40" t="n">
        <v>800</v>
      </c>
      <c r="O1067" s="44" t="n">
        <v>18.4</v>
      </c>
      <c r="P1067" s="43" t="n">
        <f aca="false">O1067*'Price Groups'!$B$5</f>
        <v>414</v>
      </c>
      <c r="Q1067" s="45" t="n">
        <f aca="false">IF(OR(N1067="",P1067=""),"",(N1067-P1067)/N1067)</f>
        <v>0.4825</v>
      </c>
      <c r="R1067" s="46" t="n">
        <v>1</v>
      </c>
      <c r="S1067" s="47" t="n">
        <f aca="false">IF(R1067="-",0,IFERROR(VLOOKUP(R1067,'Price Groups'!$A$13:$C$17,3,FALSE()),0))</f>
        <v>0.22</v>
      </c>
      <c r="T1067" s="41" t="n">
        <f aca="false">IF(OR(N1067="",R1067="-"),"",CEILING(ROUND(N1067*(1+S1067),2),IF(N1067*(1+S1067)&lt;100,0.5,IF(N1067*(1+S1067)&lt;1000,1,5))))</f>
        <v>976</v>
      </c>
      <c r="U1067" s="45" t="n">
        <f aca="false">IF(OR(T1067="",P1067=""),"",(T1067-P1067)/T1067)</f>
        <v>0.575819672131148</v>
      </c>
      <c r="V1067" s="45" t="n">
        <f aca="false">IF(T1067="",0,T1067/N1067-1)</f>
        <v>0.22</v>
      </c>
      <c r="W1067" s="38" t="s">
        <v>94</v>
      </c>
    </row>
    <row r="1068" customFormat="false" ht="15" hidden="false" customHeight="false" outlineLevel="0" collapsed="false">
      <c r="A1068" s="19" t="n">
        <v>1017</v>
      </c>
      <c r="B1068" s="19" t="s">
        <v>1248</v>
      </c>
      <c r="C1068" s="19" t="s">
        <v>57</v>
      </c>
      <c r="D1068" s="19"/>
      <c r="E1068" s="19" t="s">
        <v>58</v>
      </c>
      <c r="F1068" s="20" t="n">
        <v>4</v>
      </c>
      <c r="G1068" s="20" t="n">
        <v>4</v>
      </c>
      <c r="H1068" s="21" t="n">
        <v>278.98</v>
      </c>
      <c r="I1068" s="21" t="n">
        <v>0</v>
      </c>
      <c r="J1068" s="21" t="n">
        <v>0</v>
      </c>
      <c r="K1068" s="22" t="n">
        <f aca="false">H1068+I1068+J1068</f>
        <v>278.98</v>
      </c>
      <c r="L1068" s="23" t="n">
        <f aca="false">IF($K$1282=0,0,K1068/$K$1282)</f>
        <v>2.31102673578105E-005</v>
      </c>
      <c r="M1068" s="24" t="n">
        <f aca="false">IF(F1068&lt;=0,0,K1068/F1068)</f>
        <v>69.745</v>
      </c>
      <c r="N1068" s="21" t="n">
        <v>74.99</v>
      </c>
      <c r="O1068" s="49" t="n">
        <v>2.2</v>
      </c>
      <c r="P1068" s="24" t="n">
        <f aca="false">O1068*'Price Groups'!$B$5</f>
        <v>49.5</v>
      </c>
      <c r="Q1068" s="26" t="n">
        <f aca="false">IF(OR(N1068="",P1068=""),"",(N1068-P1068)/N1068)</f>
        <v>0.339911988265102</v>
      </c>
      <c r="R1068" s="27" t="n">
        <v>1</v>
      </c>
      <c r="S1068" s="28" t="n">
        <f aca="false">IF(R1068="-",0,IFERROR(VLOOKUP(R1068,'Price Groups'!$A$13:$C$17,3,FALSE()),0))</f>
        <v>0.22</v>
      </c>
      <c r="T1068" s="22" t="n">
        <f aca="false">IF(OR(N1068="",R1068="-"),"",CEILING(ROUND(N1068*(1+S1068),2),IF(N1068*(1+S1068)&lt;100,0.5,IF(N1068*(1+S1068)&lt;1000,1,5))))</f>
        <v>91.5</v>
      </c>
      <c r="U1068" s="26" t="n">
        <f aca="false">IF(OR(T1068="",P1068=""),"",(T1068-P1068)/T1068)</f>
        <v>0.459016393442623</v>
      </c>
      <c r="V1068" s="26" t="n">
        <f aca="false">IF(T1068="",0,T1068/N1068-1)</f>
        <v>0.220162688358448</v>
      </c>
      <c r="W1068" s="19" t="s">
        <v>94</v>
      </c>
    </row>
    <row r="1069" customFormat="false" ht="15" hidden="false" customHeight="false" outlineLevel="0" collapsed="false">
      <c r="A1069" s="38" t="n">
        <v>1018</v>
      </c>
      <c r="B1069" s="38" t="s">
        <v>1249</v>
      </c>
      <c r="C1069" s="38" t="s">
        <v>57</v>
      </c>
      <c r="D1069" s="38"/>
      <c r="E1069" s="38" t="s">
        <v>58</v>
      </c>
      <c r="F1069" s="39" t="n">
        <v>4</v>
      </c>
      <c r="G1069" s="39" t="n">
        <v>6</v>
      </c>
      <c r="H1069" s="40" t="n">
        <v>23400</v>
      </c>
      <c r="I1069" s="40" t="n">
        <v>-390</v>
      </c>
      <c r="J1069" s="40" t="n">
        <v>-7800</v>
      </c>
      <c r="K1069" s="41" t="n">
        <f aca="false">H1069+I1069+J1069</f>
        <v>15210</v>
      </c>
      <c r="L1069" s="42" t="n">
        <f aca="false">IF($K$1282=0,0,K1069/$K$1282)</f>
        <v>0.00125997263786758</v>
      </c>
      <c r="M1069" s="43" t="n">
        <f aca="false">IF(F1069&lt;=0,0,K1069/F1069)</f>
        <v>3802.5</v>
      </c>
      <c r="N1069" s="40" t="n">
        <v>3900</v>
      </c>
      <c r="O1069" s="44" t="n">
        <v>129.81</v>
      </c>
      <c r="P1069" s="43" t="n">
        <f aca="false">O1069*'Price Groups'!$B$5</f>
        <v>2920.725</v>
      </c>
      <c r="Q1069" s="45" t="n">
        <f aca="false">IF(OR(N1069="",P1069=""),"",(N1069-P1069)/N1069)</f>
        <v>0.251096153846154</v>
      </c>
      <c r="R1069" s="46" t="n">
        <v>2</v>
      </c>
      <c r="S1069" s="47" t="n">
        <f aca="false">IF(R1069="-",0,IFERROR(VLOOKUP(R1069,'Price Groups'!$A$13:$C$17,3,FALSE()),0))</f>
        <v>0.18</v>
      </c>
      <c r="T1069" s="41" t="n">
        <f aca="false">IF(OR(N1069="",R1069="-"),"",CEILING(ROUND(N1069*(1+S1069),2),IF(N1069*(1+S1069)&lt;100,0.5,IF(N1069*(1+S1069)&lt;1000,1,5))))</f>
        <v>4605</v>
      </c>
      <c r="U1069" s="45" t="n">
        <f aca="false">IF(OR(T1069="",P1069=""),"",(T1069-P1069)/T1069)</f>
        <v>0.365749185667752</v>
      </c>
      <c r="V1069" s="45" t="n">
        <f aca="false">IF(T1069="",0,T1069/N1069-1)</f>
        <v>0.180769230769231</v>
      </c>
      <c r="W1069" s="38" t="s">
        <v>1250</v>
      </c>
    </row>
    <row r="1070" customFormat="false" ht="15" hidden="false" customHeight="false" outlineLevel="0" collapsed="false">
      <c r="A1070" s="19" t="n">
        <v>1019</v>
      </c>
      <c r="B1070" s="19" t="s">
        <v>1251</v>
      </c>
      <c r="C1070" s="19" t="s">
        <v>57</v>
      </c>
      <c r="D1070" s="19"/>
      <c r="E1070" s="19" t="s">
        <v>58</v>
      </c>
      <c r="F1070" s="20" t="n">
        <v>4</v>
      </c>
      <c r="G1070" s="20" t="n">
        <v>5</v>
      </c>
      <c r="H1070" s="21" t="n">
        <v>99.95</v>
      </c>
      <c r="I1070" s="21" t="n">
        <v>-2.02</v>
      </c>
      <c r="J1070" s="21" t="n">
        <v>-19.99</v>
      </c>
      <c r="K1070" s="22" t="n">
        <f aca="false">H1070+I1070+J1070</f>
        <v>77.94</v>
      </c>
      <c r="L1070" s="23" t="n">
        <f aca="false">IF($K$1282=0,0,K1070/$K$1282)</f>
        <v>6.4564278366469E-006</v>
      </c>
      <c r="M1070" s="24" t="n">
        <f aca="false">IF(F1070&lt;=0,0,K1070/F1070)</f>
        <v>19.485</v>
      </c>
      <c r="N1070" s="21" t="n">
        <v>19.99</v>
      </c>
      <c r="O1070" s="49" t="n">
        <v>0.42</v>
      </c>
      <c r="P1070" s="24" t="n">
        <f aca="false">O1070*'Price Groups'!$B$5</f>
        <v>9.45</v>
      </c>
      <c r="Q1070" s="26" t="n">
        <f aca="false">IF(OR(N1070="",P1070=""),"",(N1070-P1070)/N1070)</f>
        <v>0.527263631815908</v>
      </c>
      <c r="R1070" s="27" t="n">
        <v>1</v>
      </c>
      <c r="S1070" s="28" t="n">
        <f aca="false">IF(R1070="-",0,IFERROR(VLOOKUP(R1070,'Price Groups'!$A$13:$C$17,3,FALSE()),0))</f>
        <v>0.22</v>
      </c>
      <c r="T1070" s="22" t="n">
        <f aca="false">IF(OR(N1070="",R1070="-"),"",CEILING(ROUND(N1070*(1+S1070),2),IF(N1070*(1+S1070)&lt;100,0.5,IF(N1070*(1+S1070)&lt;1000,1,5))))</f>
        <v>24.5</v>
      </c>
      <c r="U1070" s="26" t="n">
        <f aca="false">IF(OR(T1070="",P1070=""),"",(T1070-P1070)/T1070)</f>
        <v>0.614285714285714</v>
      </c>
      <c r="V1070" s="26" t="n">
        <f aca="false">IF(T1070="",0,T1070/N1070-1)</f>
        <v>0.225612806403202</v>
      </c>
      <c r="W1070" s="19" t="s">
        <v>94</v>
      </c>
    </row>
    <row r="1071" customFormat="false" ht="15" hidden="false" customHeight="false" outlineLevel="0" collapsed="false">
      <c r="A1071" s="38" t="n">
        <v>1020</v>
      </c>
      <c r="B1071" s="38" t="s">
        <v>486</v>
      </c>
      <c r="C1071" s="38" t="s">
        <v>307</v>
      </c>
      <c r="D1071" s="38" t="s">
        <v>485</v>
      </c>
      <c r="E1071" s="38" t="s">
        <v>58</v>
      </c>
      <c r="F1071" s="39" t="n">
        <v>3</v>
      </c>
      <c r="G1071" s="39" t="n">
        <v>4</v>
      </c>
      <c r="H1071" s="40" t="n">
        <v>2567.97</v>
      </c>
      <c r="I1071" s="40" t="n">
        <v>0</v>
      </c>
      <c r="J1071" s="40" t="n">
        <v>-599.99</v>
      </c>
      <c r="K1071" s="41" t="n">
        <f aca="false">H1071+I1071+J1071</f>
        <v>1967.98</v>
      </c>
      <c r="L1071" s="42" t="n">
        <f aca="false">IF($K$1282=0,0,K1071/$K$1282)</f>
        <v>0.000163024388683145</v>
      </c>
      <c r="M1071" s="43" t="n">
        <f aca="false">IF(F1071&lt;=0,0,K1071/F1071)</f>
        <v>655.993333333333</v>
      </c>
      <c r="N1071" s="40" t="n">
        <v>740</v>
      </c>
      <c r="O1071" s="44" t="n">
        <v>13.92</v>
      </c>
      <c r="P1071" s="43" t="n">
        <f aca="false">O1071*'Price Groups'!$B$5</f>
        <v>313.2</v>
      </c>
      <c r="Q1071" s="45" t="n">
        <f aca="false">IF(OR(N1071="",P1071=""),"",(N1071-P1071)/N1071)</f>
        <v>0.576756756756757</v>
      </c>
      <c r="R1071" s="46" t="n">
        <v>1</v>
      </c>
      <c r="S1071" s="47" t="n">
        <f aca="false">IF(R1071="-",0,IFERROR(VLOOKUP(R1071,'Price Groups'!$A$13:$C$17,3,FALSE()),0))</f>
        <v>0.22</v>
      </c>
      <c r="T1071" s="41" t="n">
        <f aca="false">IF(OR(N1071="",R1071="-"),"",CEILING(ROUND(N1071*(1+S1071),2),IF(N1071*(1+S1071)&lt;100,0.5,IF(N1071*(1+S1071)&lt;1000,1,5))))</f>
        <v>903</v>
      </c>
      <c r="U1071" s="45" t="n">
        <f aca="false">IF(OR(T1071="",P1071=""),"",(T1071-P1071)/T1071)</f>
        <v>0.653156146179402</v>
      </c>
      <c r="V1071" s="45" t="n">
        <f aca="false">IF(T1071="",0,T1071/N1071-1)</f>
        <v>0.22027027027027</v>
      </c>
      <c r="W1071" s="38" t="s">
        <v>1252</v>
      </c>
    </row>
    <row r="1072" customFormat="false" ht="15" hidden="false" customHeight="false" outlineLevel="0" collapsed="false">
      <c r="A1072" s="19" t="n">
        <v>1021</v>
      </c>
      <c r="B1072" s="19" t="s">
        <v>467</v>
      </c>
      <c r="C1072" s="19" t="s">
        <v>307</v>
      </c>
      <c r="D1072" s="19" t="s">
        <v>466</v>
      </c>
      <c r="E1072" s="19" t="s">
        <v>58</v>
      </c>
      <c r="F1072" s="20" t="n">
        <v>3</v>
      </c>
      <c r="G1072" s="20" t="n">
        <v>4</v>
      </c>
      <c r="H1072" s="21" t="n">
        <v>4799.96</v>
      </c>
      <c r="I1072" s="21" t="n">
        <v>-119.99</v>
      </c>
      <c r="J1072" s="21" t="n">
        <v>-1199.99</v>
      </c>
      <c r="K1072" s="22" t="n">
        <f aca="false">H1072+I1072+J1072</f>
        <v>3479.98</v>
      </c>
      <c r="L1072" s="23" t="n">
        <f aca="false">IF($K$1282=0,0,K1072/$K$1282)</f>
        <v>0.000288276106530337</v>
      </c>
      <c r="M1072" s="24" t="n">
        <f aca="false">IF(F1072&lt;=0,0,K1072/F1072)</f>
        <v>1159.99333333333</v>
      </c>
      <c r="N1072" s="21" t="n">
        <v>1270</v>
      </c>
      <c r="O1072" s="49" t="n">
        <v>29.76</v>
      </c>
      <c r="P1072" s="24" t="n">
        <f aca="false">O1072*'Price Groups'!$B$5</f>
        <v>669.6</v>
      </c>
      <c r="Q1072" s="26" t="n">
        <f aca="false">IF(OR(N1072="",P1072=""),"",(N1072-P1072)/N1072)</f>
        <v>0.472755905511811</v>
      </c>
      <c r="R1072" s="27" t="n">
        <v>1</v>
      </c>
      <c r="S1072" s="28" t="n">
        <f aca="false">IF(R1072="-",0,IFERROR(VLOOKUP(R1072,'Price Groups'!$A$13:$C$17,3,FALSE()),0))</f>
        <v>0.22</v>
      </c>
      <c r="T1072" s="22" t="n">
        <f aca="false">IF(OR(N1072="",R1072="-"),"",CEILING(ROUND(N1072*(1+S1072),2),IF(N1072*(1+S1072)&lt;100,0.5,IF(N1072*(1+S1072)&lt;1000,1,5))))</f>
        <v>1550</v>
      </c>
      <c r="U1072" s="26" t="n">
        <f aca="false">IF(OR(T1072="",P1072=""),"",(T1072-P1072)/T1072)</f>
        <v>0.568</v>
      </c>
      <c r="V1072" s="26" t="n">
        <f aca="false">IF(T1072="",0,T1072/N1072-1)</f>
        <v>0.220472440944882</v>
      </c>
      <c r="W1072" s="19" t="s">
        <v>1253</v>
      </c>
    </row>
    <row r="1073" customFormat="false" ht="15" hidden="false" customHeight="false" outlineLevel="0" collapsed="false">
      <c r="A1073" s="38" t="n">
        <v>1022</v>
      </c>
      <c r="B1073" s="38" t="s">
        <v>455</v>
      </c>
      <c r="C1073" s="38" t="s">
        <v>307</v>
      </c>
      <c r="D1073" s="38" t="s">
        <v>454</v>
      </c>
      <c r="E1073" s="38" t="s">
        <v>58</v>
      </c>
      <c r="F1073" s="39" t="n">
        <v>3</v>
      </c>
      <c r="G1073" s="39" t="n">
        <v>5</v>
      </c>
      <c r="H1073" s="40" t="n">
        <v>5819.95</v>
      </c>
      <c r="I1073" s="40" t="n">
        <v>0</v>
      </c>
      <c r="J1073" s="40" t="n">
        <v>-2279.98</v>
      </c>
      <c r="K1073" s="41" t="n">
        <f aca="false">H1073+I1073+J1073</f>
        <v>3539.97</v>
      </c>
      <c r="L1073" s="42" t="n">
        <f aca="false">IF($K$1282=0,0,K1073/$K$1282)</f>
        <v>0.000293245584409737</v>
      </c>
      <c r="M1073" s="43" t="n">
        <f aca="false">IF(F1073&lt;=0,0,K1073/F1073)</f>
        <v>1179.99</v>
      </c>
      <c r="N1073" s="40" t="n">
        <v>975</v>
      </c>
      <c r="O1073" s="44" t="n">
        <v>29.76</v>
      </c>
      <c r="P1073" s="43" t="n">
        <f aca="false">O1073*'Price Groups'!$B$5</f>
        <v>669.6</v>
      </c>
      <c r="Q1073" s="45" t="n">
        <f aca="false">IF(OR(N1073="",P1073=""),"",(N1073-P1073)/N1073)</f>
        <v>0.313230769230769</v>
      </c>
      <c r="R1073" s="46" t="n">
        <v>1</v>
      </c>
      <c r="S1073" s="47" t="n">
        <f aca="false">IF(R1073="-",0,IFERROR(VLOOKUP(R1073,'Price Groups'!$A$13:$C$17,3,FALSE()),0))</f>
        <v>0.22</v>
      </c>
      <c r="T1073" s="41" t="n">
        <f aca="false">IF(OR(N1073="",R1073="-"),"",CEILING(ROUND(N1073*(1+S1073),2),IF(N1073*(1+S1073)&lt;100,0.5,IF(N1073*(1+S1073)&lt;1000,1,5))))</f>
        <v>1190</v>
      </c>
      <c r="U1073" s="45" t="n">
        <f aca="false">IF(OR(T1073="",P1073=""),"",(T1073-P1073)/T1073)</f>
        <v>0.437310924369748</v>
      </c>
      <c r="V1073" s="45" t="n">
        <f aca="false">IF(T1073="",0,T1073/N1073-1)</f>
        <v>0.220512820512821</v>
      </c>
      <c r="W1073" s="38" t="s">
        <v>1254</v>
      </c>
    </row>
    <row r="1074" customFormat="false" ht="15" hidden="false" customHeight="false" outlineLevel="0" collapsed="false">
      <c r="A1074" s="19" t="n">
        <v>1023</v>
      </c>
      <c r="B1074" s="19" t="s">
        <v>1255</v>
      </c>
      <c r="C1074" s="19" t="s">
        <v>57</v>
      </c>
      <c r="D1074" s="19"/>
      <c r="E1074" s="19" t="s">
        <v>58</v>
      </c>
      <c r="F1074" s="20" t="n">
        <v>3</v>
      </c>
      <c r="G1074" s="20" t="n">
        <v>3</v>
      </c>
      <c r="H1074" s="21" t="n">
        <v>987.99</v>
      </c>
      <c r="I1074" s="21" t="n">
        <v>0</v>
      </c>
      <c r="J1074" s="21" t="n">
        <v>0</v>
      </c>
      <c r="K1074" s="22" t="n">
        <f aca="false">H1074+I1074+J1074</f>
        <v>987.99</v>
      </c>
      <c r="L1074" s="23" t="n">
        <f aca="false">IF($K$1282=0,0,K1074/$K$1282)</f>
        <v>8.18435480924912E-005</v>
      </c>
      <c r="M1074" s="24" t="n">
        <f aca="false">IF(F1074&lt;=0,0,K1074/F1074)</f>
        <v>329.33</v>
      </c>
      <c r="N1074" s="21" t="n">
        <v>449.99</v>
      </c>
      <c r="O1074" s="49" t="n">
        <v>11.75</v>
      </c>
      <c r="P1074" s="24" t="n">
        <f aca="false">O1074*'Price Groups'!$B$5</f>
        <v>264.375</v>
      </c>
      <c r="Q1074" s="26" t="n">
        <f aca="false">IF(OR(N1074="",P1074=""),"",(N1074-P1074)/N1074)</f>
        <v>0.412486944154315</v>
      </c>
      <c r="R1074" s="27" t="n">
        <v>1</v>
      </c>
      <c r="S1074" s="28" t="n">
        <f aca="false">IF(R1074="-",0,IFERROR(VLOOKUP(R1074,'Price Groups'!$A$13:$C$17,3,FALSE()),0))</f>
        <v>0.22</v>
      </c>
      <c r="T1074" s="22" t="n">
        <f aca="false">IF(OR(N1074="",R1074="-"),"",CEILING(ROUND(N1074*(1+S1074),2),IF(N1074*(1+S1074)&lt;100,0.5,IF(N1074*(1+S1074)&lt;1000,1,5))))</f>
        <v>549</v>
      </c>
      <c r="U1074" s="26" t="n">
        <f aca="false">IF(OR(T1074="",P1074=""),"",(T1074-P1074)/T1074)</f>
        <v>0.51844262295082</v>
      </c>
      <c r="V1074" s="26" t="n">
        <f aca="false">IF(T1074="",0,T1074/N1074-1)</f>
        <v>0.220027111713594</v>
      </c>
      <c r="W1074" s="19" t="s">
        <v>94</v>
      </c>
    </row>
    <row r="1075" customFormat="false" ht="15" hidden="false" customHeight="false" outlineLevel="0" collapsed="false">
      <c r="A1075" s="38" t="n">
        <v>1024</v>
      </c>
      <c r="B1075" s="38" t="s">
        <v>1256</v>
      </c>
      <c r="C1075" s="38" t="s">
        <v>57</v>
      </c>
      <c r="D1075" s="38"/>
      <c r="E1075" s="38" t="s">
        <v>58</v>
      </c>
      <c r="F1075" s="39" t="n">
        <v>3</v>
      </c>
      <c r="G1075" s="39" t="n">
        <v>3</v>
      </c>
      <c r="H1075" s="40" t="n">
        <v>899.97</v>
      </c>
      <c r="I1075" s="40" t="n">
        <v>0</v>
      </c>
      <c r="J1075" s="40" t="n">
        <v>0</v>
      </c>
      <c r="K1075" s="41" t="n">
        <f aca="false">H1075+I1075+J1075</f>
        <v>899.97</v>
      </c>
      <c r="L1075" s="42" t="n">
        <f aca="false">IF($K$1282=0,0,K1075/$K$1282)</f>
        <v>7.45521088035297E-005</v>
      </c>
      <c r="M1075" s="43" t="n">
        <f aca="false">IF(F1075&lt;=0,0,K1075/F1075)</f>
        <v>299.99</v>
      </c>
      <c r="N1075" s="40" t="n">
        <v>299.99</v>
      </c>
      <c r="O1075" s="44" t="n">
        <v>8.11</v>
      </c>
      <c r="P1075" s="43" t="n">
        <f aca="false">O1075*'Price Groups'!$B$5</f>
        <v>182.475</v>
      </c>
      <c r="Q1075" s="45" t="n">
        <f aca="false">IF(OR(N1075="",P1075=""),"",(N1075-P1075)/N1075)</f>
        <v>0.391729724324144</v>
      </c>
      <c r="R1075" s="46" t="n">
        <v>1</v>
      </c>
      <c r="S1075" s="47" t="n">
        <f aca="false">IF(R1075="-",0,IFERROR(VLOOKUP(R1075,'Price Groups'!$A$13:$C$17,3,FALSE()),0))</f>
        <v>0.22</v>
      </c>
      <c r="T1075" s="41" t="n">
        <f aca="false">IF(OR(N1075="",R1075="-"),"",CEILING(ROUND(N1075*(1+S1075),2),IF(N1075*(1+S1075)&lt;100,0.5,IF(N1075*(1+S1075)&lt;1000,1,5))))</f>
        <v>366</v>
      </c>
      <c r="U1075" s="45" t="n">
        <f aca="false">IF(OR(T1075="",P1075=""),"",(T1075-P1075)/T1075)</f>
        <v>0.501434426229508</v>
      </c>
      <c r="V1075" s="45" t="n">
        <f aca="false">IF(T1075="",0,T1075/N1075-1)</f>
        <v>0.220040668022267</v>
      </c>
      <c r="W1075" s="38" t="s">
        <v>94</v>
      </c>
    </row>
    <row r="1076" customFormat="false" ht="15" hidden="false" customHeight="false" outlineLevel="0" collapsed="false">
      <c r="A1076" s="19" t="n">
        <v>1025</v>
      </c>
      <c r="B1076" s="19" t="s">
        <v>1257</v>
      </c>
      <c r="C1076" s="19" t="s">
        <v>57</v>
      </c>
      <c r="D1076" s="19"/>
      <c r="E1076" s="19" t="s">
        <v>58</v>
      </c>
      <c r="F1076" s="20" t="n">
        <v>3</v>
      </c>
      <c r="G1076" s="20" t="n">
        <v>3</v>
      </c>
      <c r="H1076" s="21" t="n">
        <v>9000</v>
      </c>
      <c r="I1076" s="21" t="n">
        <v>0</v>
      </c>
      <c r="J1076" s="21" t="n">
        <v>0</v>
      </c>
      <c r="K1076" s="22" t="n">
        <f aca="false">H1076+I1076+J1076</f>
        <v>9000</v>
      </c>
      <c r="L1076" s="23" t="n">
        <f aca="false">IF($K$1282=0,0,K1076/$K$1282)</f>
        <v>0.000745545939566616</v>
      </c>
      <c r="M1076" s="24" t="n">
        <f aca="false">IF(F1076&lt;=0,0,K1076/F1076)</f>
        <v>3000</v>
      </c>
      <c r="N1076" s="21" t="n">
        <v>3000</v>
      </c>
      <c r="O1076" s="25"/>
      <c r="P1076" s="24"/>
      <c r="Q1076" s="26" t="str">
        <f aca="false">IF(OR(N1076="",P1076=""),"",(N1076-P1076)/N1076)</f>
        <v/>
      </c>
      <c r="R1076" s="27" t="n">
        <v>2</v>
      </c>
      <c r="S1076" s="28" t="n">
        <f aca="false">IF(R1076="-",0,IFERROR(VLOOKUP(R1076,'Price Groups'!$A$13:$C$17,3,FALSE()),0))</f>
        <v>0.18</v>
      </c>
      <c r="T1076" s="22" t="n">
        <f aca="false">IF(OR(N1076="",R1076="-"),"",CEILING(ROUND(N1076*(1+S1076),2),IF(N1076*(1+S1076)&lt;100,0.5,IF(N1076*(1+S1076)&lt;1000,1,5))))</f>
        <v>3540</v>
      </c>
      <c r="U1076" s="26" t="str">
        <f aca="false">IF(OR(T1076="",P1076=""),"",(T1076-P1076)/T1076)</f>
        <v/>
      </c>
      <c r="V1076" s="26" t="n">
        <f aca="false">IF(T1076="",0,T1076/N1076-1)</f>
        <v>0.18</v>
      </c>
      <c r="W1076" s="19" t="s">
        <v>129</v>
      </c>
    </row>
    <row r="1077" customFormat="false" ht="15" hidden="false" customHeight="false" outlineLevel="0" collapsed="false">
      <c r="A1077" s="38" t="n">
        <v>1026</v>
      </c>
      <c r="B1077" s="38" t="s">
        <v>1258</v>
      </c>
      <c r="C1077" s="38" t="s">
        <v>57</v>
      </c>
      <c r="D1077" s="38"/>
      <c r="E1077" s="38" t="s">
        <v>58</v>
      </c>
      <c r="F1077" s="39" t="n">
        <v>3</v>
      </c>
      <c r="G1077" s="39" t="n">
        <v>3</v>
      </c>
      <c r="H1077" s="40" t="n">
        <v>285</v>
      </c>
      <c r="I1077" s="40" t="n">
        <v>0</v>
      </c>
      <c r="J1077" s="40" t="n">
        <v>0</v>
      </c>
      <c r="K1077" s="41" t="n">
        <f aca="false">H1077+I1077+J1077</f>
        <v>285</v>
      </c>
      <c r="L1077" s="42" t="n">
        <f aca="false">IF($K$1282=0,0,K1077/$K$1282)</f>
        <v>2.36089547529428E-005</v>
      </c>
      <c r="M1077" s="43" t="n">
        <f aca="false">IF(F1077&lt;=0,0,K1077/F1077)</f>
        <v>95</v>
      </c>
      <c r="N1077" s="40" t="n">
        <v>110</v>
      </c>
      <c r="O1077" s="44" t="n">
        <v>2.35</v>
      </c>
      <c r="P1077" s="43" t="n">
        <f aca="false">O1077*'Price Groups'!$B$5</f>
        <v>52.875</v>
      </c>
      <c r="Q1077" s="45" t="n">
        <f aca="false">IF(OR(N1077="",P1077=""),"",(N1077-P1077)/N1077)</f>
        <v>0.519318181818182</v>
      </c>
      <c r="R1077" s="46" t="n">
        <v>1</v>
      </c>
      <c r="S1077" s="47" t="n">
        <f aca="false">IF(R1077="-",0,IFERROR(VLOOKUP(R1077,'Price Groups'!$A$13:$C$17,3,FALSE()),0))</f>
        <v>0.22</v>
      </c>
      <c r="T1077" s="41" t="n">
        <f aca="false">IF(OR(N1077="",R1077="-"),"",CEILING(ROUND(N1077*(1+S1077),2),IF(N1077*(1+S1077)&lt;100,0.5,IF(N1077*(1+S1077)&lt;1000,1,5))))</f>
        <v>135</v>
      </c>
      <c r="U1077" s="45" t="n">
        <f aca="false">IF(OR(T1077="",P1077=""),"",(T1077-P1077)/T1077)</f>
        <v>0.608333333333333</v>
      </c>
      <c r="V1077" s="45" t="n">
        <f aca="false">IF(T1077="",0,T1077/N1077-1)</f>
        <v>0.227272727272727</v>
      </c>
      <c r="W1077" s="38" t="s">
        <v>94</v>
      </c>
    </row>
    <row r="1078" customFormat="false" ht="15" hidden="false" customHeight="false" outlineLevel="0" collapsed="false">
      <c r="A1078" s="19" t="n">
        <v>1027</v>
      </c>
      <c r="B1078" s="19" t="s">
        <v>1259</v>
      </c>
      <c r="C1078" s="19" t="s">
        <v>57</v>
      </c>
      <c r="D1078" s="19"/>
      <c r="E1078" s="19" t="s">
        <v>58</v>
      </c>
      <c r="F1078" s="20" t="n">
        <v>3</v>
      </c>
      <c r="G1078" s="20" t="n">
        <v>4</v>
      </c>
      <c r="H1078" s="21" t="n">
        <v>12000</v>
      </c>
      <c r="I1078" s="21" t="n">
        <v>0</v>
      </c>
      <c r="J1078" s="21" t="n">
        <v>-3000</v>
      </c>
      <c r="K1078" s="22" t="n">
        <f aca="false">H1078+I1078+J1078</f>
        <v>9000</v>
      </c>
      <c r="L1078" s="23" t="n">
        <f aca="false">IF($K$1282=0,0,K1078/$K$1282)</f>
        <v>0.000745545939566616</v>
      </c>
      <c r="M1078" s="24" t="n">
        <f aca="false">IF(F1078&lt;=0,0,K1078/F1078)</f>
        <v>3000</v>
      </c>
      <c r="N1078" s="21" t="n">
        <v>3000</v>
      </c>
      <c r="O1078" s="25"/>
      <c r="P1078" s="24"/>
      <c r="Q1078" s="26" t="str">
        <f aca="false">IF(OR(N1078="",P1078=""),"",(N1078-P1078)/N1078)</f>
        <v/>
      </c>
      <c r="R1078" s="27" t="n">
        <v>2</v>
      </c>
      <c r="S1078" s="28" t="n">
        <f aca="false">IF(R1078="-",0,IFERROR(VLOOKUP(R1078,'Price Groups'!$A$13:$C$17,3,FALSE()),0))</f>
        <v>0.18</v>
      </c>
      <c r="T1078" s="22" t="n">
        <f aca="false">IF(OR(N1078="",R1078="-"),"",CEILING(ROUND(N1078*(1+S1078),2),IF(N1078*(1+S1078)&lt;100,0.5,IF(N1078*(1+S1078)&lt;1000,1,5))))</f>
        <v>3540</v>
      </c>
      <c r="U1078" s="26" t="str">
        <f aca="false">IF(OR(T1078="",P1078=""),"",(T1078-P1078)/T1078)</f>
        <v/>
      </c>
      <c r="V1078" s="26" t="n">
        <f aca="false">IF(T1078="",0,T1078/N1078-1)</f>
        <v>0.18</v>
      </c>
      <c r="W1078" s="19" t="s">
        <v>129</v>
      </c>
    </row>
    <row r="1079" customFormat="false" ht="15" hidden="false" customHeight="false" outlineLevel="0" collapsed="false">
      <c r="A1079" s="38" t="n">
        <v>1028</v>
      </c>
      <c r="B1079" s="38" t="s">
        <v>1260</v>
      </c>
      <c r="C1079" s="38" t="s">
        <v>57</v>
      </c>
      <c r="D1079" s="38"/>
      <c r="E1079" s="38" t="s">
        <v>58</v>
      </c>
      <c r="F1079" s="39" t="n">
        <v>3</v>
      </c>
      <c r="G1079" s="39" t="n">
        <v>3</v>
      </c>
      <c r="H1079" s="40" t="n">
        <v>659.97</v>
      </c>
      <c r="I1079" s="40" t="n">
        <v>0</v>
      </c>
      <c r="J1079" s="40" t="n">
        <v>0</v>
      </c>
      <c r="K1079" s="41" t="n">
        <f aca="false">H1079+I1079+J1079</f>
        <v>659.97</v>
      </c>
      <c r="L1079" s="42" t="n">
        <f aca="false">IF($K$1282=0,0,K1079/$K$1282)</f>
        <v>5.467088374842E-005</v>
      </c>
      <c r="M1079" s="43" t="n">
        <f aca="false">IF(F1079&lt;=0,0,K1079/F1079)</f>
        <v>219.99</v>
      </c>
      <c r="N1079" s="40" t="n">
        <v>219.99</v>
      </c>
      <c r="O1079" s="44" t="n">
        <v>4.86</v>
      </c>
      <c r="P1079" s="43" t="n">
        <f aca="false">O1079*'Price Groups'!$B$5</f>
        <v>109.35</v>
      </c>
      <c r="Q1079" s="45" t="n">
        <f aca="false">IF(OR(N1079="",P1079=""),"",(N1079-P1079)/N1079)</f>
        <v>0.502931951452339</v>
      </c>
      <c r="R1079" s="46" t="n">
        <v>1</v>
      </c>
      <c r="S1079" s="47" t="n">
        <f aca="false">IF(R1079="-",0,IFERROR(VLOOKUP(R1079,'Price Groups'!$A$13:$C$17,3,FALSE()),0))</f>
        <v>0.22</v>
      </c>
      <c r="T1079" s="41" t="n">
        <f aca="false">IF(OR(N1079="",R1079="-"),"",CEILING(ROUND(N1079*(1+S1079),2),IF(N1079*(1+S1079)&lt;100,0.5,IF(N1079*(1+S1079)&lt;1000,1,5))))</f>
        <v>269</v>
      </c>
      <c r="U1079" s="45" t="n">
        <f aca="false">IF(OR(T1079="",P1079=""),"",(T1079-P1079)/T1079)</f>
        <v>0.593494423791822</v>
      </c>
      <c r="V1079" s="45" t="n">
        <f aca="false">IF(T1079="",0,T1079/N1079-1)</f>
        <v>0.22278285376608</v>
      </c>
      <c r="W1079" s="38" t="s">
        <v>94</v>
      </c>
    </row>
    <row r="1080" customFormat="false" ht="15" hidden="false" customHeight="false" outlineLevel="0" collapsed="false">
      <c r="A1080" s="19" t="n">
        <v>1029</v>
      </c>
      <c r="B1080" s="19" t="s">
        <v>1261</v>
      </c>
      <c r="C1080" s="19" t="s">
        <v>57</v>
      </c>
      <c r="D1080" s="19"/>
      <c r="E1080" s="19" t="s">
        <v>58</v>
      </c>
      <c r="F1080" s="20" t="n">
        <v>3</v>
      </c>
      <c r="G1080" s="20" t="n">
        <v>2</v>
      </c>
      <c r="H1080" s="21" t="n">
        <v>149.97</v>
      </c>
      <c r="I1080" s="21" t="n">
        <v>-2.41</v>
      </c>
      <c r="J1080" s="21" t="n">
        <v>0</v>
      </c>
      <c r="K1080" s="22" t="n">
        <f aca="false">H1080+I1080+J1080</f>
        <v>147.56</v>
      </c>
      <c r="L1080" s="23" t="n">
        <f aca="false">IF($K$1282=0,0,K1080/$K$1282)</f>
        <v>1.22236398713833E-005</v>
      </c>
      <c r="M1080" s="24" t="n">
        <f aca="false">IF(F1080&lt;=0,0,K1080/F1080)</f>
        <v>49.1866666666667</v>
      </c>
      <c r="N1080" s="21" t="n">
        <v>79.99</v>
      </c>
      <c r="O1080" s="49" t="n">
        <v>1.92</v>
      </c>
      <c r="P1080" s="24" t="n">
        <f aca="false">O1080*'Price Groups'!$B$5</f>
        <v>43.2</v>
      </c>
      <c r="Q1080" s="26" t="n">
        <f aca="false">IF(OR(N1080="",P1080=""),"",(N1080-P1080)/N1080)</f>
        <v>0.459932491561445</v>
      </c>
      <c r="R1080" s="27" t="n">
        <v>1</v>
      </c>
      <c r="S1080" s="28" t="n">
        <f aca="false">IF(R1080="-",0,IFERROR(VLOOKUP(R1080,'Price Groups'!$A$13:$C$17,3,FALSE()),0))</f>
        <v>0.22</v>
      </c>
      <c r="T1080" s="22" t="n">
        <f aca="false">IF(OR(N1080="",R1080="-"),"",CEILING(ROUND(N1080*(1+S1080),2),IF(N1080*(1+S1080)&lt;100,0.5,IF(N1080*(1+S1080)&lt;1000,1,5))))</f>
        <v>98</v>
      </c>
      <c r="U1080" s="26" t="n">
        <f aca="false">IF(OR(T1080="",P1080=""),"",(T1080-P1080)/T1080)</f>
        <v>0.559183673469388</v>
      </c>
      <c r="V1080" s="26" t="n">
        <f aca="false">IF(T1080="",0,T1080/N1080-1)</f>
        <v>0.225153144143018</v>
      </c>
      <c r="W1080" s="19" t="s">
        <v>94</v>
      </c>
    </row>
    <row r="1081" customFormat="false" ht="15" hidden="false" customHeight="false" outlineLevel="0" collapsed="false">
      <c r="A1081" s="38" t="n">
        <v>1030</v>
      </c>
      <c r="B1081" s="38" t="s">
        <v>1262</v>
      </c>
      <c r="C1081" s="38" t="s">
        <v>57</v>
      </c>
      <c r="D1081" s="38"/>
      <c r="E1081" s="38" t="s">
        <v>58</v>
      </c>
      <c r="F1081" s="39" t="n">
        <v>3</v>
      </c>
      <c r="G1081" s="39" t="n">
        <v>3</v>
      </c>
      <c r="H1081" s="40" t="n">
        <v>124.95</v>
      </c>
      <c r="I1081" s="40" t="n">
        <v>-2.5</v>
      </c>
      <c r="J1081" s="40" t="n">
        <v>-47.48</v>
      </c>
      <c r="K1081" s="41" t="n">
        <f aca="false">H1081+I1081+J1081</f>
        <v>74.97</v>
      </c>
      <c r="L1081" s="42" t="n">
        <f aca="false">IF($K$1282=0,0,K1081/$K$1282)</f>
        <v>6.21039767658991E-006</v>
      </c>
      <c r="M1081" s="43" t="n">
        <f aca="false">IF(F1081&lt;=0,0,K1081/F1081)</f>
        <v>24.99</v>
      </c>
      <c r="N1081" s="40" t="n">
        <v>24.99</v>
      </c>
      <c r="O1081" s="44" t="n">
        <v>0.5</v>
      </c>
      <c r="P1081" s="43" t="n">
        <f aca="false">O1081*'Price Groups'!$B$5</f>
        <v>11.25</v>
      </c>
      <c r="Q1081" s="45" t="n">
        <f aca="false">IF(OR(N1081="",P1081=""),"",(N1081-P1081)/N1081)</f>
        <v>0.549819927971188</v>
      </c>
      <c r="R1081" s="46" t="n">
        <v>1</v>
      </c>
      <c r="S1081" s="47" t="n">
        <f aca="false">IF(R1081="-",0,IFERROR(VLOOKUP(R1081,'Price Groups'!$A$13:$C$17,3,FALSE()),0))</f>
        <v>0.22</v>
      </c>
      <c r="T1081" s="41" t="n">
        <f aca="false">IF(OR(N1081="",R1081="-"),"",CEILING(ROUND(N1081*(1+S1081),2),IF(N1081*(1+S1081)&lt;100,0.5,IF(N1081*(1+S1081)&lt;1000,1,5))))</f>
        <v>30.5</v>
      </c>
      <c r="U1081" s="45" t="n">
        <f aca="false">IF(OR(T1081="",P1081=""),"",(T1081-P1081)/T1081)</f>
        <v>0.631147540983607</v>
      </c>
      <c r="V1081" s="45" t="n">
        <f aca="false">IF(T1081="",0,T1081/N1081-1)</f>
        <v>0.220488195278111</v>
      </c>
      <c r="W1081" s="38" t="s">
        <v>94</v>
      </c>
    </row>
    <row r="1082" customFormat="false" ht="15" hidden="false" customHeight="false" outlineLevel="0" collapsed="false">
      <c r="A1082" s="19" t="n">
        <v>1031</v>
      </c>
      <c r="B1082" s="19" t="s">
        <v>1263</v>
      </c>
      <c r="C1082" s="19" t="s">
        <v>57</v>
      </c>
      <c r="D1082" s="19"/>
      <c r="E1082" s="19" t="s">
        <v>58</v>
      </c>
      <c r="F1082" s="20" t="n">
        <v>3</v>
      </c>
      <c r="G1082" s="20" t="n">
        <v>4</v>
      </c>
      <c r="H1082" s="21" t="n">
        <v>1999.92</v>
      </c>
      <c r="I1082" s="21" t="n">
        <v>0</v>
      </c>
      <c r="J1082" s="21" t="n">
        <v>-1249.95</v>
      </c>
      <c r="K1082" s="22" t="n">
        <f aca="false">H1082+I1082+J1082</f>
        <v>749.97</v>
      </c>
      <c r="L1082" s="23" t="n">
        <f aca="false">IF($K$1282=0,0,K1082/$K$1282)</f>
        <v>6.21263431440861E-005</v>
      </c>
      <c r="M1082" s="24" t="n">
        <f aca="false">IF(F1082&lt;=0,0,K1082/F1082)</f>
        <v>249.99</v>
      </c>
      <c r="N1082" s="21" t="n">
        <v>249.99</v>
      </c>
      <c r="O1082" s="49" t="n">
        <v>7.84</v>
      </c>
      <c r="P1082" s="24" t="n">
        <f aca="false">O1082*'Price Groups'!$B$5</f>
        <v>176.4</v>
      </c>
      <c r="Q1082" s="26" t="n">
        <f aca="false">IF(OR(N1082="",P1082=""),"",(N1082-P1082)/N1082)</f>
        <v>0.294371774870995</v>
      </c>
      <c r="R1082" s="27" t="n">
        <v>1</v>
      </c>
      <c r="S1082" s="28" t="n">
        <f aca="false">IF(R1082="-",0,IFERROR(VLOOKUP(R1082,'Price Groups'!$A$13:$C$17,3,FALSE()),0))</f>
        <v>0.22</v>
      </c>
      <c r="T1082" s="22" t="n">
        <f aca="false">IF(OR(N1082="",R1082="-"),"",CEILING(ROUND(N1082*(1+S1082),2),IF(N1082*(1+S1082)&lt;100,0.5,IF(N1082*(1+S1082)&lt;1000,1,5))))</f>
        <v>305</v>
      </c>
      <c r="U1082" s="26" t="n">
        <f aca="false">IF(OR(T1082="",P1082=""),"",(T1082-P1082)/T1082)</f>
        <v>0.421639344262295</v>
      </c>
      <c r="V1082" s="26" t="n">
        <f aca="false">IF(T1082="",0,T1082/N1082-1)</f>
        <v>0.220048801952078</v>
      </c>
      <c r="W1082" s="19" t="s">
        <v>94</v>
      </c>
    </row>
    <row r="1083" customFormat="false" ht="15" hidden="false" customHeight="false" outlineLevel="0" collapsed="false">
      <c r="A1083" s="38" t="n">
        <v>1032</v>
      </c>
      <c r="B1083" s="38" t="s">
        <v>1264</v>
      </c>
      <c r="C1083" s="38" t="s">
        <v>57</v>
      </c>
      <c r="D1083" s="38"/>
      <c r="E1083" s="38" t="s">
        <v>58</v>
      </c>
      <c r="F1083" s="39" t="n">
        <v>3</v>
      </c>
      <c r="G1083" s="39" t="n">
        <v>1</v>
      </c>
      <c r="H1083" s="40" t="n">
        <v>89.97</v>
      </c>
      <c r="I1083" s="40" t="n">
        <v>-4.5</v>
      </c>
      <c r="J1083" s="40" t="n">
        <v>0</v>
      </c>
      <c r="K1083" s="41" t="n">
        <f aca="false">H1083+I1083+J1083</f>
        <v>85.47</v>
      </c>
      <c r="L1083" s="42" t="n">
        <f aca="false">IF($K$1282=0,0,K1083/$K$1282)</f>
        <v>7.08020127275096E-006</v>
      </c>
      <c r="M1083" s="43" t="n">
        <f aca="false">IF(F1083&lt;=0,0,K1083/F1083)</f>
        <v>28.49</v>
      </c>
      <c r="N1083" s="40" t="n">
        <v>29.99</v>
      </c>
      <c r="O1083" s="44" t="n">
        <v>0.45</v>
      </c>
      <c r="P1083" s="43" t="n">
        <f aca="false">O1083*'Price Groups'!$B$5</f>
        <v>10.125</v>
      </c>
      <c r="Q1083" s="45" t="n">
        <f aca="false">IF(OR(N1083="",P1083=""),"",(N1083-P1083)/N1083)</f>
        <v>0.662387462487496</v>
      </c>
      <c r="R1083" s="46" t="n">
        <v>1</v>
      </c>
      <c r="S1083" s="47" t="n">
        <f aca="false">IF(R1083="-",0,IFERROR(VLOOKUP(R1083,'Price Groups'!$A$13:$C$17,3,FALSE()),0))</f>
        <v>0.22</v>
      </c>
      <c r="T1083" s="41" t="n">
        <f aca="false">IF(OR(N1083="",R1083="-"),"",CEILING(ROUND(N1083*(1+S1083),2),IF(N1083*(1+S1083)&lt;100,0.5,IF(N1083*(1+S1083)&lt;1000,1,5))))</f>
        <v>37</v>
      </c>
      <c r="U1083" s="45" t="n">
        <f aca="false">IF(OR(T1083="",P1083=""),"",(T1083-P1083)/T1083)</f>
        <v>0.726351351351351</v>
      </c>
      <c r="V1083" s="45" t="n">
        <f aca="false">IF(T1083="",0,T1083/N1083-1)</f>
        <v>0.233744581527176</v>
      </c>
      <c r="W1083" s="38" t="s">
        <v>94</v>
      </c>
    </row>
    <row r="1084" customFormat="false" ht="15" hidden="false" customHeight="false" outlineLevel="0" collapsed="false">
      <c r="A1084" s="19" t="n">
        <v>1033</v>
      </c>
      <c r="B1084" s="19" t="s">
        <v>1265</v>
      </c>
      <c r="C1084" s="19" t="s">
        <v>57</v>
      </c>
      <c r="D1084" s="19"/>
      <c r="E1084" s="19" t="s">
        <v>58</v>
      </c>
      <c r="F1084" s="20" t="n">
        <v>3</v>
      </c>
      <c r="G1084" s="20" t="n">
        <v>4</v>
      </c>
      <c r="H1084" s="21" t="n">
        <v>632.27</v>
      </c>
      <c r="I1084" s="21" t="n">
        <v>-164.99</v>
      </c>
      <c r="J1084" s="21" t="n">
        <v>-137.3</v>
      </c>
      <c r="K1084" s="22" t="n">
        <f aca="false">H1084+I1084+J1084</f>
        <v>329.98</v>
      </c>
      <c r="L1084" s="23" t="n">
        <f aca="false">IF($K$1282=0,0,K1084/$K$1282)</f>
        <v>2.73350276820213E-005</v>
      </c>
      <c r="M1084" s="24" t="n">
        <f aca="false">IF(F1084&lt;=0,0,K1084/F1084)</f>
        <v>109.993333333333</v>
      </c>
      <c r="N1084" s="21" t="n">
        <v>137.3</v>
      </c>
      <c r="O1084" s="49" t="n">
        <v>5.57</v>
      </c>
      <c r="P1084" s="24" t="n">
        <f aca="false">O1084*'Price Groups'!$B$5</f>
        <v>125.325</v>
      </c>
      <c r="Q1084" s="26" t="n">
        <f aca="false">IF(OR(N1084="",P1084=""),"",(N1084-P1084)/N1084)</f>
        <v>0.0872177713037146</v>
      </c>
      <c r="R1084" s="27" t="n">
        <v>1</v>
      </c>
      <c r="S1084" s="28" t="n">
        <f aca="false">IF(R1084="-",0,IFERROR(VLOOKUP(R1084,'Price Groups'!$A$13:$C$17,3,FALSE()),0))</f>
        <v>0.22</v>
      </c>
      <c r="T1084" s="22" t="n">
        <f aca="false">IF(OR(N1084="",R1084="-"),"",CEILING(ROUND(N1084*(1+S1084),2),IF(N1084*(1+S1084)&lt;100,0.5,IF(N1084*(1+S1084)&lt;1000,1,5))))</f>
        <v>168</v>
      </c>
      <c r="U1084" s="26" t="n">
        <f aca="false">IF(OR(T1084="",P1084=""),"",(T1084-P1084)/T1084)</f>
        <v>0.254017857142857</v>
      </c>
      <c r="V1084" s="26" t="n">
        <f aca="false">IF(T1084="",0,T1084/N1084-1)</f>
        <v>0.223597960670066</v>
      </c>
      <c r="W1084" s="19" t="s">
        <v>857</v>
      </c>
    </row>
    <row r="1085" customFormat="false" ht="15" hidden="false" customHeight="false" outlineLevel="0" collapsed="false">
      <c r="A1085" s="38" t="n">
        <v>1034</v>
      </c>
      <c r="B1085" s="38" t="s">
        <v>1266</v>
      </c>
      <c r="C1085" s="38" t="s">
        <v>57</v>
      </c>
      <c r="D1085" s="38"/>
      <c r="E1085" s="38" t="s">
        <v>58</v>
      </c>
      <c r="F1085" s="39" t="n">
        <v>3</v>
      </c>
      <c r="G1085" s="39" t="n">
        <v>4</v>
      </c>
      <c r="H1085" s="40" t="n">
        <v>576.89</v>
      </c>
      <c r="I1085" s="40" t="n">
        <v>-13.73</v>
      </c>
      <c r="J1085" s="40" t="n">
        <v>-137.3</v>
      </c>
      <c r="K1085" s="41" t="n">
        <f aca="false">H1085+I1085+J1085</f>
        <v>425.86</v>
      </c>
      <c r="L1085" s="42" t="n">
        <f aca="false">IF($K$1282=0,0,K1085/$K$1282)</f>
        <v>3.52775770915377E-005</v>
      </c>
      <c r="M1085" s="43" t="n">
        <f aca="false">IF(F1085&lt;=0,0,K1085/F1085)</f>
        <v>141.953333333333</v>
      </c>
      <c r="N1085" s="40" t="n">
        <v>137.3</v>
      </c>
      <c r="O1085" s="44" t="n">
        <v>5.57</v>
      </c>
      <c r="P1085" s="43" t="n">
        <f aca="false">O1085*'Price Groups'!$B$5</f>
        <v>125.325</v>
      </c>
      <c r="Q1085" s="45" t="n">
        <f aca="false">IF(OR(N1085="",P1085=""),"",(N1085-P1085)/N1085)</f>
        <v>0.0872177713037146</v>
      </c>
      <c r="R1085" s="46" t="n">
        <v>1</v>
      </c>
      <c r="S1085" s="47" t="n">
        <f aca="false">IF(R1085="-",0,IFERROR(VLOOKUP(R1085,'Price Groups'!$A$13:$C$17,3,FALSE()),0))</f>
        <v>0.22</v>
      </c>
      <c r="T1085" s="41" t="n">
        <f aca="false">IF(OR(N1085="",R1085="-"),"",CEILING(ROUND(N1085*(1+S1085),2),IF(N1085*(1+S1085)&lt;100,0.5,IF(N1085*(1+S1085)&lt;1000,1,5))))</f>
        <v>168</v>
      </c>
      <c r="U1085" s="45" t="n">
        <f aca="false">IF(OR(T1085="",P1085=""),"",(T1085-P1085)/T1085)</f>
        <v>0.254017857142857</v>
      </c>
      <c r="V1085" s="45" t="n">
        <f aca="false">IF(T1085="",0,T1085/N1085-1)</f>
        <v>0.223597960670066</v>
      </c>
      <c r="W1085" s="38" t="s">
        <v>857</v>
      </c>
    </row>
    <row r="1086" customFormat="false" ht="15" hidden="false" customHeight="false" outlineLevel="0" collapsed="false">
      <c r="A1086" s="19" t="n">
        <v>1035</v>
      </c>
      <c r="B1086" s="19" t="s">
        <v>1267</v>
      </c>
      <c r="C1086" s="19" t="s">
        <v>57</v>
      </c>
      <c r="D1086" s="19"/>
      <c r="E1086" s="19" t="s">
        <v>58</v>
      </c>
      <c r="F1086" s="20" t="n">
        <v>3</v>
      </c>
      <c r="G1086" s="20" t="n">
        <v>3</v>
      </c>
      <c r="H1086" s="21" t="n">
        <v>13996</v>
      </c>
      <c r="I1086" s="21" t="n">
        <v>0</v>
      </c>
      <c r="J1086" s="21" t="n">
        <v>-3499</v>
      </c>
      <c r="K1086" s="22" t="n">
        <f aca="false">H1086+I1086+J1086</f>
        <v>10497</v>
      </c>
      <c r="L1086" s="23" t="n">
        <f aca="false">IF($K$1282=0,0,K1086/$K$1282)</f>
        <v>0.000869555080847863</v>
      </c>
      <c r="M1086" s="24" t="n">
        <f aca="false">IF(F1086&lt;=0,0,K1086/F1086)</f>
        <v>3499</v>
      </c>
      <c r="N1086" s="21" t="n">
        <v>3499</v>
      </c>
      <c r="O1086" s="49" t="n">
        <v>94</v>
      </c>
      <c r="P1086" s="24" t="n">
        <f aca="false">O1086*'Price Groups'!$B$5</f>
        <v>2115</v>
      </c>
      <c r="Q1086" s="26" t="n">
        <f aca="false">IF(OR(N1086="",P1086=""),"",(N1086-P1086)/N1086)</f>
        <v>0.395541583309517</v>
      </c>
      <c r="R1086" s="27" t="n">
        <v>1</v>
      </c>
      <c r="S1086" s="28" t="n">
        <f aca="false">IF(R1086="-",0,IFERROR(VLOOKUP(R1086,'Price Groups'!$A$13:$C$17,3,FALSE()),0))</f>
        <v>0.22</v>
      </c>
      <c r="T1086" s="22" t="n">
        <f aca="false">IF(OR(N1086="",R1086="-"),"",CEILING(ROUND(N1086*(1+S1086),2),IF(N1086*(1+S1086)&lt;100,0.5,IF(N1086*(1+S1086)&lt;1000,1,5))))</f>
        <v>4270</v>
      </c>
      <c r="U1086" s="26" t="n">
        <f aca="false">IF(OR(T1086="",P1086=""),"",(T1086-P1086)/T1086)</f>
        <v>0.504683840749415</v>
      </c>
      <c r="V1086" s="26" t="n">
        <f aca="false">IF(T1086="",0,T1086/N1086-1)</f>
        <v>0.220348671048871</v>
      </c>
      <c r="W1086" s="19" t="s">
        <v>94</v>
      </c>
    </row>
    <row r="1087" customFormat="false" ht="15" hidden="false" customHeight="false" outlineLevel="0" collapsed="false">
      <c r="A1087" s="38" t="n">
        <v>1036</v>
      </c>
      <c r="B1087" s="38" t="s">
        <v>1268</v>
      </c>
      <c r="C1087" s="38" t="s">
        <v>57</v>
      </c>
      <c r="D1087" s="38"/>
      <c r="E1087" s="38" t="s">
        <v>58</v>
      </c>
      <c r="F1087" s="39" t="n">
        <v>3</v>
      </c>
      <c r="G1087" s="39" t="n">
        <v>2</v>
      </c>
      <c r="H1087" s="40" t="n">
        <v>225</v>
      </c>
      <c r="I1087" s="40" t="n">
        <v>0</v>
      </c>
      <c r="J1087" s="40" t="n">
        <v>0</v>
      </c>
      <c r="K1087" s="41" t="n">
        <f aca="false">H1087+I1087+J1087</f>
        <v>225</v>
      </c>
      <c r="L1087" s="42" t="n">
        <f aca="false">IF($K$1282=0,0,K1087/$K$1282)</f>
        <v>1.86386484891654E-005</v>
      </c>
      <c r="M1087" s="43" t="n">
        <f aca="false">IF(F1087&lt;=0,0,K1087/F1087)</f>
        <v>75</v>
      </c>
      <c r="N1087" s="40" t="n">
        <v>75</v>
      </c>
      <c r="O1087" s="44" t="n">
        <v>1.17</v>
      </c>
      <c r="P1087" s="43" t="n">
        <f aca="false">O1087*'Price Groups'!$B$5</f>
        <v>26.325</v>
      </c>
      <c r="Q1087" s="45" t="n">
        <f aca="false">IF(OR(N1087="",P1087=""),"",(N1087-P1087)/N1087)</f>
        <v>0.649</v>
      </c>
      <c r="R1087" s="46" t="n">
        <v>1</v>
      </c>
      <c r="S1087" s="47" t="n">
        <f aca="false">IF(R1087="-",0,IFERROR(VLOOKUP(R1087,'Price Groups'!$A$13:$C$17,3,FALSE()),0))</f>
        <v>0.22</v>
      </c>
      <c r="T1087" s="41" t="n">
        <f aca="false">IF(OR(N1087="",R1087="-"),"",CEILING(ROUND(N1087*(1+S1087),2),IF(N1087*(1+S1087)&lt;100,0.5,IF(N1087*(1+S1087)&lt;1000,1,5))))</f>
        <v>91.5</v>
      </c>
      <c r="U1087" s="45" t="n">
        <f aca="false">IF(OR(T1087="",P1087=""),"",(T1087-P1087)/T1087)</f>
        <v>0.712295081967213</v>
      </c>
      <c r="V1087" s="45" t="n">
        <f aca="false">IF(T1087="",0,T1087/N1087-1)</f>
        <v>0.22</v>
      </c>
      <c r="W1087" s="38" t="s">
        <v>94</v>
      </c>
    </row>
    <row r="1088" customFormat="false" ht="15" hidden="false" customHeight="false" outlineLevel="0" collapsed="false">
      <c r="A1088" s="19" t="n">
        <v>1037</v>
      </c>
      <c r="B1088" s="19" t="s">
        <v>1269</v>
      </c>
      <c r="C1088" s="19" t="s">
        <v>57</v>
      </c>
      <c r="D1088" s="19"/>
      <c r="E1088" s="19" t="s">
        <v>58</v>
      </c>
      <c r="F1088" s="20" t="n">
        <v>3</v>
      </c>
      <c r="G1088" s="20" t="n">
        <v>4</v>
      </c>
      <c r="H1088" s="21" t="n">
        <v>10000</v>
      </c>
      <c r="I1088" s="21" t="n">
        <v>0</v>
      </c>
      <c r="J1088" s="21" t="n">
        <v>-2500</v>
      </c>
      <c r="K1088" s="22" t="n">
        <f aca="false">H1088+I1088+J1088</f>
        <v>7500</v>
      </c>
      <c r="L1088" s="23" t="n">
        <f aca="false">IF($K$1282=0,0,K1088/$K$1282)</f>
        <v>0.00062128828297218</v>
      </c>
      <c r="M1088" s="24" t="n">
        <f aca="false">IF(F1088&lt;=0,0,K1088/F1088)</f>
        <v>2500</v>
      </c>
      <c r="N1088" s="21" t="n">
        <v>2500</v>
      </c>
      <c r="O1088" s="25"/>
      <c r="P1088" s="24"/>
      <c r="Q1088" s="26" t="str">
        <f aca="false">IF(OR(N1088="",P1088=""),"",(N1088-P1088)/N1088)</f>
        <v/>
      </c>
      <c r="R1088" s="27" t="n">
        <v>2</v>
      </c>
      <c r="S1088" s="28" t="n">
        <f aca="false">IF(R1088="-",0,IFERROR(VLOOKUP(R1088,'Price Groups'!$A$13:$C$17,3,FALSE()),0))</f>
        <v>0.18</v>
      </c>
      <c r="T1088" s="22" t="n">
        <f aca="false">IF(OR(N1088="",R1088="-"),"",CEILING(ROUND(N1088*(1+S1088),2),IF(N1088*(1+S1088)&lt;100,0.5,IF(N1088*(1+S1088)&lt;1000,1,5))))</f>
        <v>2950</v>
      </c>
      <c r="U1088" s="26" t="str">
        <f aca="false">IF(OR(T1088="",P1088=""),"",(T1088-P1088)/T1088)</f>
        <v/>
      </c>
      <c r="V1088" s="26" t="n">
        <f aca="false">IF(T1088="",0,T1088/N1088-1)</f>
        <v>0.18</v>
      </c>
      <c r="W1088" s="19" t="s">
        <v>129</v>
      </c>
    </row>
    <row r="1089" customFormat="false" ht="15" hidden="false" customHeight="false" outlineLevel="0" collapsed="false">
      <c r="A1089" s="38" t="n">
        <v>1038</v>
      </c>
      <c r="B1089" s="38" t="s">
        <v>1270</v>
      </c>
      <c r="C1089" s="38" t="s">
        <v>57</v>
      </c>
      <c r="D1089" s="38"/>
      <c r="E1089" s="38" t="s">
        <v>58</v>
      </c>
      <c r="F1089" s="39" t="n">
        <v>3</v>
      </c>
      <c r="G1089" s="39" t="n">
        <v>3</v>
      </c>
      <c r="H1089" s="40" t="n">
        <v>569.97</v>
      </c>
      <c r="I1089" s="40" t="n">
        <v>-9.5</v>
      </c>
      <c r="J1089" s="40" t="n">
        <v>0</v>
      </c>
      <c r="K1089" s="41" t="n">
        <f aca="false">H1089+I1089+J1089</f>
        <v>560.47</v>
      </c>
      <c r="L1089" s="42" t="n">
        <f aca="false">IF($K$1282=0,0,K1089/$K$1282)</f>
        <v>4.64284591943224E-005</v>
      </c>
      <c r="M1089" s="43" t="n">
        <f aca="false">IF(F1089&lt;=0,0,K1089/F1089)</f>
        <v>186.823333333333</v>
      </c>
      <c r="N1089" s="40" t="n">
        <v>189.99</v>
      </c>
      <c r="O1089" s="44" t="n">
        <v>4.66</v>
      </c>
      <c r="P1089" s="43" t="n">
        <f aca="false">O1089*'Price Groups'!$B$5</f>
        <v>104.85</v>
      </c>
      <c r="Q1089" s="45" t="n">
        <f aca="false">IF(OR(N1089="",P1089=""),"",(N1089-P1089)/N1089)</f>
        <v>0.448128848886784</v>
      </c>
      <c r="R1089" s="46" t="n">
        <v>1</v>
      </c>
      <c r="S1089" s="47" t="n">
        <f aca="false">IF(R1089="-",0,IFERROR(VLOOKUP(R1089,'Price Groups'!$A$13:$C$17,3,FALSE()),0))</f>
        <v>0.22</v>
      </c>
      <c r="T1089" s="41" t="n">
        <f aca="false">IF(OR(N1089="",R1089="-"),"",CEILING(ROUND(N1089*(1+S1089),2),IF(N1089*(1+S1089)&lt;100,0.5,IF(N1089*(1+S1089)&lt;1000,1,5))))</f>
        <v>232</v>
      </c>
      <c r="U1089" s="45" t="n">
        <f aca="false">IF(OR(T1089="",P1089=""),"",(T1089-P1089)/T1089)</f>
        <v>0.548060344827586</v>
      </c>
      <c r="V1089" s="45" t="n">
        <f aca="false">IF(T1089="",0,T1089/N1089-1)</f>
        <v>0.22111690088952</v>
      </c>
      <c r="W1089" s="38" t="s">
        <v>94</v>
      </c>
    </row>
    <row r="1090" customFormat="false" ht="15" hidden="false" customHeight="false" outlineLevel="0" collapsed="false">
      <c r="A1090" s="19" t="n">
        <v>1039</v>
      </c>
      <c r="B1090" s="19" t="s">
        <v>1271</v>
      </c>
      <c r="C1090" s="19" t="s">
        <v>57</v>
      </c>
      <c r="D1090" s="19"/>
      <c r="E1090" s="19" t="s">
        <v>58</v>
      </c>
      <c r="F1090" s="20" t="n">
        <v>3</v>
      </c>
      <c r="G1090" s="20" t="n">
        <v>3</v>
      </c>
      <c r="H1090" s="21" t="n">
        <v>689.97</v>
      </c>
      <c r="I1090" s="21" t="n">
        <v>-22.99</v>
      </c>
      <c r="J1090" s="21" t="n">
        <v>0</v>
      </c>
      <c r="K1090" s="22" t="n">
        <f aca="false">H1090+I1090+J1090</f>
        <v>666.98</v>
      </c>
      <c r="L1090" s="23" t="n">
        <f aca="false">IF($K$1282=0,0,K1090/$K$1282)</f>
        <v>5.52515811969046E-005</v>
      </c>
      <c r="M1090" s="24" t="n">
        <f aca="false">IF(F1090&lt;=0,0,K1090/F1090)</f>
        <v>222.326666666667</v>
      </c>
      <c r="N1090" s="21" t="n">
        <v>229.99</v>
      </c>
      <c r="O1090" s="49" t="n">
        <v>6.28</v>
      </c>
      <c r="P1090" s="24" t="n">
        <f aca="false">O1090*'Price Groups'!$B$5</f>
        <v>141.3</v>
      </c>
      <c r="Q1090" s="26" t="n">
        <f aca="false">IF(OR(N1090="",P1090=""),"",(N1090-P1090)/N1090)</f>
        <v>0.385625461976608</v>
      </c>
      <c r="R1090" s="27" t="n">
        <v>1</v>
      </c>
      <c r="S1090" s="28" t="n">
        <f aca="false">IF(R1090="-",0,IFERROR(VLOOKUP(R1090,'Price Groups'!$A$13:$C$17,3,FALSE()),0))</f>
        <v>0.22</v>
      </c>
      <c r="T1090" s="22" t="n">
        <f aca="false">IF(OR(N1090="",R1090="-"),"",CEILING(ROUND(N1090*(1+S1090),2),IF(N1090*(1+S1090)&lt;100,0.5,IF(N1090*(1+S1090)&lt;1000,1,5))))</f>
        <v>281</v>
      </c>
      <c r="U1090" s="26" t="n">
        <f aca="false">IF(OR(T1090="",P1090=""),"",(T1090-P1090)/T1090)</f>
        <v>0.497153024911032</v>
      </c>
      <c r="V1090" s="26" t="n">
        <f aca="false">IF(T1090="",0,T1090/N1090-1)</f>
        <v>0.221792251837036</v>
      </c>
      <c r="W1090" s="19" t="s">
        <v>94</v>
      </c>
    </row>
    <row r="1091" customFormat="false" ht="15" hidden="false" customHeight="false" outlineLevel="0" collapsed="false">
      <c r="A1091" s="38" t="n">
        <v>1040</v>
      </c>
      <c r="B1091" s="38" t="s">
        <v>1272</v>
      </c>
      <c r="C1091" s="38" t="s">
        <v>57</v>
      </c>
      <c r="D1091" s="38"/>
      <c r="E1091" s="38" t="s">
        <v>1273</v>
      </c>
      <c r="F1091" s="39" t="n">
        <v>3</v>
      </c>
      <c r="G1091" s="39" t="n">
        <v>3</v>
      </c>
      <c r="H1091" s="40" t="n">
        <v>1725</v>
      </c>
      <c r="I1091" s="40" t="n">
        <v>0</v>
      </c>
      <c r="J1091" s="40" t="n">
        <v>0</v>
      </c>
      <c r="K1091" s="41" t="n">
        <f aca="false">H1091+I1091+J1091</f>
        <v>1725</v>
      </c>
      <c r="L1091" s="42" t="n">
        <f aca="false">IF($K$1282=0,0,K1091/$K$1282)</f>
        <v>0.000142896305083601</v>
      </c>
      <c r="M1091" s="43" t="n">
        <f aca="false">IF(F1091&lt;=0,0,K1091/F1091)</f>
        <v>575</v>
      </c>
      <c r="N1091" s="40" t="n">
        <v>575</v>
      </c>
      <c r="O1091" s="44" t="n">
        <v>17.64</v>
      </c>
      <c r="P1091" s="43" t="n">
        <f aca="false">O1091*'Price Groups'!$B$5</f>
        <v>396.9</v>
      </c>
      <c r="Q1091" s="45" t="n">
        <f aca="false">IF(OR(N1091="",P1091=""),"",(N1091-P1091)/N1091)</f>
        <v>0.309739130434783</v>
      </c>
      <c r="R1091" s="46" t="n">
        <v>1</v>
      </c>
      <c r="S1091" s="47" t="n">
        <f aca="false">IF(R1091="-",0,IFERROR(VLOOKUP(R1091,'Price Groups'!$A$13:$C$17,3,FALSE()),0))</f>
        <v>0.22</v>
      </c>
      <c r="T1091" s="41" t="n">
        <f aca="false">IF(OR(N1091="",R1091="-"),"",CEILING(ROUND(N1091*(1+S1091),2),IF(N1091*(1+S1091)&lt;100,0.5,IF(N1091*(1+S1091)&lt;1000,1,5))))</f>
        <v>702</v>
      </c>
      <c r="U1091" s="45" t="n">
        <f aca="false">IF(OR(T1091="",P1091=""),"",(T1091-P1091)/T1091)</f>
        <v>0.434615384615385</v>
      </c>
      <c r="V1091" s="45" t="n">
        <f aca="false">IF(T1091="",0,T1091/N1091-1)</f>
        <v>0.220869565217391</v>
      </c>
      <c r="W1091" s="38" t="s">
        <v>94</v>
      </c>
    </row>
    <row r="1092" customFormat="false" ht="15" hidden="false" customHeight="false" outlineLevel="0" collapsed="false">
      <c r="A1092" s="19" t="n">
        <v>1041</v>
      </c>
      <c r="B1092" s="19" t="s">
        <v>1274</v>
      </c>
      <c r="C1092" s="19" t="s">
        <v>57</v>
      </c>
      <c r="D1092" s="19"/>
      <c r="E1092" s="19" t="s">
        <v>58</v>
      </c>
      <c r="F1092" s="20" t="n">
        <v>3</v>
      </c>
      <c r="G1092" s="20" t="n">
        <v>3</v>
      </c>
      <c r="H1092" s="21" t="n">
        <v>389.97</v>
      </c>
      <c r="I1092" s="21" t="n">
        <v>0</v>
      </c>
      <c r="J1092" s="21" t="n">
        <v>0</v>
      </c>
      <c r="K1092" s="22" t="n">
        <f aca="false">H1092+I1092+J1092</f>
        <v>389.97</v>
      </c>
      <c r="L1092" s="23" t="n">
        <f aca="false">IF($K$1282=0,0,K1092/$K$1282)</f>
        <v>3.23045055614215E-005</v>
      </c>
      <c r="M1092" s="24" t="n">
        <f aca="false">IF(F1092&lt;=0,0,K1092/F1092)</f>
        <v>129.99</v>
      </c>
      <c r="N1092" s="21" t="n">
        <v>129.99</v>
      </c>
      <c r="O1092" s="49" t="n">
        <v>3</v>
      </c>
      <c r="P1092" s="24" t="n">
        <f aca="false">O1092*'Price Groups'!$B$5</f>
        <v>67.5</v>
      </c>
      <c r="Q1092" s="26" t="n">
        <f aca="false">IF(OR(N1092="",P1092=""),"",(N1092-P1092)/N1092)</f>
        <v>0.480729286868221</v>
      </c>
      <c r="R1092" s="27" t="n">
        <v>1</v>
      </c>
      <c r="S1092" s="28" t="n">
        <f aca="false">IF(R1092="-",0,IFERROR(VLOOKUP(R1092,'Price Groups'!$A$13:$C$17,3,FALSE()),0))</f>
        <v>0.22</v>
      </c>
      <c r="T1092" s="22" t="n">
        <f aca="false">IF(OR(N1092="",R1092="-"),"",CEILING(ROUND(N1092*(1+S1092),2),IF(N1092*(1+S1092)&lt;100,0.5,IF(N1092*(1+S1092)&lt;1000,1,5))))</f>
        <v>159</v>
      </c>
      <c r="U1092" s="26" t="n">
        <f aca="false">IF(OR(T1092="",P1092=""),"",(T1092-P1092)/T1092)</f>
        <v>0.575471698113208</v>
      </c>
      <c r="V1092" s="26" t="n">
        <f aca="false">IF(T1092="",0,T1092/N1092-1)</f>
        <v>0.223171013154858</v>
      </c>
      <c r="W1092" s="19" t="s">
        <v>94</v>
      </c>
    </row>
    <row r="1093" customFormat="false" ht="15" hidden="false" customHeight="false" outlineLevel="0" collapsed="false">
      <c r="A1093" s="38" t="n">
        <v>1042</v>
      </c>
      <c r="B1093" s="38" t="s">
        <v>1275</v>
      </c>
      <c r="C1093" s="38" t="s">
        <v>57</v>
      </c>
      <c r="D1093" s="38"/>
      <c r="E1093" s="38" t="s">
        <v>58</v>
      </c>
      <c r="F1093" s="39" t="n">
        <v>3</v>
      </c>
      <c r="G1093" s="39" t="n">
        <v>4</v>
      </c>
      <c r="H1093" s="40" t="n">
        <v>1160</v>
      </c>
      <c r="I1093" s="40" t="n">
        <v>-29</v>
      </c>
      <c r="J1093" s="40" t="n">
        <v>-290</v>
      </c>
      <c r="K1093" s="41" t="n">
        <f aca="false">H1093+I1093+J1093</f>
        <v>841</v>
      </c>
      <c r="L1093" s="42" t="n">
        <f aca="false">IF($K$1282=0,0,K1093/$K$1282)</f>
        <v>6.96671261306138E-005</v>
      </c>
      <c r="M1093" s="43" t="n">
        <f aca="false">IF(F1093&lt;=0,0,K1093/F1093)</f>
        <v>280.333333333333</v>
      </c>
      <c r="N1093" s="40" t="n">
        <v>290</v>
      </c>
      <c r="O1093" s="44" t="n">
        <v>6</v>
      </c>
      <c r="P1093" s="43" t="n">
        <f aca="false">O1093*'Price Groups'!$B$5</f>
        <v>135</v>
      </c>
      <c r="Q1093" s="45" t="n">
        <f aca="false">IF(OR(N1093="",P1093=""),"",(N1093-P1093)/N1093)</f>
        <v>0.53448275862069</v>
      </c>
      <c r="R1093" s="46" t="n">
        <v>1</v>
      </c>
      <c r="S1093" s="47" t="n">
        <f aca="false">IF(R1093="-",0,IFERROR(VLOOKUP(R1093,'Price Groups'!$A$13:$C$17,3,FALSE()),0))</f>
        <v>0.22</v>
      </c>
      <c r="T1093" s="41" t="n">
        <f aca="false">IF(OR(N1093="",R1093="-"),"",CEILING(ROUND(N1093*(1+S1093),2),IF(N1093*(1+S1093)&lt;100,0.5,IF(N1093*(1+S1093)&lt;1000,1,5))))</f>
        <v>354</v>
      </c>
      <c r="U1093" s="45" t="n">
        <f aca="false">IF(OR(T1093="",P1093=""),"",(T1093-P1093)/T1093)</f>
        <v>0.61864406779661</v>
      </c>
      <c r="V1093" s="45" t="n">
        <f aca="false">IF(T1093="",0,T1093/N1093-1)</f>
        <v>0.220689655172414</v>
      </c>
      <c r="W1093" s="38" t="s">
        <v>94</v>
      </c>
    </row>
    <row r="1094" customFormat="false" ht="15" hidden="false" customHeight="false" outlineLevel="0" collapsed="false">
      <c r="A1094" s="19" t="n">
        <v>1043</v>
      </c>
      <c r="B1094" s="19" t="s">
        <v>1276</v>
      </c>
      <c r="C1094" s="19" t="s">
        <v>57</v>
      </c>
      <c r="D1094" s="19"/>
      <c r="E1094" s="19" t="s">
        <v>58</v>
      </c>
      <c r="F1094" s="20" t="n">
        <v>3</v>
      </c>
      <c r="G1094" s="20" t="n">
        <v>0</v>
      </c>
      <c r="H1094" s="21" t="n">
        <v>10200</v>
      </c>
      <c r="I1094" s="21" t="n">
        <v>0</v>
      </c>
      <c r="J1094" s="21" t="n">
        <v>0</v>
      </c>
      <c r="K1094" s="22" t="n">
        <f aca="false">H1094+I1094+J1094</f>
        <v>10200</v>
      </c>
      <c r="L1094" s="23" t="n">
        <f aca="false">IF($K$1282=0,0,K1094/$K$1282)</f>
        <v>0.000844952064842165</v>
      </c>
      <c r="M1094" s="24" t="n">
        <f aca="false">IF(F1094&lt;=0,0,K1094/F1094)</f>
        <v>3400</v>
      </c>
      <c r="N1094" s="21" t="n">
        <v>3400</v>
      </c>
      <c r="O1094" s="49" t="n">
        <v>64.15</v>
      </c>
      <c r="P1094" s="24" t="n">
        <f aca="false">O1094*'Price Groups'!$B$5</f>
        <v>1443.375</v>
      </c>
      <c r="Q1094" s="26" t="n">
        <f aca="false">IF(OR(N1094="",P1094=""),"",(N1094-P1094)/N1094)</f>
        <v>0.575477941176471</v>
      </c>
      <c r="R1094" s="27" t="n">
        <v>1</v>
      </c>
      <c r="S1094" s="28" t="n">
        <f aca="false">IF(R1094="-",0,IFERROR(VLOOKUP(R1094,'Price Groups'!$A$13:$C$17,3,FALSE()),0))</f>
        <v>0.22</v>
      </c>
      <c r="T1094" s="22" t="n">
        <f aca="false">IF(OR(N1094="",R1094="-"),"",CEILING(ROUND(N1094*(1+S1094),2),IF(N1094*(1+S1094)&lt;100,0.5,IF(N1094*(1+S1094)&lt;1000,1,5))))</f>
        <v>4150</v>
      </c>
      <c r="U1094" s="26" t="n">
        <f aca="false">IF(OR(T1094="",P1094=""),"",(T1094-P1094)/T1094)</f>
        <v>0.652198795180723</v>
      </c>
      <c r="V1094" s="26" t="n">
        <f aca="false">IF(T1094="",0,T1094/N1094-1)</f>
        <v>0.220588235294118</v>
      </c>
      <c r="W1094" s="19" t="s">
        <v>94</v>
      </c>
    </row>
    <row r="1095" customFormat="false" ht="15" hidden="false" customHeight="false" outlineLevel="0" collapsed="false">
      <c r="A1095" s="38" t="n">
        <v>1044</v>
      </c>
      <c r="B1095" s="38" t="s">
        <v>1277</v>
      </c>
      <c r="C1095" s="38" t="s">
        <v>57</v>
      </c>
      <c r="D1095" s="38"/>
      <c r="E1095" s="38" t="s">
        <v>58</v>
      </c>
      <c r="F1095" s="39" t="n">
        <v>3</v>
      </c>
      <c r="G1095" s="39" t="n">
        <v>2</v>
      </c>
      <c r="H1095" s="40" t="n">
        <v>135</v>
      </c>
      <c r="I1095" s="40" t="n">
        <v>0</v>
      </c>
      <c r="J1095" s="40" t="n">
        <v>0</v>
      </c>
      <c r="K1095" s="41" t="n">
        <f aca="false">H1095+I1095+J1095</f>
        <v>135</v>
      </c>
      <c r="L1095" s="42" t="n">
        <f aca="false">IF($K$1282=0,0,K1095/$K$1282)</f>
        <v>1.11831890934992E-005</v>
      </c>
      <c r="M1095" s="43" t="n">
        <f aca="false">IF(F1095&lt;=0,0,K1095/F1095)</f>
        <v>45</v>
      </c>
      <c r="N1095" s="40" t="n">
        <v>45</v>
      </c>
      <c r="O1095" s="44" t="n">
        <v>1</v>
      </c>
      <c r="P1095" s="43" t="n">
        <f aca="false">O1095*'Price Groups'!$B$5</f>
        <v>22.5</v>
      </c>
      <c r="Q1095" s="45" t="n">
        <f aca="false">IF(OR(N1095="",P1095=""),"",(N1095-P1095)/N1095)</f>
        <v>0.5</v>
      </c>
      <c r="R1095" s="46" t="n">
        <v>1</v>
      </c>
      <c r="S1095" s="47" t="n">
        <f aca="false">IF(R1095="-",0,IFERROR(VLOOKUP(R1095,'Price Groups'!$A$13:$C$17,3,FALSE()),0))</f>
        <v>0.22</v>
      </c>
      <c r="T1095" s="41" t="n">
        <f aca="false">IF(OR(N1095="",R1095="-"),"",CEILING(ROUND(N1095*(1+S1095),2),IF(N1095*(1+S1095)&lt;100,0.5,IF(N1095*(1+S1095)&lt;1000,1,5))))</f>
        <v>55</v>
      </c>
      <c r="U1095" s="45" t="n">
        <f aca="false">IF(OR(T1095="",P1095=""),"",(T1095-P1095)/T1095)</f>
        <v>0.590909090909091</v>
      </c>
      <c r="V1095" s="45" t="n">
        <f aca="false">IF(T1095="",0,T1095/N1095-1)</f>
        <v>0.222222222222222</v>
      </c>
      <c r="W1095" s="38" t="s">
        <v>94</v>
      </c>
    </row>
    <row r="1096" customFormat="false" ht="15" hidden="false" customHeight="false" outlineLevel="0" collapsed="false">
      <c r="A1096" s="19" t="n">
        <v>1045</v>
      </c>
      <c r="B1096" s="19" t="s">
        <v>1278</v>
      </c>
      <c r="C1096" s="19" t="s">
        <v>57</v>
      </c>
      <c r="D1096" s="19"/>
      <c r="E1096" s="19" t="s">
        <v>58</v>
      </c>
      <c r="F1096" s="20" t="n">
        <v>3</v>
      </c>
      <c r="G1096" s="20" t="n">
        <v>7</v>
      </c>
      <c r="H1096" s="21" t="n">
        <v>274.89</v>
      </c>
      <c r="I1096" s="21" t="n">
        <v>-2.5</v>
      </c>
      <c r="J1096" s="21" t="n">
        <v>-197.42</v>
      </c>
      <c r="K1096" s="22" t="n">
        <f aca="false">H1096+I1096+J1096</f>
        <v>74.97</v>
      </c>
      <c r="L1096" s="23" t="n">
        <f aca="false">IF($K$1282=0,0,K1096/$K$1282)</f>
        <v>6.21039767658991E-006</v>
      </c>
      <c r="M1096" s="24" t="n">
        <f aca="false">IF(F1096&lt;=0,0,K1096/F1096)</f>
        <v>24.99</v>
      </c>
      <c r="N1096" s="21" t="n">
        <v>24.99</v>
      </c>
      <c r="O1096" s="49" t="n">
        <v>0.36</v>
      </c>
      <c r="P1096" s="24" t="n">
        <f aca="false">O1096*'Price Groups'!$B$5</f>
        <v>8.1</v>
      </c>
      <c r="Q1096" s="26" t="n">
        <f aca="false">IF(OR(N1096="",P1096=""),"",(N1096-P1096)/N1096)</f>
        <v>0.675870348139256</v>
      </c>
      <c r="R1096" s="27" t="n">
        <v>1</v>
      </c>
      <c r="S1096" s="28" t="n">
        <f aca="false">IF(R1096="-",0,IFERROR(VLOOKUP(R1096,'Price Groups'!$A$13:$C$17,3,FALSE()),0))</f>
        <v>0.22</v>
      </c>
      <c r="T1096" s="22" t="n">
        <f aca="false">IF(OR(N1096="",R1096="-"),"",CEILING(ROUND(N1096*(1+S1096),2),IF(N1096*(1+S1096)&lt;100,0.5,IF(N1096*(1+S1096)&lt;1000,1,5))))</f>
        <v>30.5</v>
      </c>
      <c r="U1096" s="26" t="n">
        <f aca="false">IF(OR(T1096="",P1096=""),"",(T1096-P1096)/T1096)</f>
        <v>0.734426229508197</v>
      </c>
      <c r="V1096" s="26" t="n">
        <f aca="false">IF(T1096="",0,T1096/N1096-1)</f>
        <v>0.220488195278111</v>
      </c>
      <c r="W1096" s="19" t="s">
        <v>94</v>
      </c>
    </row>
    <row r="1097" customFormat="false" ht="15" hidden="false" customHeight="false" outlineLevel="0" collapsed="false">
      <c r="A1097" s="38" t="n">
        <v>1046</v>
      </c>
      <c r="B1097" s="38" t="s">
        <v>1279</v>
      </c>
      <c r="C1097" s="38" t="s">
        <v>57</v>
      </c>
      <c r="D1097" s="38"/>
      <c r="E1097" s="38" t="s">
        <v>58</v>
      </c>
      <c r="F1097" s="39" t="n">
        <v>3</v>
      </c>
      <c r="G1097" s="39" t="n">
        <v>2</v>
      </c>
      <c r="H1097" s="40" t="n">
        <v>26.1</v>
      </c>
      <c r="I1097" s="40" t="n">
        <v>0</v>
      </c>
      <c r="J1097" s="40" t="n">
        <v>0</v>
      </c>
      <c r="K1097" s="41" t="n">
        <f aca="false">H1097+I1097+J1097</f>
        <v>26.1</v>
      </c>
      <c r="L1097" s="42" t="n">
        <f aca="false">IF($K$1282=0,0,K1097/$K$1282)</f>
        <v>2.16208322474319E-006</v>
      </c>
      <c r="M1097" s="43" t="n">
        <f aca="false">IF(F1097&lt;=0,0,K1097/F1097)</f>
        <v>8.7</v>
      </c>
      <c r="N1097" s="40" t="n">
        <v>8.55</v>
      </c>
      <c r="O1097" s="44" t="n">
        <v>0.22</v>
      </c>
      <c r="P1097" s="43" t="n">
        <f aca="false">O1097*'Price Groups'!$B$5</f>
        <v>4.95</v>
      </c>
      <c r="Q1097" s="45" t="n">
        <f aca="false">IF(OR(N1097="",P1097=""),"",(N1097-P1097)/N1097)</f>
        <v>0.421052631578947</v>
      </c>
      <c r="R1097" s="46" t="n">
        <v>1</v>
      </c>
      <c r="S1097" s="47" t="n">
        <f aca="false">IF(R1097="-",0,IFERROR(VLOOKUP(R1097,'Price Groups'!$A$13:$C$17,3,FALSE()),0))</f>
        <v>0.22</v>
      </c>
      <c r="T1097" s="41" t="n">
        <f aca="false">IF(OR(N1097="",R1097="-"),"",CEILING(ROUND(N1097*(1+S1097),2),IF(N1097*(1+S1097)&lt;100,0.5,IF(N1097*(1+S1097)&lt;1000,1,5))))</f>
        <v>10.5</v>
      </c>
      <c r="U1097" s="45" t="n">
        <f aca="false">IF(OR(T1097="",P1097=""),"",(T1097-P1097)/T1097)</f>
        <v>0.528571428571429</v>
      </c>
      <c r="V1097" s="45" t="n">
        <f aca="false">IF(T1097="",0,T1097/N1097-1)</f>
        <v>0.228070175438596</v>
      </c>
      <c r="W1097" s="38" t="s">
        <v>94</v>
      </c>
    </row>
    <row r="1098" customFormat="false" ht="15" hidden="false" customHeight="false" outlineLevel="0" collapsed="false">
      <c r="A1098" s="19" t="n">
        <v>1047</v>
      </c>
      <c r="B1098" s="19" t="s">
        <v>1280</v>
      </c>
      <c r="C1098" s="19" t="s">
        <v>57</v>
      </c>
      <c r="D1098" s="19"/>
      <c r="E1098" s="19" t="s">
        <v>58</v>
      </c>
      <c r="F1098" s="20" t="n">
        <v>3</v>
      </c>
      <c r="G1098" s="20" t="n">
        <v>3</v>
      </c>
      <c r="H1098" s="21" t="n">
        <v>869.97</v>
      </c>
      <c r="I1098" s="21" t="n">
        <v>0</v>
      </c>
      <c r="J1098" s="21" t="n">
        <v>0</v>
      </c>
      <c r="K1098" s="22" t="n">
        <f aca="false">H1098+I1098+J1098</f>
        <v>869.97</v>
      </c>
      <c r="L1098" s="23" t="n">
        <f aca="false">IF($K$1282=0,0,K1098/$K$1282)</f>
        <v>7.2066955671641E-005</v>
      </c>
      <c r="M1098" s="24" t="n">
        <f aca="false">IF(F1098&lt;=0,0,K1098/F1098)</f>
        <v>289.99</v>
      </c>
      <c r="N1098" s="21" t="n">
        <v>289.99</v>
      </c>
      <c r="O1098" s="49" t="n">
        <v>5.47</v>
      </c>
      <c r="P1098" s="24" t="n">
        <f aca="false">O1098*'Price Groups'!$B$5</f>
        <v>123.075</v>
      </c>
      <c r="Q1098" s="26" t="n">
        <f aca="false">IF(OR(N1098="",P1098=""),"",(N1098-P1098)/N1098)</f>
        <v>0.575588813407359</v>
      </c>
      <c r="R1098" s="27" t="n">
        <v>1</v>
      </c>
      <c r="S1098" s="28" t="n">
        <f aca="false">IF(R1098="-",0,IFERROR(VLOOKUP(R1098,'Price Groups'!$A$13:$C$17,3,FALSE()),0))</f>
        <v>0.22</v>
      </c>
      <c r="T1098" s="22" t="n">
        <f aca="false">IF(OR(N1098="",R1098="-"),"",CEILING(ROUND(N1098*(1+S1098),2),IF(N1098*(1+S1098)&lt;100,0.5,IF(N1098*(1+S1098)&lt;1000,1,5))))</f>
        <v>354</v>
      </c>
      <c r="U1098" s="26" t="n">
        <f aca="false">IF(OR(T1098="",P1098=""),"",(T1098-P1098)/T1098)</f>
        <v>0.652330508474576</v>
      </c>
      <c r="V1098" s="26" t="n">
        <f aca="false">IF(T1098="",0,T1098/N1098-1)</f>
        <v>0.220731749370668</v>
      </c>
      <c r="W1098" s="19" t="s">
        <v>94</v>
      </c>
    </row>
    <row r="1099" customFormat="false" ht="15" hidden="false" customHeight="false" outlineLevel="0" collapsed="false">
      <c r="A1099" s="38" t="n">
        <v>1048</v>
      </c>
      <c r="B1099" s="38" t="s">
        <v>1281</v>
      </c>
      <c r="C1099" s="38" t="s">
        <v>57</v>
      </c>
      <c r="D1099" s="38"/>
      <c r="E1099" s="38" t="s">
        <v>58</v>
      </c>
      <c r="F1099" s="39" t="n">
        <v>3</v>
      </c>
      <c r="G1099" s="39" t="n">
        <v>4</v>
      </c>
      <c r="H1099" s="40" t="n">
        <v>100</v>
      </c>
      <c r="I1099" s="40" t="n">
        <v>0</v>
      </c>
      <c r="J1099" s="40" t="n">
        <v>-25</v>
      </c>
      <c r="K1099" s="41" t="n">
        <f aca="false">H1099+I1099+J1099</f>
        <v>75</v>
      </c>
      <c r="L1099" s="42" t="n">
        <f aca="false">IF($K$1282=0,0,K1099/$K$1282)</f>
        <v>6.2128828297218E-006</v>
      </c>
      <c r="M1099" s="43" t="n">
        <f aca="false">IF(F1099&lt;=0,0,K1099/F1099)</f>
        <v>25</v>
      </c>
      <c r="N1099" s="40" t="n">
        <v>25</v>
      </c>
      <c r="O1099" s="44" t="n">
        <v>0.53</v>
      </c>
      <c r="P1099" s="43" t="n">
        <f aca="false">O1099*'Price Groups'!$B$5</f>
        <v>11.925</v>
      </c>
      <c r="Q1099" s="45" t="n">
        <f aca="false">IF(OR(N1099="",P1099=""),"",(N1099-P1099)/N1099)</f>
        <v>0.523</v>
      </c>
      <c r="R1099" s="46" t="n">
        <v>1</v>
      </c>
      <c r="S1099" s="47" t="n">
        <f aca="false">IF(R1099="-",0,IFERROR(VLOOKUP(R1099,'Price Groups'!$A$13:$C$17,3,FALSE()),0))</f>
        <v>0.22</v>
      </c>
      <c r="T1099" s="41" t="n">
        <f aca="false">IF(OR(N1099="",R1099="-"),"",CEILING(ROUND(N1099*(1+S1099),2),IF(N1099*(1+S1099)&lt;100,0.5,IF(N1099*(1+S1099)&lt;1000,1,5))))</f>
        <v>30.5</v>
      </c>
      <c r="U1099" s="45" t="n">
        <f aca="false">IF(OR(T1099="",P1099=""),"",(T1099-P1099)/T1099)</f>
        <v>0.609016393442623</v>
      </c>
      <c r="V1099" s="45" t="n">
        <f aca="false">IF(T1099="",0,T1099/N1099-1)</f>
        <v>0.22</v>
      </c>
      <c r="W1099" s="38" t="s">
        <v>94</v>
      </c>
    </row>
    <row r="1100" customFormat="false" ht="15" hidden="false" customHeight="false" outlineLevel="0" collapsed="false">
      <c r="A1100" s="19" t="n">
        <v>1049</v>
      </c>
      <c r="B1100" s="19" t="s">
        <v>1282</v>
      </c>
      <c r="C1100" s="19" t="s">
        <v>57</v>
      </c>
      <c r="D1100" s="19"/>
      <c r="E1100" s="19" t="s">
        <v>58</v>
      </c>
      <c r="F1100" s="20" t="n">
        <v>3</v>
      </c>
      <c r="G1100" s="20" t="n">
        <v>4</v>
      </c>
      <c r="H1100" s="21" t="n">
        <v>399.96</v>
      </c>
      <c r="I1100" s="21" t="n">
        <v>0</v>
      </c>
      <c r="J1100" s="21" t="n">
        <v>-99.99</v>
      </c>
      <c r="K1100" s="22" t="n">
        <f aca="false">H1100+I1100+J1100</f>
        <v>299.97</v>
      </c>
      <c r="L1100" s="23" t="n">
        <f aca="false">IF($K$1282=0,0,K1100/$K$1282)</f>
        <v>2.48490461657553E-005</v>
      </c>
      <c r="M1100" s="24" t="n">
        <f aca="false">IF(F1100&lt;=0,0,K1100/F1100)</f>
        <v>99.99</v>
      </c>
      <c r="N1100" s="21" t="n">
        <v>99.99</v>
      </c>
      <c r="O1100" s="49" t="n">
        <v>2.36</v>
      </c>
      <c r="P1100" s="24" t="n">
        <f aca="false">O1100*'Price Groups'!$B$5</f>
        <v>53.1</v>
      </c>
      <c r="Q1100" s="26" t="n">
        <f aca="false">IF(OR(N1100="",P1100=""),"",(N1100-P1100)/N1100)</f>
        <v>0.468946894689469</v>
      </c>
      <c r="R1100" s="27" t="n">
        <v>1</v>
      </c>
      <c r="S1100" s="28" t="n">
        <f aca="false">IF(R1100="-",0,IFERROR(VLOOKUP(R1100,'Price Groups'!$A$13:$C$17,3,FALSE()),0))</f>
        <v>0.22</v>
      </c>
      <c r="T1100" s="22" t="n">
        <f aca="false">IF(OR(N1100="",R1100="-"),"",CEILING(ROUND(N1100*(1+S1100),2),IF(N1100*(1+S1100)&lt;100,0.5,IF(N1100*(1+S1100)&lt;1000,1,5))))</f>
        <v>122</v>
      </c>
      <c r="U1100" s="26" t="n">
        <f aca="false">IF(OR(T1100="",P1100=""),"",(T1100-P1100)/T1100)</f>
        <v>0.564754098360656</v>
      </c>
      <c r="V1100" s="26" t="n">
        <f aca="false">IF(T1100="",0,T1100/N1100-1)</f>
        <v>0.22012201220122</v>
      </c>
      <c r="W1100" s="19" t="s">
        <v>94</v>
      </c>
    </row>
    <row r="1101" customFormat="false" ht="15" hidden="false" customHeight="false" outlineLevel="0" collapsed="false">
      <c r="A1101" s="38" t="n">
        <v>1050</v>
      </c>
      <c r="B1101" s="38" t="s">
        <v>1283</v>
      </c>
      <c r="C1101" s="38" t="s">
        <v>57</v>
      </c>
      <c r="D1101" s="38"/>
      <c r="E1101" s="38" t="s">
        <v>58</v>
      </c>
      <c r="F1101" s="39" t="n">
        <v>3</v>
      </c>
      <c r="G1101" s="39" t="n">
        <v>3</v>
      </c>
      <c r="H1101" s="40" t="n">
        <v>330</v>
      </c>
      <c r="I1101" s="40" t="n">
        <v>0</v>
      </c>
      <c r="J1101" s="40" t="n">
        <v>0</v>
      </c>
      <c r="K1101" s="41" t="n">
        <f aca="false">H1101+I1101+J1101</f>
        <v>330</v>
      </c>
      <c r="L1101" s="42" t="n">
        <f aca="false">IF($K$1282=0,0,K1101/$K$1282)</f>
        <v>2.73366844507759E-005</v>
      </c>
      <c r="M1101" s="43" t="n">
        <f aca="false">IF(F1101&lt;=0,0,K1101/F1101)</f>
        <v>110</v>
      </c>
      <c r="N1101" s="40" t="n">
        <v>110</v>
      </c>
      <c r="O1101" s="44" t="n">
        <v>2.43</v>
      </c>
      <c r="P1101" s="43" t="n">
        <f aca="false">O1101*'Price Groups'!$B$5</f>
        <v>54.675</v>
      </c>
      <c r="Q1101" s="45" t="n">
        <f aca="false">IF(OR(N1101="",P1101=""),"",(N1101-P1101)/N1101)</f>
        <v>0.502954545454545</v>
      </c>
      <c r="R1101" s="46" t="n">
        <v>1</v>
      </c>
      <c r="S1101" s="47" t="n">
        <f aca="false">IF(R1101="-",0,IFERROR(VLOOKUP(R1101,'Price Groups'!$A$13:$C$17,3,FALSE()),0))</f>
        <v>0.22</v>
      </c>
      <c r="T1101" s="41" t="n">
        <f aca="false">IF(OR(N1101="",R1101="-"),"",CEILING(ROUND(N1101*(1+S1101),2),IF(N1101*(1+S1101)&lt;100,0.5,IF(N1101*(1+S1101)&lt;1000,1,5))))</f>
        <v>135</v>
      </c>
      <c r="U1101" s="45" t="n">
        <f aca="false">IF(OR(T1101="",P1101=""),"",(T1101-P1101)/T1101)</f>
        <v>0.595</v>
      </c>
      <c r="V1101" s="45" t="n">
        <f aca="false">IF(T1101="",0,T1101/N1101-1)</f>
        <v>0.227272727272727</v>
      </c>
      <c r="W1101" s="38" t="s">
        <v>94</v>
      </c>
    </row>
    <row r="1102" customFormat="false" ht="15" hidden="false" customHeight="false" outlineLevel="0" collapsed="false">
      <c r="A1102" s="19" t="n">
        <v>1051</v>
      </c>
      <c r="B1102" s="19" t="s">
        <v>1284</v>
      </c>
      <c r="C1102" s="19" t="s">
        <v>57</v>
      </c>
      <c r="D1102" s="19"/>
      <c r="E1102" s="19" t="s">
        <v>58</v>
      </c>
      <c r="F1102" s="20" t="n">
        <v>3</v>
      </c>
      <c r="G1102" s="20" t="n">
        <v>4</v>
      </c>
      <c r="H1102" s="21" t="n">
        <v>550</v>
      </c>
      <c r="I1102" s="21" t="n">
        <v>-11</v>
      </c>
      <c r="J1102" s="21" t="n">
        <v>-209</v>
      </c>
      <c r="K1102" s="22" t="n">
        <f aca="false">H1102+I1102+J1102</f>
        <v>330</v>
      </c>
      <c r="L1102" s="23" t="n">
        <f aca="false">IF($K$1282=0,0,K1102/$K$1282)</f>
        <v>2.73366844507759E-005</v>
      </c>
      <c r="M1102" s="24" t="n">
        <f aca="false">IF(F1102&lt;=0,0,K1102/F1102)</f>
        <v>110</v>
      </c>
      <c r="N1102" s="21" t="n">
        <v>110</v>
      </c>
      <c r="O1102" s="49" t="n">
        <v>2.43</v>
      </c>
      <c r="P1102" s="24" t="n">
        <f aca="false">O1102*'Price Groups'!$B$5</f>
        <v>54.675</v>
      </c>
      <c r="Q1102" s="26" t="n">
        <f aca="false">IF(OR(N1102="",P1102=""),"",(N1102-P1102)/N1102)</f>
        <v>0.502954545454545</v>
      </c>
      <c r="R1102" s="27" t="n">
        <v>1</v>
      </c>
      <c r="S1102" s="28" t="n">
        <f aca="false">IF(R1102="-",0,IFERROR(VLOOKUP(R1102,'Price Groups'!$A$13:$C$17,3,FALSE()),0))</f>
        <v>0.22</v>
      </c>
      <c r="T1102" s="22" t="n">
        <f aca="false">IF(OR(N1102="",R1102="-"),"",CEILING(ROUND(N1102*(1+S1102),2),IF(N1102*(1+S1102)&lt;100,0.5,IF(N1102*(1+S1102)&lt;1000,1,5))))</f>
        <v>135</v>
      </c>
      <c r="U1102" s="26" t="n">
        <f aca="false">IF(OR(T1102="",P1102=""),"",(T1102-P1102)/T1102)</f>
        <v>0.595</v>
      </c>
      <c r="V1102" s="26" t="n">
        <f aca="false">IF(T1102="",0,T1102/N1102-1)</f>
        <v>0.227272727272727</v>
      </c>
      <c r="W1102" s="19" t="s">
        <v>94</v>
      </c>
    </row>
    <row r="1103" customFormat="false" ht="15" hidden="false" customHeight="false" outlineLevel="0" collapsed="false">
      <c r="A1103" s="38" t="n">
        <v>1052</v>
      </c>
      <c r="B1103" s="38" t="s">
        <v>1285</v>
      </c>
      <c r="C1103" s="38" t="s">
        <v>57</v>
      </c>
      <c r="D1103" s="38"/>
      <c r="E1103" s="38" t="s">
        <v>58</v>
      </c>
      <c r="F1103" s="39" t="n">
        <v>3</v>
      </c>
      <c r="G1103" s="39" t="n">
        <v>2</v>
      </c>
      <c r="H1103" s="40" t="n">
        <v>105</v>
      </c>
      <c r="I1103" s="40" t="n">
        <v>0</v>
      </c>
      <c r="J1103" s="40" t="n">
        <v>0</v>
      </c>
      <c r="K1103" s="41" t="n">
        <f aca="false">H1103+I1103+J1103</f>
        <v>105</v>
      </c>
      <c r="L1103" s="42" t="n">
        <f aca="false">IF($K$1282=0,0,K1103/$K$1282)</f>
        <v>8.69803596161052E-006</v>
      </c>
      <c r="M1103" s="43" t="n">
        <f aca="false">IF(F1103&lt;=0,0,K1103/F1103)</f>
        <v>35</v>
      </c>
      <c r="N1103" s="40" t="n">
        <v>35</v>
      </c>
      <c r="O1103" s="44" t="n">
        <v>0.78</v>
      </c>
      <c r="P1103" s="43" t="n">
        <f aca="false">O1103*'Price Groups'!$B$5</f>
        <v>17.55</v>
      </c>
      <c r="Q1103" s="45" t="n">
        <f aca="false">IF(OR(N1103="",P1103=""),"",(N1103-P1103)/N1103)</f>
        <v>0.498571428571429</v>
      </c>
      <c r="R1103" s="46" t="n">
        <v>1</v>
      </c>
      <c r="S1103" s="47" t="n">
        <f aca="false">IF(R1103="-",0,IFERROR(VLOOKUP(R1103,'Price Groups'!$A$13:$C$17,3,FALSE()),0))</f>
        <v>0.22</v>
      </c>
      <c r="T1103" s="41" t="n">
        <f aca="false">IF(OR(N1103="",R1103="-"),"",CEILING(ROUND(N1103*(1+S1103),2),IF(N1103*(1+S1103)&lt;100,0.5,IF(N1103*(1+S1103)&lt;1000,1,5))))</f>
        <v>43</v>
      </c>
      <c r="U1103" s="45" t="n">
        <f aca="false">IF(OR(T1103="",P1103=""),"",(T1103-P1103)/T1103)</f>
        <v>0.591860465116279</v>
      </c>
      <c r="V1103" s="45" t="n">
        <f aca="false">IF(T1103="",0,T1103/N1103-1)</f>
        <v>0.228571428571429</v>
      </c>
      <c r="W1103" s="38" t="s">
        <v>94</v>
      </c>
    </row>
    <row r="1104" customFormat="false" ht="15" hidden="false" customHeight="false" outlineLevel="0" collapsed="false">
      <c r="A1104" s="19" t="n">
        <v>1053</v>
      </c>
      <c r="B1104" s="19" t="s">
        <v>1286</v>
      </c>
      <c r="C1104" s="19" t="s">
        <v>57</v>
      </c>
      <c r="D1104" s="19"/>
      <c r="E1104" s="19" t="s">
        <v>58</v>
      </c>
      <c r="F1104" s="20" t="n">
        <v>3</v>
      </c>
      <c r="G1104" s="20" t="n">
        <v>2</v>
      </c>
      <c r="H1104" s="21" t="n">
        <v>479.97</v>
      </c>
      <c r="I1104" s="21" t="n">
        <v>0</v>
      </c>
      <c r="J1104" s="21" t="n">
        <v>0</v>
      </c>
      <c r="K1104" s="22" t="n">
        <f aca="false">H1104+I1104+J1104</f>
        <v>479.97</v>
      </c>
      <c r="L1104" s="23" t="n">
        <f aca="false">IF($K$1282=0,0,K1104/$K$1282)</f>
        <v>3.97599649570876E-005</v>
      </c>
      <c r="M1104" s="24" t="n">
        <f aca="false">IF(F1104&lt;=0,0,K1104/F1104)</f>
        <v>159.99</v>
      </c>
      <c r="N1104" s="21" t="n">
        <v>159.99</v>
      </c>
      <c r="O1104" s="49" t="n">
        <v>3.85</v>
      </c>
      <c r="P1104" s="24" t="n">
        <f aca="false">O1104*'Price Groups'!$B$5</f>
        <v>86.625</v>
      </c>
      <c r="Q1104" s="26" t="n">
        <f aca="false">IF(OR(N1104="",P1104=""),"",(N1104-P1104)/N1104)</f>
        <v>0.458559909994375</v>
      </c>
      <c r="R1104" s="27" t="n">
        <v>1</v>
      </c>
      <c r="S1104" s="28" t="n">
        <f aca="false">IF(R1104="-",0,IFERROR(VLOOKUP(R1104,'Price Groups'!$A$13:$C$17,3,FALSE()),0))</f>
        <v>0.22</v>
      </c>
      <c r="T1104" s="22" t="n">
        <f aca="false">IF(OR(N1104="",R1104="-"),"",CEILING(ROUND(N1104*(1+S1104),2),IF(N1104*(1+S1104)&lt;100,0.5,IF(N1104*(1+S1104)&lt;1000,1,5))))</f>
        <v>196</v>
      </c>
      <c r="U1104" s="26" t="n">
        <f aca="false">IF(OR(T1104="",P1104=""),"",(T1104-P1104)/T1104)</f>
        <v>0.558035714285714</v>
      </c>
      <c r="V1104" s="26" t="n">
        <f aca="false">IF(T1104="",0,T1104/N1104-1)</f>
        <v>0.225076567285455</v>
      </c>
      <c r="W1104" s="19" t="s">
        <v>94</v>
      </c>
    </row>
    <row r="1105" customFormat="false" ht="15" hidden="false" customHeight="false" outlineLevel="0" collapsed="false">
      <c r="A1105" s="38" t="n">
        <v>1054</v>
      </c>
      <c r="B1105" s="38" t="s">
        <v>1287</v>
      </c>
      <c r="C1105" s="38" t="s">
        <v>57</v>
      </c>
      <c r="D1105" s="38"/>
      <c r="E1105" s="38" t="s">
        <v>58</v>
      </c>
      <c r="F1105" s="39" t="n">
        <v>3</v>
      </c>
      <c r="G1105" s="39" t="n">
        <v>2</v>
      </c>
      <c r="H1105" s="40" t="n">
        <v>149.97</v>
      </c>
      <c r="I1105" s="40" t="n">
        <v>0</v>
      </c>
      <c r="J1105" s="40" t="n">
        <v>0</v>
      </c>
      <c r="K1105" s="41" t="n">
        <f aca="false">H1105+I1105+J1105</f>
        <v>149.97</v>
      </c>
      <c r="L1105" s="42" t="n">
        <f aca="false">IF($K$1282=0,0,K1105/$K$1282)</f>
        <v>1.24232805063117E-005</v>
      </c>
      <c r="M1105" s="43" t="n">
        <f aca="false">IF(F1105&lt;=0,0,K1105/F1105)</f>
        <v>49.99</v>
      </c>
      <c r="N1105" s="40" t="n">
        <v>60</v>
      </c>
      <c r="O1105" s="44" t="n">
        <v>1.45</v>
      </c>
      <c r="P1105" s="43" t="n">
        <f aca="false">O1105*'Price Groups'!$B$5</f>
        <v>32.625</v>
      </c>
      <c r="Q1105" s="45" t="n">
        <f aca="false">IF(OR(N1105="",P1105=""),"",(N1105-P1105)/N1105)</f>
        <v>0.45625</v>
      </c>
      <c r="R1105" s="46" t="n">
        <v>1</v>
      </c>
      <c r="S1105" s="47" t="n">
        <f aca="false">IF(R1105="-",0,IFERROR(VLOOKUP(R1105,'Price Groups'!$A$13:$C$17,3,FALSE()),0))</f>
        <v>0.22</v>
      </c>
      <c r="T1105" s="41" t="n">
        <f aca="false">IF(OR(N1105="",R1105="-"),"",CEILING(ROUND(N1105*(1+S1105),2),IF(N1105*(1+S1105)&lt;100,0.5,IF(N1105*(1+S1105)&lt;1000,1,5))))</f>
        <v>73.5</v>
      </c>
      <c r="U1105" s="45" t="n">
        <f aca="false">IF(OR(T1105="",P1105=""),"",(T1105-P1105)/T1105)</f>
        <v>0.556122448979592</v>
      </c>
      <c r="V1105" s="45" t="n">
        <f aca="false">IF(T1105="",0,T1105/N1105-1)</f>
        <v>0.225</v>
      </c>
      <c r="W1105" s="38" t="s">
        <v>94</v>
      </c>
    </row>
    <row r="1106" customFormat="false" ht="15" hidden="false" customHeight="false" outlineLevel="0" collapsed="false">
      <c r="A1106" s="19" t="n">
        <v>1055</v>
      </c>
      <c r="B1106" s="19" t="s">
        <v>1288</v>
      </c>
      <c r="C1106" s="19" t="s">
        <v>57</v>
      </c>
      <c r="D1106" s="19"/>
      <c r="E1106" s="19" t="s">
        <v>58</v>
      </c>
      <c r="F1106" s="20" t="n">
        <v>3</v>
      </c>
      <c r="G1106" s="20" t="n">
        <v>5</v>
      </c>
      <c r="H1106" s="21" t="n">
        <v>665</v>
      </c>
      <c r="I1106" s="21" t="n">
        <v>0</v>
      </c>
      <c r="J1106" s="21" t="n">
        <v>-266</v>
      </c>
      <c r="K1106" s="22" t="n">
        <f aca="false">H1106+I1106+J1106</f>
        <v>399</v>
      </c>
      <c r="L1106" s="23" t="n">
        <f aca="false">IF($K$1282=0,0,K1106/$K$1282)</f>
        <v>3.305253665412E-005</v>
      </c>
      <c r="M1106" s="24" t="n">
        <f aca="false">IF(F1106&lt;=0,0,K1106/F1106)</f>
        <v>133</v>
      </c>
      <c r="N1106" s="21" t="n">
        <v>133</v>
      </c>
      <c r="O1106" s="49" t="n">
        <v>2.9</v>
      </c>
      <c r="P1106" s="24" t="n">
        <f aca="false">O1106*'Price Groups'!$B$5</f>
        <v>65.25</v>
      </c>
      <c r="Q1106" s="26" t="n">
        <f aca="false">IF(OR(N1106="",P1106=""),"",(N1106-P1106)/N1106)</f>
        <v>0.509398496240602</v>
      </c>
      <c r="R1106" s="27" t="n">
        <v>1</v>
      </c>
      <c r="S1106" s="28" t="n">
        <f aca="false">IF(R1106="-",0,IFERROR(VLOOKUP(R1106,'Price Groups'!$A$13:$C$17,3,FALSE()),0))</f>
        <v>0.22</v>
      </c>
      <c r="T1106" s="22" t="n">
        <f aca="false">IF(OR(N1106="",R1106="-"),"",CEILING(ROUND(N1106*(1+S1106),2),IF(N1106*(1+S1106)&lt;100,0.5,IF(N1106*(1+S1106)&lt;1000,1,5))))</f>
        <v>163</v>
      </c>
      <c r="U1106" s="26" t="n">
        <f aca="false">IF(OR(T1106="",P1106=""),"",(T1106-P1106)/T1106)</f>
        <v>0.599693251533742</v>
      </c>
      <c r="V1106" s="26" t="n">
        <f aca="false">IF(T1106="",0,T1106/N1106-1)</f>
        <v>0.225563909774436</v>
      </c>
      <c r="W1106" s="19" t="s">
        <v>94</v>
      </c>
    </row>
    <row r="1107" customFormat="false" ht="15" hidden="false" customHeight="false" outlineLevel="0" collapsed="false">
      <c r="A1107" s="38" t="n">
        <v>1056</v>
      </c>
      <c r="B1107" s="38" t="s">
        <v>1289</v>
      </c>
      <c r="C1107" s="38" t="s">
        <v>57</v>
      </c>
      <c r="D1107" s="38"/>
      <c r="E1107" s="38" t="s">
        <v>58</v>
      </c>
      <c r="F1107" s="39" t="n">
        <v>3</v>
      </c>
      <c r="G1107" s="39" t="n">
        <v>3</v>
      </c>
      <c r="H1107" s="40" t="n">
        <v>949.96</v>
      </c>
      <c r="I1107" s="40" t="n">
        <v>0</v>
      </c>
      <c r="J1107" s="40" t="n">
        <v>-349.99</v>
      </c>
      <c r="K1107" s="41" t="n">
        <f aca="false">H1107+I1107+J1107</f>
        <v>599.97</v>
      </c>
      <c r="L1107" s="42" t="n">
        <f aca="false">IF($K$1282=0,0,K1107/$K$1282)</f>
        <v>4.97005774846425E-005</v>
      </c>
      <c r="M1107" s="43" t="n">
        <f aca="false">IF(F1107&lt;=0,0,K1107/F1107)</f>
        <v>199.99</v>
      </c>
      <c r="N1107" s="40" t="n">
        <v>199.99</v>
      </c>
      <c r="O1107" s="44" t="n">
        <v>8.11</v>
      </c>
      <c r="P1107" s="43" t="n">
        <f aca="false">O1107*'Price Groups'!$B$5</f>
        <v>182.475</v>
      </c>
      <c r="Q1107" s="45" t="n">
        <f aca="false">IF(OR(N1107="",P1107=""),"",(N1107-P1107)/N1107)</f>
        <v>0.0875793789689485</v>
      </c>
      <c r="R1107" s="46" t="n">
        <v>1</v>
      </c>
      <c r="S1107" s="47" t="n">
        <f aca="false">IF(R1107="-",0,IFERROR(VLOOKUP(R1107,'Price Groups'!$A$13:$C$17,3,FALSE()),0))</f>
        <v>0.22</v>
      </c>
      <c r="T1107" s="41" t="n">
        <f aca="false">IF(OR(N1107="",R1107="-"),"",CEILING(ROUND(N1107*(1+S1107),2),IF(N1107*(1+S1107)&lt;100,0.5,IF(N1107*(1+S1107)&lt;1000,1,5))))</f>
        <v>244</v>
      </c>
      <c r="U1107" s="45" t="n">
        <f aca="false">IF(OR(T1107="",P1107=""),"",(T1107-P1107)/T1107)</f>
        <v>0.252151639344262</v>
      </c>
      <c r="V1107" s="45" t="n">
        <f aca="false">IF(T1107="",0,T1107/N1107-1)</f>
        <v>0.220061003050152</v>
      </c>
      <c r="W1107" s="38" t="s">
        <v>857</v>
      </c>
    </row>
    <row r="1108" customFormat="false" ht="15" hidden="false" customHeight="false" outlineLevel="0" collapsed="false">
      <c r="A1108" s="19" t="n">
        <v>1057</v>
      </c>
      <c r="B1108" s="19" t="s">
        <v>1290</v>
      </c>
      <c r="C1108" s="19" t="s">
        <v>57</v>
      </c>
      <c r="D1108" s="19"/>
      <c r="E1108" s="19" t="s">
        <v>58</v>
      </c>
      <c r="F1108" s="20" t="n">
        <v>3</v>
      </c>
      <c r="G1108" s="20" t="n">
        <v>3</v>
      </c>
      <c r="H1108" s="21" t="n">
        <v>224.97</v>
      </c>
      <c r="I1108" s="21" t="n">
        <v>0</v>
      </c>
      <c r="J1108" s="21" t="n">
        <v>0</v>
      </c>
      <c r="K1108" s="22" t="n">
        <f aca="false">H1108+I1108+J1108</f>
        <v>224.97</v>
      </c>
      <c r="L1108" s="23" t="n">
        <f aca="false">IF($K$1282=0,0,K1108/$K$1282)</f>
        <v>1.86361633360335E-005</v>
      </c>
      <c r="M1108" s="24" t="n">
        <f aca="false">IF(F1108&lt;=0,0,K1108/F1108)</f>
        <v>74.99</v>
      </c>
      <c r="N1108" s="21" t="n">
        <v>74.99</v>
      </c>
      <c r="O1108" s="49" t="n">
        <v>1.21</v>
      </c>
      <c r="P1108" s="24" t="n">
        <f aca="false">O1108*'Price Groups'!$B$5</f>
        <v>27.225</v>
      </c>
      <c r="Q1108" s="26" t="n">
        <f aca="false">IF(OR(N1108="",P1108=""),"",(N1108-P1108)/N1108)</f>
        <v>0.636951593545806</v>
      </c>
      <c r="R1108" s="27" t="n">
        <v>1</v>
      </c>
      <c r="S1108" s="28" t="n">
        <f aca="false">IF(R1108="-",0,IFERROR(VLOOKUP(R1108,'Price Groups'!$A$13:$C$17,3,FALSE()),0))</f>
        <v>0.22</v>
      </c>
      <c r="T1108" s="22" t="n">
        <f aca="false">IF(OR(N1108="",R1108="-"),"",CEILING(ROUND(N1108*(1+S1108),2),IF(N1108*(1+S1108)&lt;100,0.5,IF(N1108*(1+S1108)&lt;1000,1,5))))</f>
        <v>91.5</v>
      </c>
      <c r="U1108" s="26" t="n">
        <f aca="false">IF(OR(T1108="",P1108=""),"",(T1108-P1108)/T1108)</f>
        <v>0.702459016393443</v>
      </c>
      <c r="V1108" s="26" t="n">
        <f aca="false">IF(T1108="",0,T1108/N1108-1)</f>
        <v>0.220162688358448</v>
      </c>
      <c r="W1108" s="19" t="s">
        <v>94</v>
      </c>
    </row>
    <row r="1109" customFormat="false" ht="15" hidden="false" customHeight="false" outlineLevel="0" collapsed="false">
      <c r="A1109" s="38" t="n">
        <v>1058</v>
      </c>
      <c r="B1109" s="38" t="s">
        <v>1291</v>
      </c>
      <c r="C1109" s="38" t="s">
        <v>57</v>
      </c>
      <c r="D1109" s="38"/>
      <c r="E1109" s="38" t="s">
        <v>58</v>
      </c>
      <c r="F1109" s="39" t="n">
        <v>3</v>
      </c>
      <c r="G1109" s="39" t="n">
        <v>4</v>
      </c>
      <c r="H1109" s="40" t="n">
        <v>216.64</v>
      </c>
      <c r="I1109" s="40" t="n">
        <v>0</v>
      </c>
      <c r="J1109" s="40" t="n">
        <v>-59</v>
      </c>
      <c r="K1109" s="41" t="n">
        <f aca="false">H1109+I1109+J1109</f>
        <v>157.64</v>
      </c>
      <c r="L1109" s="42" t="n">
        <f aca="false">IF($K$1282=0,0,K1109/$K$1282)</f>
        <v>1.30586513236979E-005</v>
      </c>
      <c r="M1109" s="43" t="n">
        <f aca="false">IF(F1109&lt;=0,0,K1109/F1109)</f>
        <v>52.5466666666667</v>
      </c>
      <c r="N1109" s="40" t="n">
        <v>39.64</v>
      </c>
      <c r="O1109" s="44" t="n">
        <v>1.34</v>
      </c>
      <c r="P1109" s="43" t="n">
        <f aca="false">O1109*'Price Groups'!$B$5</f>
        <v>30.15</v>
      </c>
      <c r="Q1109" s="45" t="n">
        <f aca="false">IF(OR(N1109="",P1109=""),"",(N1109-P1109)/N1109)</f>
        <v>0.239404641775984</v>
      </c>
      <c r="R1109" s="46" t="n">
        <v>1</v>
      </c>
      <c r="S1109" s="47" t="n">
        <f aca="false">IF(R1109="-",0,IFERROR(VLOOKUP(R1109,'Price Groups'!$A$13:$C$17,3,FALSE()),0))</f>
        <v>0.22</v>
      </c>
      <c r="T1109" s="41" t="n">
        <f aca="false">IF(OR(N1109="",R1109="-"),"",CEILING(ROUND(N1109*(1+S1109),2),IF(N1109*(1+S1109)&lt;100,0.5,IF(N1109*(1+S1109)&lt;1000,1,5))))</f>
        <v>48.5</v>
      </c>
      <c r="U1109" s="45" t="n">
        <f aca="false">IF(OR(T1109="",P1109=""),"",(T1109-P1109)/T1109)</f>
        <v>0.378350515463917</v>
      </c>
      <c r="V1109" s="45" t="n">
        <f aca="false">IF(T1109="",0,T1109/N1109-1)</f>
        <v>0.22351160443996</v>
      </c>
      <c r="W1109" s="38" t="s">
        <v>244</v>
      </c>
    </row>
    <row r="1110" customFormat="false" ht="15" hidden="false" customHeight="false" outlineLevel="0" collapsed="false">
      <c r="A1110" s="19" t="n">
        <v>1059</v>
      </c>
      <c r="B1110" s="19" t="s">
        <v>1292</v>
      </c>
      <c r="C1110" s="19" t="s">
        <v>57</v>
      </c>
      <c r="D1110" s="19"/>
      <c r="E1110" s="19" t="s">
        <v>58</v>
      </c>
      <c r="F1110" s="20" t="n">
        <v>3</v>
      </c>
      <c r="G1110" s="20" t="n">
        <v>3</v>
      </c>
      <c r="H1110" s="21" t="n">
        <v>449.97</v>
      </c>
      <c r="I1110" s="21" t="n">
        <v>0</v>
      </c>
      <c r="J1110" s="21" t="n">
        <v>0</v>
      </c>
      <c r="K1110" s="22" t="n">
        <f aca="false">H1110+I1110+J1110</f>
        <v>449.97</v>
      </c>
      <c r="L1110" s="23" t="n">
        <f aca="false">IF($K$1282=0,0,K1110/$K$1282)</f>
        <v>3.72748118251989E-005</v>
      </c>
      <c r="M1110" s="24" t="n">
        <f aca="false">IF(F1110&lt;=0,0,K1110/F1110)</f>
        <v>149.99</v>
      </c>
      <c r="N1110" s="21" t="n">
        <v>85.41</v>
      </c>
      <c r="O1110" s="49" t="n">
        <v>3.3</v>
      </c>
      <c r="P1110" s="24" t="n">
        <f aca="false">O1110*'Price Groups'!$B$5</f>
        <v>74.25</v>
      </c>
      <c r="Q1110" s="26" t="n">
        <f aca="false">IF(OR(N1110="",P1110=""),"",(N1110-P1110)/N1110)</f>
        <v>0.130663856691254</v>
      </c>
      <c r="R1110" s="27" t="n">
        <v>1</v>
      </c>
      <c r="S1110" s="28" t="n">
        <f aca="false">IF(R1110="-",0,IFERROR(VLOOKUP(R1110,'Price Groups'!$A$13:$C$17,3,FALSE()),0))</f>
        <v>0.22</v>
      </c>
      <c r="T1110" s="22" t="n">
        <f aca="false">IF(OR(N1110="",R1110="-"),"",CEILING(ROUND(N1110*(1+S1110),2),IF(N1110*(1+S1110)&lt;100,0.5,IF(N1110*(1+S1110)&lt;1000,1,5))))</f>
        <v>105</v>
      </c>
      <c r="U1110" s="26" t="n">
        <f aca="false">IF(OR(T1110="",P1110=""),"",(T1110-P1110)/T1110)</f>
        <v>0.292857142857143</v>
      </c>
      <c r="V1110" s="26" t="n">
        <f aca="false">IF(T1110="",0,T1110/N1110-1)</f>
        <v>0.229364243062873</v>
      </c>
      <c r="W1110" s="19" t="s">
        <v>476</v>
      </c>
    </row>
    <row r="1111" customFormat="false" ht="15" hidden="false" customHeight="false" outlineLevel="0" collapsed="false">
      <c r="A1111" s="38" t="n">
        <v>1060</v>
      </c>
      <c r="B1111" s="38" t="s">
        <v>1293</v>
      </c>
      <c r="C1111" s="38" t="s">
        <v>57</v>
      </c>
      <c r="D1111" s="38"/>
      <c r="E1111" s="38" t="s">
        <v>58</v>
      </c>
      <c r="F1111" s="39" t="n">
        <v>3</v>
      </c>
      <c r="G1111" s="39" t="n">
        <v>3</v>
      </c>
      <c r="H1111" s="40" t="n">
        <v>385.39</v>
      </c>
      <c r="I1111" s="40" t="n">
        <v>0</v>
      </c>
      <c r="J1111" s="40" t="n">
        <v>0</v>
      </c>
      <c r="K1111" s="41" t="n">
        <f aca="false">H1111+I1111+J1111</f>
        <v>385.39</v>
      </c>
      <c r="L1111" s="42" t="n">
        <f aca="false">IF($K$1282=0,0,K1111/$K$1282)</f>
        <v>3.19251055166198E-005</v>
      </c>
      <c r="M1111" s="43" t="n">
        <f aca="false">IF(F1111&lt;=0,0,K1111/F1111)</f>
        <v>128.463333333333</v>
      </c>
      <c r="N1111" s="40" t="n">
        <v>85.41</v>
      </c>
      <c r="O1111" s="44" t="n">
        <v>3.3</v>
      </c>
      <c r="P1111" s="43" t="n">
        <f aca="false">O1111*'Price Groups'!$B$5</f>
        <v>74.25</v>
      </c>
      <c r="Q1111" s="45" t="n">
        <f aca="false">IF(OR(N1111="",P1111=""),"",(N1111-P1111)/N1111)</f>
        <v>0.130663856691254</v>
      </c>
      <c r="R1111" s="46" t="n">
        <v>1</v>
      </c>
      <c r="S1111" s="47" t="n">
        <f aca="false">IF(R1111="-",0,IFERROR(VLOOKUP(R1111,'Price Groups'!$A$13:$C$17,3,FALSE()),0))</f>
        <v>0.22</v>
      </c>
      <c r="T1111" s="41" t="n">
        <f aca="false">IF(OR(N1111="",R1111="-"),"",CEILING(ROUND(N1111*(1+S1111),2),IF(N1111*(1+S1111)&lt;100,0.5,IF(N1111*(1+S1111)&lt;1000,1,5))))</f>
        <v>105</v>
      </c>
      <c r="U1111" s="45" t="n">
        <f aca="false">IF(OR(T1111="",P1111=""),"",(T1111-P1111)/T1111)</f>
        <v>0.292857142857143</v>
      </c>
      <c r="V1111" s="45" t="n">
        <f aca="false">IF(T1111="",0,T1111/N1111-1)</f>
        <v>0.229364243062873</v>
      </c>
      <c r="W1111" s="38" t="s">
        <v>476</v>
      </c>
    </row>
    <row r="1112" customFormat="false" ht="15" hidden="false" customHeight="false" outlineLevel="0" collapsed="false">
      <c r="A1112" s="19" t="n">
        <v>1061</v>
      </c>
      <c r="B1112" s="19" t="s">
        <v>1294</v>
      </c>
      <c r="C1112" s="19" t="s">
        <v>57</v>
      </c>
      <c r="D1112" s="19"/>
      <c r="E1112" s="19" t="s">
        <v>58</v>
      </c>
      <c r="F1112" s="20" t="n">
        <v>3</v>
      </c>
      <c r="G1112" s="20" t="n">
        <v>3</v>
      </c>
      <c r="H1112" s="21" t="n">
        <v>299.97</v>
      </c>
      <c r="I1112" s="21" t="n">
        <v>0</v>
      </c>
      <c r="J1112" s="21" t="n">
        <v>0</v>
      </c>
      <c r="K1112" s="22" t="n">
        <f aca="false">H1112+I1112+J1112</f>
        <v>299.97</v>
      </c>
      <c r="L1112" s="23" t="n">
        <f aca="false">IF($K$1282=0,0,K1112/$K$1282)</f>
        <v>2.48490461657553E-005</v>
      </c>
      <c r="M1112" s="24" t="n">
        <f aca="false">IF(F1112&lt;=0,0,K1112/F1112)</f>
        <v>99.99</v>
      </c>
      <c r="N1112" s="21" t="n">
        <v>99.99</v>
      </c>
      <c r="O1112" s="49" t="n">
        <v>1.82</v>
      </c>
      <c r="P1112" s="24" t="n">
        <f aca="false">O1112*'Price Groups'!$B$5</f>
        <v>40.95</v>
      </c>
      <c r="Q1112" s="26" t="n">
        <f aca="false">IF(OR(N1112="",P1112=""),"",(N1112-P1112)/N1112)</f>
        <v>0.59045904590459</v>
      </c>
      <c r="R1112" s="27" t="n">
        <v>1</v>
      </c>
      <c r="S1112" s="28" t="n">
        <f aca="false">IF(R1112="-",0,IFERROR(VLOOKUP(R1112,'Price Groups'!$A$13:$C$17,3,FALSE()),0))</f>
        <v>0.22</v>
      </c>
      <c r="T1112" s="22" t="n">
        <f aca="false">IF(OR(N1112="",R1112="-"),"",CEILING(ROUND(N1112*(1+S1112),2),IF(N1112*(1+S1112)&lt;100,0.5,IF(N1112*(1+S1112)&lt;1000,1,5))))</f>
        <v>122</v>
      </c>
      <c r="U1112" s="26" t="n">
        <f aca="false">IF(OR(T1112="",P1112=""),"",(T1112-P1112)/T1112)</f>
        <v>0.664344262295082</v>
      </c>
      <c r="V1112" s="26" t="n">
        <f aca="false">IF(T1112="",0,T1112/N1112-1)</f>
        <v>0.22012201220122</v>
      </c>
      <c r="W1112" s="19" t="s">
        <v>94</v>
      </c>
    </row>
    <row r="1113" customFormat="false" ht="15" hidden="false" customHeight="false" outlineLevel="0" collapsed="false">
      <c r="A1113" s="38" t="n">
        <v>1062</v>
      </c>
      <c r="B1113" s="38" t="s">
        <v>1295</v>
      </c>
      <c r="C1113" s="38" t="s">
        <v>57</v>
      </c>
      <c r="D1113" s="38"/>
      <c r="E1113" s="38" t="s">
        <v>58</v>
      </c>
      <c r="F1113" s="39" t="n">
        <v>3</v>
      </c>
      <c r="G1113" s="39" t="n">
        <v>3</v>
      </c>
      <c r="H1113" s="40" t="n">
        <v>1760</v>
      </c>
      <c r="I1113" s="40" t="n">
        <v>-44</v>
      </c>
      <c r="J1113" s="40" t="n">
        <v>-440</v>
      </c>
      <c r="K1113" s="41" t="n">
        <f aca="false">H1113+I1113+J1113</f>
        <v>1276</v>
      </c>
      <c r="L1113" s="42" t="n">
        <f aca="false">IF($K$1282=0,0,K1113/$K$1282)</f>
        <v>0.000105701846543</v>
      </c>
      <c r="M1113" s="43" t="n">
        <f aca="false">IF(F1113&lt;=0,0,K1113/F1113)</f>
        <v>425.333333333333</v>
      </c>
      <c r="N1113" s="40" t="n">
        <v>440</v>
      </c>
      <c r="O1113" s="44" t="n">
        <v>8.8</v>
      </c>
      <c r="P1113" s="43" t="n">
        <f aca="false">O1113*'Price Groups'!$B$5</f>
        <v>198</v>
      </c>
      <c r="Q1113" s="45" t="n">
        <f aca="false">IF(OR(N1113="",P1113=""),"",(N1113-P1113)/N1113)</f>
        <v>0.55</v>
      </c>
      <c r="R1113" s="46" t="n">
        <v>1</v>
      </c>
      <c r="S1113" s="47" t="n">
        <f aca="false">IF(R1113="-",0,IFERROR(VLOOKUP(R1113,'Price Groups'!$A$13:$C$17,3,FALSE()),0))</f>
        <v>0.22</v>
      </c>
      <c r="T1113" s="41" t="n">
        <f aca="false">IF(OR(N1113="",R1113="-"),"",CEILING(ROUND(N1113*(1+S1113),2),IF(N1113*(1+S1113)&lt;100,0.5,IF(N1113*(1+S1113)&lt;1000,1,5))))</f>
        <v>537</v>
      </c>
      <c r="U1113" s="45" t="n">
        <f aca="false">IF(OR(T1113="",P1113=""),"",(T1113-P1113)/T1113)</f>
        <v>0.631284916201117</v>
      </c>
      <c r="V1113" s="45" t="n">
        <f aca="false">IF(T1113="",0,T1113/N1113-1)</f>
        <v>0.220454545454545</v>
      </c>
      <c r="W1113" s="38" t="s">
        <v>94</v>
      </c>
    </row>
    <row r="1114" customFormat="false" ht="15" hidden="false" customHeight="false" outlineLevel="0" collapsed="false">
      <c r="A1114" s="19" t="n">
        <v>1063</v>
      </c>
      <c r="B1114" s="19" t="s">
        <v>598</v>
      </c>
      <c r="C1114" s="19" t="s">
        <v>307</v>
      </c>
      <c r="D1114" s="19" t="s">
        <v>597</v>
      </c>
      <c r="E1114" s="19" t="s">
        <v>58</v>
      </c>
      <c r="F1114" s="20" t="n">
        <v>3</v>
      </c>
      <c r="G1114" s="20" t="n">
        <v>3</v>
      </c>
      <c r="H1114" s="21" t="n">
        <v>960</v>
      </c>
      <c r="I1114" s="21" t="n">
        <v>0</v>
      </c>
      <c r="J1114" s="21" t="n">
        <v>0</v>
      </c>
      <c r="K1114" s="22" t="n">
        <f aca="false">H1114+I1114+J1114</f>
        <v>960</v>
      </c>
      <c r="L1114" s="23" t="n">
        <f aca="false">IF($K$1282=0,0,K1114/$K$1282)</f>
        <v>7.9524900220439E-005</v>
      </c>
      <c r="M1114" s="24" t="n">
        <f aca="false">IF(F1114&lt;=0,0,K1114/F1114)</f>
        <v>320</v>
      </c>
      <c r="N1114" s="21" t="n">
        <v>320</v>
      </c>
      <c r="O1114" s="49" t="n">
        <v>9.9</v>
      </c>
      <c r="P1114" s="24" t="n">
        <f aca="false">O1114*'Price Groups'!$B$5</f>
        <v>222.75</v>
      </c>
      <c r="Q1114" s="26" t="n">
        <f aca="false">IF(OR(N1114="",P1114=""),"",(N1114-P1114)/N1114)</f>
        <v>0.30390625</v>
      </c>
      <c r="R1114" s="27" t="n">
        <v>1</v>
      </c>
      <c r="S1114" s="28" t="n">
        <f aca="false">IF(R1114="-",0,IFERROR(VLOOKUP(R1114,'Price Groups'!$A$13:$C$17,3,FALSE()),0))</f>
        <v>0.22</v>
      </c>
      <c r="T1114" s="22" t="n">
        <f aca="false">IF(OR(N1114="",R1114="-"),"",CEILING(ROUND(N1114*(1+S1114),2),IF(N1114*(1+S1114)&lt;100,0.5,IF(N1114*(1+S1114)&lt;1000,1,5))))</f>
        <v>391</v>
      </c>
      <c r="U1114" s="26" t="n">
        <f aca="false">IF(OR(T1114="",P1114=""),"",(T1114-P1114)/T1114)</f>
        <v>0.430306905370844</v>
      </c>
      <c r="V1114" s="26" t="n">
        <f aca="false">IF(T1114="",0,T1114/N1114-1)</f>
        <v>0.221875</v>
      </c>
      <c r="W1114" s="19" t="s">
        <v>1296</v>
      </c>
    </row>
    <row r="1115" customFormat="false" ht="15" hidden="false" customHeight="false" outlineLevel="0" collapsed="false">
      <c r="A1115" s="38" t="n">
        <v>1064</v>
      </c>
      <c r="B1115" s="38" t="s">
        <v>1297</v>
      </c>
      <c r="C1115" s="38" t="s">
        <v>57</v>
      </c>
      <c r="D1115" s="38"/>
      <c r="E1115" s="38" t="s">
        <v>58</v>
      </c>
      <c r="F1115" s="39" t="n">
        <v>3</v>
      </c>
      <c r="G1115" s="39" t="n">
        <v>2</v>
      </c>
      <c r="H1115" s="40" t="n">
        <v>159.96</v>
      </c>
      <c r="I1115" s="40" t="n">
        <v>0</v>
      </c>
      <c r="J1115" s="40" t="n">
        <v>-39.99</v>
      </c>
      <c r="K1115" s="41" t="n">
        <f aca="false">H1115+I1115+J1115</f>
        <v>119.97</v>
      </c>
      <c r="L1115" s="42" t="n">
        <f aca="false">IF($K$1282=0,0,K1115/$K$1282)</f>
        <v>9.93812737442299E-006</v>
      </c>
      <c r="M1115" s="43" t="n">
        <f aca="false">IF(F1115&lt;=0,0,K1115/F1115)</f>
        <v>39.99</v>
      </c>
      <c r="N1115" s="40" t="n">
        <v>39.99</v>
      </c>
      <c r="O1115" s="44" t="n">
        <v>0.91</v>
      </c>
      <c r="P1115" s="43" t="n">
        <f aca="false">O1115*'Price Groups'!$B$5</f>
        <v>20.475</v>
      </c>
      <c r="Q1115" s="45" t="n">
        <f aca="false">IF(OR(N1115="",P1115=""),"",(N1115-P1115)/N1115)</f>
        <v>0.487996999249812</v>
      </c>
      <c r="R1115" s="46" t="n">
        <v>1</v>
      </c>
      <c r="S1115" s="47" t="n">
        <f aca="false">IF(R1115="-",0,IFERROR(VLOOKUP(R1115,'Price Groups'!$A$13:$C$17,3,FALSE()),0))</f>
        <v>0.22</v>
      </c>
      <c r="T1115" s="41" t="n">
        <f aca="false">IF(OR(N1115="",R1115="-"),"",CEILING(ROUND(N1115*(1+S1115),2),IF(N1115*(1+S1115)&lt;100,0.5,IF(N1115*(1+S1115)&lt;1000,1,5))))</f>
        <v>49</v>
      </c>
      <c r="U1115" s="45" t="n">
        <f aca="false">IF(OR(T1115="",P1115=""),"",(T1115-P1115)/T1115)</f>
        <v>0.582142857142857</v>
      </c>
      <c r="V1115" s="45" t="n">
        <f aca="false">IF(T1115="",0,T1115/N1115-1)</f>
        <v>0.225306326581645</v>
      </c>
      <c r="W1115" s="38" t="s">
        <v>94</v>
      </c>
    </row>
    <row r="1116" customFormat="false" ht="15" hidden="false" customHeight="false" outlineLevel="0" collapsed="false">
      <c r="A1116" s="19" t="n">
        <v>1065</v>
      </c>
      <c r="B1116" s="19" t="s">
        <v>1298</v>
      </c>
      <c r="C1116" s="19" t="s">
        <v>57</v>
      </c>
      <c r="D1116" s="19"/>
      <c r="E1116" s="19" t="s">
        <v>58</v>
      </c>
      <c r="F1116" s="20" t="n">
        <v>3</v>
      </c>
      <c r="G1116" s="20" t="n">
        <v>2</v>
      </c>
      <c r="H1116" s="21" t="n">
        <v>284.97</v>
      </c>
      <c r="I1116" s="21" t="n">
        <v>0</v>
      </c>
      <c r="J1116" s="21" t="n">
        <v>0</v>
      </c>
      <c r="K1116" s="22" t="n">
        <f aca="false">H1116+I1116+J1116</f>
        <v>284.97</v>
      </c>
      <c r="L1116" s="23" t="n">
        <f aca="false">IF($K$1282=0,0,K1116/$K$1282)</f>
        <v>2.3606469599811E-005</v>
      </c>
      <c r="M1116" s="24" t="n">
        <f aca="false">IF(F1116&lt;=0,0,K1116/F1116)</f>
        <v>94.99</v>
      </c>
      <c r="N1116" s="21" t="n">
        <v>84.99</v>
      </c>
      <c r="O1116" s="49" t="n">
        <v>2</v>
      </c>
      <c r="P1116" s="24" t="n">
        <f aca="false">O1116*'Price Groups'!$B$5</f>
        <v>45</v>
      </c>
      <c r="Q1116" s="26" t="n">
        <f aca="false">IF(OR(N1116="",P1116=""),"",(N1116-P1116)/N1116)</f>
        <v>0.470525944228733</v>
      </c>
      <c r="R1116" s="27" t="n">
        <v>1</v>
      </c>
      <c r="S1116" s="28" t="n">
        <f aca="false">IF(R1116="-",0,IFERROR(VLOOKUP(R1116,'Price Groups'!$A$13:$C$17,3,FALSE()),0))</f>
        <v>0.22</v>
      </c>
      <c r="T1116" s="22" t="n">
        <f aca="false">IF(OR(N1116="",R1116="-"),"",CEILING(ROUND(N1116*(1+S1116),2),IF(N1116*(1+S1116)&lt;100,0.5,IF(N1116*(1+S1116)&lt;1000,1,5))))</f>
        <v>104</v>
      </c>
      <c r="U1116" s="26" t="n">
        <f aca="false">IF(OR(T1116="",P1116=""),"",(T1116-P1116)/T1116)</f>
        <v>0.567307692307692</v>
      </c>
      <c r="V1116" s="26" t="n">
        <f aca="false">IF(T1116="",0,T1116/N1116-1)</f>
        <v>0.22367337333804</v>
      </c>
      <c r="W1116" s="19" t="s">
        <v>94</v>
      </c>
    </row>
    <row r="1117" customFormat="false" ht="15" hidden="false" customHeight="false" outlineLevel="0" collapsed="false">
      <c r="A1117" s="38" t="n">
        <v>1066</v>
      </c>
      <c r="B1117" s="38" t="s">
        <v>1299</v>
      </c>
      <c r="C1117" s="38" t="s">
        <v>57</v>
      </c>
      <c r="D1117" s="38"/>
      <c r="E1117" s="38" t="s">
        <v>58</v>
      </c>
      <c r="F1117" s="39" t="n">
        <v>3</v>
      </c>
      <c r="G1117" s="39" t="n">
        <v>2</v>
      </c>
      <c r="H1117" s="40" t="n">
        <v>74.97</v>
      </c>
      <c r="I1117" s="40" t="n">
        <v>0</v>
      </c>
      <c r="J1117" s="40" t="n">
        <v>0</v>
      </c>
      <c r="K1117" s="41" t="n">
        <f aca="false">H1117+I1117+J1117</f>
        <v>74.97</v>
      </c>
      <c r="L1117" s="42" t="n">
        <f aca="false">IF($K$1282=0,0,K1117/$K$1282)</f>
        <v>6.21039767658991E-006</v>
      </c>
      <c r="M1117" s="43" t="n">
        <f aca="false">IF(F1117&lt;=0,0,K1117/F1117)</f>
        <v>24.99</v>
      </c>
      <c r="N1117" s="40" t="n">
        <v>24.99</v>
      </c>
      <c r="O1117" s="44" t="n">
        <v>0.49</v>
      </c>
      <c r="P1117" s="43" t="n">
        <f aca="false">O1117*'Price Groups'!$B$5</f>
        <v>11.025</v>
      </c>
      <c r="Q1117" s="45" t="n">
        <f aca="false">IF(OR(N1117="",P1117=""),"",(N1117-P1117)/N1117)</f>
        <v>0.558823529411765</v>
      </c>
      <c r="R1117" s="46" t="n">
        <v>1</v>
      </c>
      <c r="S1117" s="47" t="n">
        <f aca="false">IF(R1117="-",0,IFERROR(VLOOKUP(R1117,'Price Groups'!$A$13:$C$17,3,FALSE()),0))</f>
        <v>0.22</v>
      </c>
      <c r="T1117" s="41" t="n">
        <f aca="false">IF(OR(N1117="",R1117="-"),"",CEILING(ROUND(N1117*(1+S1117),2),IF(N1117*(1+S1117)&lt;100,0.5,IF(N1117*(1+S1117)&lt;1000,1,5))))</f>
        <v>30.5</v>
      </c>
      <c r="U1117" s="45" t="n">
        <f aca="false">IF(OR(T1117="",P1117=""),"",(T1117-P1117)/T1117)</f>
        <v>0.638524590163935</v>
      </c>
      <c r="V1117" s="45" t="n">
        <f aca="false">IF(T1117="",0,T1117/N1117-1)</f>
        <v>0.220488195278111</v>
      </c>
      <c r="W1117" s="38" t="s">
        <v>94</v>
      </c>
    </row>
    <row r="1118" customFormat="false" ht="15" hidden="false" customHeight="false" outlineLevel="0" collapsed="false">
      <c r="A1118" s="19" t="n">
        <v>1067</v>
      </c>
      <c r="B1118" s="19" t="s">
        <v>548</v>
      </c>
      <c r="C1118" s="19" t="s">
        <v>307</v>
      </c>
      <c r="D1118" s="19" t="s">
        <v>547</v>
      </c>
      <c r="E1118" s="19" t="s">
        <v>58</v>
      </c>
      <c r="F1118" s="20" t="n">
        <v>3</v>
      </c>
      <c r="G1118" s="20" t="n">
        <v>4</v>
      </c>
      <c r="H1118" s="21" t="n">
        <v>1504.98</v>
      </c>
      <c r="I1118" s="21" t="n">
        <v>0</v>
      </c>
      <c r="J1118" s="21" t="n">
        <v>-352.5</v>
      </c>
      <c r="K1118" s="22" t="n">
        <f aca="false">H1118+I1118+J1118</f>
        <v>1152.48</v>
      </c>
      <c r="L1118" s="23" t="n">
        <f aca="false">IF($K$1282=0,0,K1118/$K$1282)</f>
        <v>9.54696427146371E-005</v>
      </c>
      <c r="M1118" s="24" t="n">
        <f aca="false">IF(F1118&lt;=0,0,K1118/F1118)</f>
        <v>384.16</v>
      </c>
      <c r="N1118" s="21" t="n">
        <v>410</v>
      </c>
      <c r="O1118" s="49" t="n">
        <v>11</v>
      </c>
      <c r="P1118" s="24" t="n">
        <f aca="false">O1118*'Price Groups'!$B$5</f>
        <v>247.5</v>
      </c>
      <c r="Q1118" s="26" t="n">
        <f aca="false">IF(OR(N1118="",P1118=""),"",(N1118-P1118)/N1118)</f>
        <v>0.396341463414634</v>
      </c>
      <c r="R1118" s="27" t="n">
        <v>1</v>
      </c>
      <c r="S1118" s="28" t="n">
        <f aca="false">IF(R1118="-",0,IFERROR(VLOOKUP(R1118,'Price Groups'!$A$13:$C$17,3,FALSE()),0))</f>
        <v>0.22</v>
      </c>
      <c r="T1118" s="22" t="n">
        <f aca="false">IF(OR(N1118="",R1118="-"),"",CEILING(ROUND(N1118*(1+S1118),2),IF(N1118*(1+S1118)&lt;100,0.5,IF(N1118*(1+S1118)&lt;1000,1,5))))</f>
        <v>501</v>
      </c>
      <c r="U1118" s="26" t="n">
        <f aca="false">IF(OR(T1118="",P1118=""),"",(T1118-P1118)/T1118)</f>
        <v>0.505988023952096</v>
      </c>
      <c r="V1118" s="26" t="n">
        <f aca="false">IF(T1118="",0,T1118/N1118-1)</f>
        <v>0.221951219512195</v>
      </c>
      <c r="W1118" s="19" t="s">
        <v>1300</v>
      </c>
    </row>
    <row r="1119" customFormat="false" ht="15" hidden="false" customHeight="false" outlineLevel="0" collapsed="false">
      <c r="A1119" s="38" t="n">
        <v>1068</v>
      </c>
      <c r="B1119" s="38" t="s">
        <v>1301</v>
      </c>
      <c r="C1119" s="38" t="s">
        <v>57</v>
      </c>
      <c r="D1119" s="38"/>
      <c r="E1119" s="38" t="s">
        <v>1273</v>
      </c>
      <c r="F1119" s="39" t="n">
        <v>2</v>
      </c>
      <c r="G1119" s="39" t="n">
        <v>1</v>
      </c>
      <c r="H1119" s="40" t="n">
        <v>1149.98</v>
      </c>
      <c r="I1119" s="40" t="n">
        <v>0</v>
      </c>
      <c r="J1119" s="40" t="n">
        <v>0</v>
      </c>
      <c r="K1119" s="41" t="n">
        <f aca="false">H1119+I1119+J1119</f>
        <v>1149.98</v>
      </c>
      <c r="L1119" s="42" t="n">
        <f aca="false">IF($K$1282=0,0,K1119/$K$1282)</f>
        <v>9.5262546620313E-005</v>
      </c>
      <c r="M1119" s="43" t="n">
        <f aca="false">IF(F1119&lt;=0,0,K1119/F1119)</f>
        <v>574.99</v>
      </c>
      <c r="N1119" s="40" t="n">
        <v>574.99</v>
      </c>
      <c r="O1119" s="44" t="n">
        <v>17.64</v>
      </c>
      <c r="P1119" s="43" t="n">
        <f aca="false">O1119*'Price Groups'!$B$5</f>
        <v>396.9</v>
      </c>
      <c r="Q1119" s="45" t="n">
        <f aca="false">IF(OR(N1119="",P1119=""),"",(N1119-P1119)/N1119)</f>
        <v>0.309727125689142</v>
      </c>
      <c r="R1119" s="46" t="n">
        <v>1</v>
      </c>
      <c r="S1119" s="47" t="n">
        <f aca="false">IF(R1119="-",0,IFERROR(VLOOKUP(R1119,'Price Groups'!$A$13:$C$17,3,FALSE()),0))</f>
        <v>0.22</v>
      </c>
      <c r="T1119" s="41" t="n">
        <f aca="false">IF(OR(N1119="",R1119="-"),"",CEILING(ROUND(N1119*(1+S1119),2),IF(N1119*(1+S1119)&lt;100,0.5,IF(N1119*(1+S1119)&lt;1000,1,5))))</f>
        <v>702</v>
      </c>
      <c r="U1119" s="45" t="n">
        <f aca="false">IF(OR(T1119="",P1119=""),"",(T1119-P1119)/T1119)</f>
        <v>0.434615384615385</v>
      </c>
      <c r="V1119" s="45" t="n">
        <f aca="false">IF(T1119="",0,T1119/N1119-1)</f>
        <v>0.220890798100837</v>
      </c>
      <c r="W1119" s="38" t="s">
        <v>94</v>
      </c>
    </row>
    <row r="1120" customFormat="false" ht="15" hidden="false" customHeight="false" outlineLevel="0" collapsed="false">
      <c r="A1120" s="19" t="n">
        <v>1069</v>
      </c>
      <c r="B1120" s="19" t="s">
        <v>1302</v>
      </c>
      <c r="C1120" s="19" t="s">
        <v>57</v>
      </c>
      <c r="D1120" s="19"/>
      <c r="E1120" s="19" t="s">
        <v>1273</v>
      </c>
      <c r="F1120" s="20" t="n">
        <v>2</v>
      </c>
      <c r="G1120" s="20" t="n">
        <v>1</v>
      </c>
      <c r="H1120" s="21" t="n">
        <v>1149.98</v>
      </c>
      <c r="I1120" s="21" t="n">
        <v>-114.98</v>
      </c>
      <c r="J1120" s="21" t="n">
        <v>0</v>
      </c>
      <c r="K1120" s="22" t="n">
        <f aca="false">H1120+I1120+J1120</f>
        <v>1035</v>
      </c>
      <c r="L1120" s="23" t="n">
        <f aca="false">IF($K$1282=0,0,K1120/$K$1282)</f>
        <v>8.57377830501608E-005</v>
      </c>
      <c r="M1120" s="24" t="n">
        <f aca="false">IF(F1120&lt;=0,0,K1120/F1120)</f>
        <v>517.5</v>
      </c>
      <c r="N1120" s="21" t="n">
        <v>574.99</v>
      </c>
      <c r="O1120" s="49" t="n">
        <v>17.64</v>
      </c>
      <c r="P1120" s="24" t="n">
        <f aca="false">O1120*'Price Groups'!$B$5</f>
        <v>396.9</v>
      </c>
      <c r="Q1120" s="26" t="n">
        <f aca="false">IF(OR(N1120="",P1120=""),"",(N1120-P1120)/N1120)</f>
        <v>0.309727125689142</v>
      </c>
      <c r="R1120" s="27" t="n">
        <v>1</v>
      </c>
      <c r="S1120" s="28" t="n">
        <f aca="false">IF(R1120="-",0,IFERROR(VLOOKUP(R1120,'Price Groups'!$A$13:$C$17,3,FALSE()),0))</f>
        <v>0.22</v>
      </c>
      <c r="T1120" s="22" t="n">
        <f aca="false">IF(OR(N1120="",R1120="-"),"",CEILING(ROUND(N1120*(1+S1120),2),IF(N1120*(1+S1120)&lt;100,0.5,IF(N1120*(1+S1120)&lt;1000,1,5))))</f>
        <v>702</v>
      </c>
      <c r="U1120" s="26" t="n">
        <f aca="false">IF(OR(T1120="",P1120=""),"",(T1120-P1120)/T1120)</f>
        <v>0.434615384615385</v>
      </c>
      <c r="V1120" s="26" t="n">
        <f aca="false">IF(T1120="",0,T1120/N1120-1)</f>
        <v>0.220890798100837</v>
      </c>
      <c r="W1120" s="19" t="s">
        <v>94</v>
      </c>
    </row>
    <row r="1121" customFormat="false" ht="15" hidden="false" customHeight="false" outlineLevel="0" collapsed="false">
      <c r="A1121" s="38" t="n">
        <v>1070</v>
      </c>
      <c r="B1121" s="38" t="s">
        <v>1303</v>
      </c>
      <c r="C1121" s="38" t="s">
        <v>57</v>
      </c>
      <c r="D1121" s="38"/>
      <c r="E1121" s="38" t="s">
        <v>1273</v>
      </c>
      <c r="F1121" s="39" t="n">
        <v>2</v>
      </c>
      <c r="G1121" s="39" t="n">
        <v>2</v>
      </c>
      <c r="H1121" s="40" t="n">
        <v>1149.98</v>
      </c>
      <c r="I1121" s="40" t="n">
        <v>0</v>
      </c>
      <c r="J1121" s="40" t="n">
        <v>0</v>
      </c>
      <c r="K1121" s="41" t="n">
        <f aca="false">H1121+I1121+J1121</f>
        <v>1149.98</v>
      </c>
      <c r="L1121" s="42" t="n">
        <f aca="false">IF($K$1282=0,0,K1121/$K$1282)</f>
        <v>9.5262546620313E-005</v>
      </c>
      <c r="M1121" s="43" t="n">
        <f aca="false">IF(F1121&lt;=0,0,K1121/F1121)</f>
        <v>574.99</v>
      </c>
      <c r="N1121" s="40" t="n">
        <v>574.99</v>
      </c>
      <c r="O1121" s="44" t="n">
        <v>17.64</v>
      </c>
      <c r="P1121" s="43" t="n">
        <f aca="false">O1121*'Price Groups'!$B$5</f>
        <v>396.9</v>
      </c>
      <c r="Q1121" s="45" t="n">
        <f aca="false">IF(OR(N1121="",P1121=""),"",(N1121-P1121)/N1121)</f>
        <v>0.309727125689142</v>
      </c>
      <c r="R1121" s="46" t="n">
        <v>1</v>
      </c>
      <c r="S1121" s="47" t="n">
        <f aca="false">IF(R1121="-",0,IFERROR(VLOOKUP(R1121,'Price Groups'!$A$13:$C$17,3,FALSE()),0))</f>
        <v>0.22</v>
      </c>
      <c r="T1121" s="41" t="n">
        <f aca="false">IF(OR(N1121="",R1121="-"),"",CEILING(ROUND(N1121*(1+S1121),2),IF(N1121*(1+S1121)&lt;100,0.5,IF(N1121*(1+S1121)&lt;1000,1,5))))</f>
        <v>702</v>
      </c>
      <c r="U1121" s="45" t="n">
        <f aca="false">IF(OR(T1121="",P1121=""),"",(T1121-P1121)/T1121)</f>
        <v>0.434615384615385</v>
      </c>
      <c r="V1121" s="45" t="n">
        <f aca="false">IF(T1121="",0,T1121/N1121-1)</f>
        <v>0.220890798100837</v>
      </c>
      <c r="W1121" s="38" t="s">
        <v>94</v>
      </c>
    </row>
    <row r="1122" customFormat="false" ht="15" hidden="false" customHeight="false" outlineLevel="0" collapsed="false">
      <c r="A1122" s="19" t="n">
        <v>1071</v>
      </c>
      <c r="B1122" s="19" t="s">
        <v>1304</v>
      </c>
      <c r="C1122" s="19" t="s">
        <v>57</v>
      </c>
      <c r="D1122" s="19"/>
      <c r="E1122" s="19" t="s">
        <v>58</v>
      </c>
      <c r="F1122" s="20" t="n">
        <v>2</v>
      </c>
      <c r="G1122" s="20" t="n">
        <v>1</v>
      </c>
      <c r="H1122" s="21" t="n">
        <v>239.98</v>
      </c>
      <c r="I1122" s="21" t="n">
        <v>-24</v>
      </c>
      <c r="J1122" s="21" t="n">
        <v>0</v>
      </c>
      <c r="K1122" s="22" t="n">
        <f aca="false">H1122+I1122+J1122</f>
        <v>215.98</v>
      </c>
      <c r="L1122" s="23" t="n">
        <f aca="false">IF($K$1282=0,0,K1122/$K$1282)</f>
        <v>1.78914457808442E-005</v>
      </c>
      <c r="M1122" s="24" t="n">
        <f aca="false">IF(F1122&lt;=0,0,K1122/F1122)</f>
        <v>107.99</v>
      </c>
      <c r="N1122" s="21" t="n">
        <v>79.99</v>
      </c>
      <c r="O1122" s="49" t="n">
        <v>2.5</v>
      </c>
      <c r="P1122" s="24" t="n">
        <f aca="false">O1122*'Price Groups'!$B$5</f>
        <v>56.25</v>
      </c>
      <c r="Q1122" s="26" t="n">
        <f aca="false">IF(OR(N1122="",P1122=""),"",(N1122-P1122)/N1122)</f>
        <v>0.296787098387298</v>
      </c>
      <c r="R1122" s="27" t="n">
        <v>1</v>
      </c>
      <c r="S1122" s="28" t="n">
        <f aca="false">IF(R1122="-",0,IFERROR(VLOOKUP(R1122,'Price Groups'!$A$13:$C$17,3,FALSE()),0))</f>
        <v>0.22</v>
      </c>
      <c r="T1122" s="22" t="n">
        <f aca="false">IF(OR(N1122="",R1122="-"),"",CEILING(ROUND(N1122*(1+S1122),2),IF(N1122*(1+S1122)&lt;100,0.5,IF(N1122*(1+S1122)&lt;1000,1,5))))</f>
        <v>98</v>
      </c>
      <c r="U1122" s="26" t="n">
        <f aca="false">IF(OR(T1122="",P1122=""),"",(T1122-P1122)/T1122)</f>
        <v>0.426020408163265</v>
      </c>
      <c r="V1122" s="26" t="n">
        <f aca="false">IF(T1122="",0,T1122/N1122-1)</f>
        <v>0.225153144143018</v>
      </c>
      <c r="W1122" s="19" t="s">
        <v>94</v>
      </c>
    </row>
    <row r="1123" customFormat="false" ht="15" hidden="false" customHeight="false" outlineLevel="0" collapsed="false">
      <c r="A1123" s="38" t="n">
        <v>1072</v>
      </c>
      <c r="B1123" s="38" t="s">
        <v>1305</v>
      </c>
      <c r="C1123" s="38" t="s">
        <v>57</v>
      </c>
      <c r="D1123" s="38"/>
      <c r="E1123" s="38" t="s">
        <v>58</v>
      </c>
      <c r="F1123" s="39" t="n">
        <v>2</v>
      </c>
      <c r="G1123" s="39" t="n">
        <v>2</v>
      </c>
      <c r="H1123" s="40" t="n">
        <v>749.98</v>
      </c>
      <c r="I1123" s="40" t="n">
        <v>0</v>
      </c>
      <c r="J1123" s="40" t="n">
        <v>0</v>
      </c>
      <c r="K1123" s="41" t="n">
        <f aca="false">H1123+I1123+J1123</f>
        <v>749.98</v>
      </c>
      <c r="L1123" s="42" t="n">
        <f aca="false">IF($K$1282=0,0,K1123/$K$1282)</f>
        <v>6.21271715284634E-005</v>
      </c>
      <c r="M1123" s="43" t="n">
        <f aca="false">IF(F1123&lt;=0,0,K1123/F1123)</f>
        <v>374.99</v>
      </c>
      <c r="N1123" s="40" t="n">
        <v>399.99</v>
      </c>
      <c r="O1123" s="44" t="n">
        <v>6.75</v>
      </c>
      <c r="P1123" s="43" t="n">
        <f aca="false">O1123*'Price Groups'!$B$5</f>
        <v>151.875</v>
      </c>
      <c r="Q1123" s="45" t="n">
        <f aca="false">IF(OR(N1123="",P1123=""),"",(N1123-P1123)/N1123)</f>
        <v>0.620303007575189</v>
      </c>
      <c r="R1123" s="46" t="n">
        <v>1</v>
      </c>
      <c r="S1123" s="47" t="n">
        <f aca="false">IF(R1123="-",0,IFERROR(VLOOKUP(R1123,'Price Groups'!$A$13:$C$17,3,FALSE()),0))</f>
        <v>0.22</v>
      </c>
      <c r="T1123" s="41" t="n">
        <f aca="false">IF(OR(N1123="",R1123="-"),"",CEILING(ROUND(N1123*(1+S1123),2),IF(N1123*(1+S1123)&lt;100,0.5,IF(N1123*(1+S1123)&lt;1000,1,5))))</f>
        <v>488</v>
      </c>
      <c r="U1123" s="45" t="n">
        <f aca="false">IF(OR(T1123="",P1123=""),"",(T1123-P1123)/T1123)</f>
        <v>0.688780737704918</v>
      </c>
      <c r="V1123" s="45" t="n">
        <f aca="false">IF(T1123="",0,T1123/N1123-1)</f>
        <v>0.220030500762519</v>
      </c>
      <c r="W1123" s="38" t="s">
        <v>94</v>
      </c>
    </row>
    <row r="1124" customFormat="false" ht="15" hidden="false" customHeight="false" outlineLevel="0" collapsed="false">
      <c r="A1124" s="19" t="n">
        <v>1073</v>
      </c>
      <c r="B1124" s="19" t="s">
        <v>472</v>
      </c>
      <c r="C1124" s="19" t="s">
        <v>307</v>
      </c>
      <c r="D1124" s="19" t="s">
        <v>471</v>
      </c>
      <c r="E1124" s="19" t="s">
        <v>58</v>
      </c>
      <c r="F1124" s="20" t="n">
        <v>2</v>
      </c>
      <c r="G1124" s="20" t="n">
        <v>2</v>
      </c>
      <c r="H1124" s="21" t="n">
        <v>2300</v>
      </c>
      <c r="I1124" s="21" t="n">
        <v>0</v>
      </c>
      <c r="J1124" s="21" t="n">
        <v>0</v>
      </c>
      <c r="K1124" s="22" t="n">
        <f aca="false">H1124+I1124+J1124</f>
        <v>2300</v>
      </c>
      <c r="L1124" s="23" t="n">
        <f aca="false">IF($K$1282=0,0,K1124/$K$1282)</f>
        <v>0.000190528406778135</v>
      </c>
      <c r="M1124" s="24" t="n">
        <f aca="false">IF(F1124&lt;=0,0,K1124/F1124)</f>
        <v>1150</v>
      </c>
      <c r="N1124" s="21" t="n">
        <v>1150</v>
      </c>
      <c r="O1124" s="49" t="n">
        <v>45</v>
      </c>
      <c r="P1124" s="24" t="n">
        <f aca="false">O1124*'Price Groups'!$B$5</f>
        <v>1012.5</v>
      </c>
      <c r="Q1124" s="26" t="n">
        <f aca="false">IF(OR(N1124="",P1124=""),"",(N1124-P1124)/N1124)</f>
        <v>0.119565217391304</v>
      </c>
      <c r="R1124" s="27" t="n">
        <v>1</v>
      </c>
      <c r="S1124" s="28" t="n">
        <f aca="false">IF(R1124="-",0,IFERROR(VLOOKUP(R1124,'Price Groups'!$A$13:$C$17,3,FALSE()),0))</f>
        <v>0.22</v>
      </c>
      <c r="T1124" s="22" t="n">
        <f aca="false">IF(OR(N1124="",R1124="-"),"",CEILING(ROUND(N1124*(1+S1124),2),IF(N1124*(1+S1124)&lt;100,0.5,IF(N1124*(1+S1124)&lt;1000,1,5))))</f>
        <v>1405</v>
      </c>
      <c r="U1124" s="26" t="n">
        <f aca="false">IF(OR(T1124="",P1124=""),"",(T1124-P1124)/T1124)</f>
        <v>0.279359430604982</v>
      </c>
      <c r="V1124" s="26" t="n">
        <f aca="false">IF(T1124="",0,T1124/N1124-1)</f>
        <v>0.221739130434783</v>
      </c>
      <c r="W1124" s="19" t="s">
        <v>1306</v>
      </c>
    </row>
    <row r="1125" customFormat="false" ht="15" hidden="false" customHeight="false" outlineLevel="0" collapsed="false">
      <c r="A1125" s="38" t="n">
        <v>1074</v>
      </c>
      <c r="B1125" s="38" t="s">
        <v>1307</v>
      </c>
      <c r="C1125" s="38" t="s">
        <v>57</v>
      </c>
      <c r="D1125" s="38"/>
      <c r="E1125" s="38" t="s">
        <v>58</v>
      </c>
      <c r="F1125" s="39" t="n">
        <v>2</v>
      </c>
      <c r="G1125" s="39" t="n">
        <v>2</v>
      </c>
      <c r="H1125" s="40" t="n">
        <v>218</v>
      </c>
      <c r="I1125" s="40" t="n">
        <v>0</v>
      </c>
      <c r="J1125" s="40" t="n">
        <v>0</v>
      </c>
      <c r="K1125" s="41" t="n">
        <f aca="false">H1125+I1125+J1125</f>
        <v>218</v>
      </c>
      <c r="L1125" s="42" t="n">
        <f aca="false">IF($K$1282=0,0,K1125/$K$1282)</f>
        <v>1.8058779425058E-005</v>
      </c>
      <c r="M1125" s="43" t="n">
        <f aca="false">IF(F1125&lt;=0,0,K1125/F1125)</f>
        <v>109</v>
      </c>
      <c r="N1125" s="40" t="n">
        <v>184.25</v>
      </c>
      <c r="O1125" s="44" t="n">
        <v>6.5</v>
      </c>
      <c r="P1125" s="43" t="n">
        <f aca="false">O1125*'Price Groups'!$B$5</f>
        <v>146.25</v>
      </c>
      <c r="Q1125" s="45" t="n">
        <f aca="false">IF(OR(N1125="",P1125=""),"",(N1125-P1125)/N1125)</f>
        <v>0.206241519674356</v>
      </c>
      <c r="R1125" s="46" t="n">
        <v>1</v>
      </c>
      <c r="S1125" s="47" t="n">
        <f aca="false">IF(R1125="-",0,IFERROR(VLOOKUP(R1125,'Price Groups'!$A$13:$C$17,3,FALSE()),0))</f>
        <v>0.22</v>
      </c>
      <c r="T1125" s="41" t="n">
        <f aca="false">IF(OR(N1125="",R1125="-"),"",CEILING(ROUND(N1125*(1+S1125),2),IF(N1125*(1+S1125)&lt;100,0.5,IF(N1125*(1+S1125)&lt;1000,1,5))))</f>
        <v>225</v>
      </c>
      <c r="U1125" s="45" t="n">
        <f aca="false">IF(OR(T1125="",P1125=""),"",(T1125-P1125)/T1125)</f>
        <v>0.35</v>
      </c>
      <c r="V1125" s="45" t="n">
        <f aca="false">IF(T1125="",0,T1125/N1125-1)</f>
        <v>0.221166892808684</v>
      </c>
      <c r="W1125" s="38" t="s">
        <v>333</v>
      </c>
    </row>
    <row r="1126" customFormat="false" ht="15" hidden="false" customHeight="false" outlineLevel="0" collapsed="false">
      <c r="A1126" s="19" t="n">
        <v>1075</v>
      </c>
      <c r="B1126" s="19" t="s">
        <v>1308</v>
      </c>
      <c r="C1126" s="19" t="s">
        <v>57</v>
      </c>
      <c r="D1126" s="19"/>
      <c r="E1126" s="19" t="s">
        <v>58</v>
      </c>
      <c r="F1126" s="20" t="n">
        <v>2</v>
      </c>
      <c r="G1126" s="20" t="n">
        <v>2</v>
      </c>
      <c r="H1126" s="21" t="n">
        <v>99.98</v>
      </c>
      <c r="I1126" s="21" t="n">
        <v>0</v>
      </c>
      <c r="J1126" s="21" t="n">
        <v>0</v>
      </c>
      <c r="K1126" s="22" t="n">
        <f aca="false">H1126+I1126+J1126</f>
        <v>99.98</v>
      </c>
      <c r="L1126" s="23" t="n">
        <f aca="false">IF($K$1282=0,0,K1126/$K$1282)</f>
        <v>8.28218700420781E-006</v>
      </c>
      <c r="M1126" s="24" t="n">
        <f aca="false">IF(F1126&lt;=0,0,K1126/F1126)</f>
        <v>49.99</v>
      </c>
      <c r="N1126" s="21" t="n">
        <v>49.99</v>
      </c>
      <c r="O1126" s="49" t="n">
        <v>1</v>
      </c>
      <c r="P1126" s="24" t="n">
        <f aca="false">O1126*'Price Groups'!$B$5</f>
        <v>22.5</v>
      </c>
      <c r="Q1126" s="26" t="n">
        <f aca="false">IF(OR(N1126="",P1126=""),"",(N1126-P1126)/N1126)</f>
        <v>0.549909981996399</v>
      </c>
      <c r="R1126" s="27" t="n">
        <v>1</v>
      </c>
      <c r="S1126" s="28" t="n">
        <f aca="false">IF(R1126="-",0,IFERROR(VLOOKUP(R1126,'Price Groups'!$A$13:$C$17,3,FALSE()),0))</f>
        <v>0.22</v>
      </c>
      <c r="T1126" s="22" t="n">
        <f aca="false">IF(OR(N1126="",R1126="-"),"",CEILING(ROUND(N1126*(1+S1126),2),IF(N1126*(1+S1126)&lt;100,0.5,IF(N1126*(1+S1126)&lt;1000,1,5))))</f>
        <v>61</v>
      </c>
      <c r="U1126" s="26" t="n">
        <f aca="false">IF(OR(T1126="",P1126=""),"",(T1126-P1126)/T1126)</f>
        <v>0.631147540983607</v>
      </c>
      <c r="V1126" s="26" t="n">
        <f aca="false">IF(T1126="",0,T1126/N1126-1)</f>
        <v>0.220244048809762</v>
      </c>
      <c r="W1126" s="19" t="s">
        <v>94</v>
      </c>
    </row>
    <row r="1127" customFormat="false" ht="15" hidden="false" customHeight="false" outlineLevel="0" collapsed="false">
      <c r="A1127" s="38" t="n">
        <v>1076</v>
      </c>
      <c r="B1127" s="38" t="s">
        <v>1309</v>
      </c>
      <c r="C1127" s="38" t="s">
        <v>57</v>
      </c>
      <c r="D1127" s="38"/>
      <c r="E1127" s="38" t="s">
        <v>58</v>
      </c>
      <c r="F1127" s="39" t="n">
        <v>2</v>
      </c>
      <c r="G1127" s="39" t="n">
        <v>2</v>
      </c>
      <c r="H1127" s="40" t="n">
        <v>599.98</v>
      </c>
      <c r="I1127" s="40" t="n">
        <v>0</v>
      </c>
      <c r="J1127" s="40" t="n">
        <v>0</v>
      </c>
      <c r="K1127" s="41" t="n">
        <f aca="false">H1127+I1127+J1127</f>
        <v>599.98</v>
      </c>
      <c r="L1127" s="42" t="n">
        <f aca="false">IF($K$1282=0,0,K1127/$K$1282)</f>
        <v>4.97014058690198E-005</v>
      </c>
      <c r="M1127" s="43" t="n">
        <f aca="false">IF(F1127&lt;=0,0,K1127/F1127)</f>
        <v>299.99</v>
      </c>
      <c r="N1127" s="40" t="n">
        <v>299.99</v>
      </c>
      <c r="O1127" s="44" t="n">
        <v>8.11</v>
      </c>
      <c r="P1127" s="43" t="n">
        <f aca="false">O1127*'Price Groups'!$B$5</f>
        <v>182.475</v>
      </c>
      <c r="Q1127" s="45" t="n">
        <f aca="false">IF(OR(N1127="",P1127=""),"",(N1127-P1127)/N1127)</f>
        <v>0.391729724324144</v>
      </c>
      <c r="R1127" s="46" t="n">
        <v>1</v>
      </c>
      <c r="S1127" s="47" t="n">
        <f aca="false">IF(R1127="-",0,IFERROR(VLOOKUP(R1127,'Price Groups'!$A$13:$C$17,3,FALSE()),0))</f>
        <v>0.22</v>
      </c>
      <c r="T1127" s="41" t="n">
        <f aca="false">IF(OR(N1127="",R1127="-"),"",CEILING(ROUND(N1127*(1+S1127),2),IF(N1127*(1+S1127)&lt;100,0.5,IF(N1127*(1+S1127)&lt;1000,1,5))))</f>
        <v>366</v>
      </c>
      <c r="U1127" s="45" t="n">
        <f aca="false">IF(OR(T1127="",P1127=""),"",(T1127-P1127)/T1127)</f>
        <v>0.501434426229508</v>
      </c>
      <c r="V1127" s="45" t="n">
        <f aca="false">IF(T1127="",0,T1127/N1127-1)</f>
        <v>0.220040668022267</v>
      </c>
      <c r="W1127" s="38" t="s">
        <v>94</v>
      </c>
    </row>
    <row r="1128" customFormat="false" ht="15" hidden="false" customHeight="false" outlineLevel="0" collapsed="false">
      <c r="A1128" s="19" t="n">
        <v>1077</v>
      </c>
      <c r="B1128" s="19" t="s">
        <v>1310</v>
      </c>
      <c r="C1128" s="19" t="s">
        <v>57</v>
      </c>
      <c r="D1128" s="19"/>
      <c r="E1128" s="19" t="s">
        <v>58</v>
      </c>
      <c r="F1128" s="20" t="n">
        <v>2</v>
      </c>
      <c r="G1128" s="20" t="n">
        <v>3</v>
      </c>
      <c r="H1128" s="21" t="n">
        <v>534.97</v>
      </c>
      <c r="I1128" s="21" t="n">
        <v>0</v>
      </c>
      <c r="J1128" s="21" t="n">
        <v>-174.99</v>
      </c>
      <c r="K1128" s="22" t="n">
        <f aca="false">H1128+I1128+J1128</f>
        <v>359.98</v>
      </c>
      <c r="L1128" s="23" t="n">
        <f aca="false">IF($K$1282=0,0,K1128/$K$1282)</f>
        <v>2.98201808139101E-005</v>
      </c>
      <c r="M1128" s="24" t="n">
        <f aca="false">IF(F1128&lt;=0,0,K1128/F1128)</f>
        <v>179.99</v>
      </c>
      <c r="N1128" s="21" t="n">
        <v>174.99</v>
      </c>
      <c r="O1128" s="49" t="n">
        <v>5</v>
      </c>
      <c r="P1128" s="24" t="n">
        <f aca="false">O1128*'Price Groups'!$B$5</f>
        <v>112.5</v>
      </c>
      <c r="Q1128" s="26" t="n">
        <f aca="false">IF(OR(N1128="",P1128=""),"",(N1128-P1128)/N1128)</f>
        <v>0.357106120349734</v>
      </c>
      <c r="R1128" s="27" t="n">
        <v>1</v>
      </c>
      <c r="S1128" s="28" t="n">
        <f aca="false">IF(R1128="-",0,IFERROR(VLOOKUP(R1128,'Price Groups'!$A$13:$C$17,3,FALSE()),0))</f>
        <v>0.22</v>
      </c>
      <c r="T1128" s="22" t="n">
        <f aca="false">IF(OR(N1128="",R1128="-"),"",CEILING(ROUND(N1128*(1+S1128),2),IF(N1128*(1+S1128)&lt;100,0.5,IF(N1128*(1+S1128)&lt;1000,1,5))))</f>
        <v>214</v>
      </c>
      <c r="U1128" s="26" t="n">
        <f aca="false">IF(OR(T1128="",P1128=""),"",(T1128-P1128)/T1128)</f>
        <v>0.474299065420561</v>
      </c>
      <c r="V1128" s="26" t="n">
        <f aca="false">IF(T1128="",0,T1128/N1128-1)</f>
        <v>0.222927024401394</v>
      </c>
      <c r="W1128" s="19" t="s">
        <v>94</v>
      </c>
    </row>
    <row r="1129" customFormat="false" ht="15" hidden="false" customHeight="false" outlineLevel="0" collapsed="false">
      <c r="A1129" s="38" t="n">
        <v>1078</v>
      </c>
      <c r="B1129" s="38" t="s">
        <v>1311</v>
      </c>
      <c r="C1129" s="38" t="s">
        <v>57</v>
      </c>
      <c r="D1129" s="38"/>
      <c r="E1129" s="38" t="s">
        <v>58</v>
      </c>
      <c r="F1129" s="39" t="n">
        <v>2</v>
      </c>
      <c r="G1129" s="39" t="n">
        <v>2</v>
      </c>
      <c r="H1129" s="40" t="n">
        <v>359.98</v>
      </c>
      <c r="I1129" s="40" t="n">
        <v>0</v>
      </c>
      <c r="J1129" s="40" t="n">
        <v>0</v>
      </c>
      <c r="K1129" s="41" t="n">
        <f aca="false">H1129+I1129+J1129</f>
        <v>359.98</v>
      </c>
      <c r="L1129" s="42" t="n">
        <f aca="false">IF($K$1282=0,0,K1129/$K$1282)</f>
        <v>2.98201808139101E-005</v>
      </c>
      <c r="M1129" s="43" t="n">
        <f aca="false">IF(F1129&lt;=0,0,K1129/F1129)</f>
        <v>179.99</v>
      </c>
      <c r="N1129" s="40" t="n">
        <v>179.99</v>
      </c>
      <c r="O1129" s="44" t="n">
        <v>5</v>
      </c>
      <c r="P1129" s="43" t="n">
        <f aca="false">O1129*'Price Groups'!$B$5</f>
        <v>112.5</v>
      </c>
      <c r="Q1129" s="45" t="n">
        <f aca="false">IF(OR(N1129="",P1129=""),"",(N1129-P1129)/N1129)</f>
        <v>0.374965275848658</v>
      </c>
      <c r="R1129" s="46" t="n">
        <v>1</v>
      </c>
      <c r="S1129" s="47" t="n">
        <f aca="false">IF(R1129="-",0,IFERROR(VLOOKUP(R1129,'Price Groups'!$A$13:$C$17,3,FALSE()),0))</f>
        <v>0.22</v>
      </c>
      <c r="T1129" s="41" t="n">
        <f aca="false">IF(OR(N1129="",R1129="-"),"",CEILING(ROUND(N1129*(1+S1129),2),IF(N1129*(1+S1129)&lt;100,0.5,IF(N1129*(1+S1129)&lt;1000,1,5))))</f>
        <v>220</v>
      </c>
      <c r="U1129" s="45" t="n">
        <f aca="false">IF(OR(T1129="",P1129=""),"",(T1129-P1129)/T1129)</f>
        <v>0.488636363636364</v>
      </c>
      <c r="V1129" s="45" t="n">
        <f aca="false">IF(T1129="",0,T1129/N1129-1)</f>
        <v>0.222290127229291</v>
      </c>
      <c r="W1129" s="38" t="s">
        <v>94</v>
      </c>
    </row>
    <row r="1130" customFormat="false" ht="15" hidden="false" customHeight="false" outlineLevel="0" collapsed="false">
      <c r="A1130" s="19" t="n">
        <v>1079</v>
      </c>
      <c r="B1130" s="19" t="s">
        <v>1312</v>
      </c>
      <c r="C1130" s="19" t="s">
        <v>57</v>
      </c>
      <c r="D1130" s="19"/>
      <c r="E1130" s="19" t="s">
        <v>58</v>
      </c>
      <c r="F1130" s="20" t="n">
        <v>2</v>
      </c>
      <c r="G1130" s="20" t="n">
        <v>3</v>
      </c>
      <c r="H1130" s="21" t="n">
        <v>736.22</v>
      </c>
      <c r="I1130" s="21" t="n">
        <v>0</v>
      </c>
      <c r="J1130" s="21" t="n">
        <v>-199.99</v>
      </c>
      <c r="K1130" s="22" t="n">
        <f aca="false">H1130+I1130+J1130</f>
        <v>536.23</v>
      </c>
      <c r="L1130" s="23" t="n">
        <f aca="false">IF($K$1282=0,0,K1130/$K$1282)</f>
        <v>4.44204554637563E-005</v>
      </c>
      <c r="M1130" s="24" t="n">
        <f aca="false">IF(F1130&lt;=0,0,K1130/F1130)</f>
        <v>268.115</v>
      </c>
      <c r="N1130" s="21" t="n">
        <v>199.99</v>
      </c>
      <c r="O1130" s="49" t="n">
        <v>6.3</v>
      </c>
      <c r="P1130" s="24" t="n">
        <f aca="false">O1130*'Price Groups'!$B$5</f>
        <v>141.75</v>
      </c>
      <c r="Q1130" s="26" t="n">
        <f aca="false">IF(OR(N1130="",P1130=""),"",(N1130-P1130)/N1130)</f>
        <v>0.291214560728036</v>
      </c>
      <c r="R1130" s="27" t="n">
        <v>1</v>
      </c>
      <c r="S1130" s="28" t="n">
        <f aca="false">IF(R1130="-",0,IFERROR(VLOOKUP(R1130,'Price Groups'!$A$13:$C$17,3,FALSE()),0))</f>
        <v>0.22</v>
      </c>
      <c r="T1130" s="22" t="n">
        <f aca="false">IF(OR(N1130="",R1130="-"),"",CEILING(ROUND(N1130*(1+S1130),2),IF(N1130*(1+S1130)&lt;100,0.5,IF(N1130*(1+S1130)&lt;1000,1,5))))</f>
        <v>244</v>
      </c>
      <c r="U1130" s="26" t="n">
        <f aca="false">IF(OR(T1130="",P1130=""),"",(T1130-P1130)/T1130)</f>
        <v>0.41905737704918</v>
      </c>
      <c r="V1130" s="26" t="n">
        <f aca="false">IF(T1130="",0,T1130/N1130-1)</f>
        <v>0.220061003050152</v>
      </c>
      <c r="W1130" s="19" t="s">
        <v>94</v>
      </c>
    </row>
    <row r="1131" customFormat="false" ht="15" hidden="false" customHeight="false" outlineLevel="0" collapsed="false">
      <c r="A1131" s="38" t="n">
        <v>1080</v>
      </c>
      <c r="B1131" s="38" t="s">
        <v>1313</v>
      </c>
      <c r="C1131" s="38" t="s">
        <v>57</v>
      </c>
      <c r="D1131" s="38"/>
      <c r="E1131" s="38" t="s">
        <v>58</v>
      </c>
      <c r="F1131" s="39" t="n">
        <v>2</v>
      </c>
      <c r="G1131" s="39" t="n">
        <v>2</v>
      </c>
      <c r="H1131" s="40" t="n">
        <v>326.1</v>
      </c>
      <c r="I1131" s="40" t="n">
        <v>-16.3</v>
      </c>
      <c r="J1131" s="40" t="n">
        <v>0</v>
      </c>
      <c r="K1131" s="41" t="n">
        <f aca="false">H1131+I1131+J1131</f>
        <v>309.8</v>
      </c>
      <c r="L1131" s="42" t="n">
        <f aca="false">IF($K$1282=0,0,K1131/$K$1282)</f>
        <v>2.56633480086375E-005</v>
      </c>
      <c r="M1131" s="43" t="n">
        <f aca="false">IF(F1131&lt;=0,0,K1131/F1131)</f>
        <v>154.9</v>
      </c>
      <c r="N1131" s="40" t="n">
        <v>163.05</v>
      </c>
      <c r="O1131" s="44" t="n">
        <v>6.3</v>
      </c>
      <c r="P1131" s="43" t="n">
        <f aca="false">O1131*'Price Groups'!$B$5</f>
        <v>141.75</v>
      </c>
      <c r="Q1131" s="45" t="n">
        <f aca="false">IF(OR(N1131="",P1131=""),"",(N1131-P1131)/N1131)</f>
        <v>0.130634774609016</v>
      </c>
      <c r="R1131" s="46" t="n">
        <v>1</v>
      </c>
      <c r="S1131" s="47" t="n">
        <f aca="false">IF(R1131="-",0,IFERROR(VLOOKUP(R1131,'Price Groups'!$A$13:$C$17,3,FALSE()),0))</f>
        <v>0.22</v>
      </c>
      <c r="T1131" s="41" t="n">
        <f aca="false">IF(OR(N1131="",R1131="-"),"",CEILING(ROUND(N1131*(1+S1131),2),IF(N1131*(1+S1131)&lt;100,0.5,IF(N1131*(1+S1131)&lt;1000,1,5))))</f>
        <v>199</v>
      </c>
      <c r="U1131" s="45" t="n">
        <f aca="false">IF(OR(T1131="",P1131=""),"",(T1131-P1131)/T1131)</f>
        <v>0.287688442211055</v>
      </c>
      <c r="V1131" s="45" t="n">
        <f aca="false">IF(T1131="",0,T1131/N1131-1)</f>
        <v>0.220484513952775</v>
      </c>
      <c r="W1131" s="38" t="s">
        <v>476</v>
      </c>
    </row>
    <row r="1132" customFormat="false" ht="15" hidden="false" customHeight="false" outlineLevel="0" collapsed="false">
      <c r="A1132" s="19" t="n">
        <v>1081</v>
      </c>
      <c r="B1132" s="19" t="s">
        <v>1314</v>
      </c>
      <c r="C1132" s="19" t="s">
        <v>57</v>
      </c>
      <c r="D1132" s="19"/>
      <c r="E1132" s="19" t="s">
        <v>58</v>
      </c>
      <c r="F1132" s="20" t="n">
        <v>2</v>
      </c>
      <c r="G1132" s="20" t="n">
        <v>3</v>
      </c>
      <c r="H1132" s="21" t="n">
        <v>660</v>
      </c>
      <c r="I1132" s="21" t="n">
        <v>-11</v>
      </c>
      <c r="J1132" s="21" t="n">
        <v>-209</v>
      </c>
      <c r="K1132" s="22" t="n">
        <f aca="false">H1132+I1132+J1132</f>
        <v>440</v>
      </c>
      <c r="L1132" s="23" t="n">
        <f aca="false">IF($K$1282=0,0,K1132/$K$1282)</f>
        <v>3.64489126010346E-005</v>
      </c>
      <c r="M1132" s="24" t="n">
        <f aca="false">IF(F1132&lt;=0,0,K1132/F1132)</f>
        <v>220</v>
      </c>
      <c r="N1132" s="21" t="n">
        <v>220</v>
      </c>
      <c r="O1132" s="49" t="n">
        <v>5.57</v>
      </c>
      <c r="P1132" s="24" t="n">
        <f aca="false">O1132*'Price Groups'!$B$5</f>
        <v>125.325</v>
      </c>
      <c r="Q1132" s="26" t="n">
        <f aca="false">IF(OR(N1132="",P1132=""),"",(N1132-P1132)/N1132)</f>
        <v>0.430340909090909</v>
      </c>
      <c r="R1132" s="27" t="n">
        <v>1</v>
      </c>
      <c r="S1132" s="28" t="n">
        <f aca="false">IF(R1132="-",0,IFERROR(VLOOKUP(R1132,'Price Groups'!$A$13:$C$17,3,FALSE()),0))</f>
        <v>0.22</v>
      </c>
      <c r="T1132" s="22" t="n">
        <f aca="false">IF(OR(N1132="",R1132="-"),"",CEILING(ROUND(N1132*(1+S1132),2),IF(N1132*(1+S1132)&lt;100,0.5,IF(N1132*(1+S1132)&lt;1000,1,5))))</f>
        <v>269</v>
      </c>
      <c r="U1132" s="26" t="n">
        <f aca="false">IF(OR(T1132="",P1132=""),"",(T1132-P1132)/T1132)</f>
        <v>0.53410780669145</v>
      </c>
      <c r="V1132" s="26" t="n">
        <f aca="false">IF(T1132="",0,T1132/N1132-1)</f>
        <v>0.222727272727273</v>
      </c>
      <c r="W1132" s="19" t="s">
        <v>94</v>
      </c>
    </row>
    <row r="1133" customFormat="false" ht="15" hidden="false" customHeight="false" outlineLevel="0" collapsed="false">
      <c r="A1133" s="38" t="n">
        <v>1082</v>
      </c>
      <c r="B1133" s="38" t="s">
        <v>1315</v>
      </c>
      <c r="C1133" s="38" t="s">
        <v>57</v>
      </c>
      <c r="D1133" s="38"/>
      <c r="E1133" s="38" t="s">
        <v>58</v>
      </c>
      <c r="F1133" s="39" t="n">
        <v>2</v>
      </c>
      <c r="G1133" s="39" t="n">
        <v>3</v>
      </c>
      <c r="H1133" s="40" t="n">
        <v>1039.96</v>
      </c>
      <c r="I1133" s="40" t="n">
        <v>-51.98</v>
      </c>
      <c r="J1133" s="40" t="n">
        <v>-519.98</v>
      </c>
      <c r="K1133" s="41" t="n">
        <f aca="false">H1133+I1133+J1133</f>
        <v>468</v>
      </c>
      <c r="L1133" s="42" t="n">
        <f aca="false">IF($K$1282=0,0,K1133/$K$1282)</f>
        <v>3.8768388857464E-005</v>
      </c>
      <c r="M1133" s="43" t="n">
        <f aca="false">IF(F1133&lt;=0,0,K1133/F1133)</f>
        <v>234</v>
      </c>
      <c r="N1133" s="40" t="n">
        <v>259.99</v>
      </c>
      <c r="O1133" s="44" t="n">
        <v>7.22</v>
      </c>
      <c r="P1133" s="43" t="n">
        <f aca="false">O1133*'Price Groups'!$B$5</f>
        <v>162.45</v>
      </c>
      <c r="Q1133" s="45" t="n">
        <f aca="false">IF(OR(N1133="",P1133=""),"",(N1133-P1133)/N1133)</f>
        <v>0.375168275702912</v>
      </c>
      <c r="R1133" s="46" t="n">
        <v>1</v>
      </c>
      <c r="S1133" s="47" t="n">
        <f aca="false">IF(R1133="-",0,IFERROR(VLOOKUP(R1133,'Price Groups'!$A$13:$C$17,3,FALSE()),0))</f>
        <v>0.22</v>
      </c>
      <c r="T1133" s="41" t="n">
        <f aca="false">IF(OR(N1133="",R1133="-"),"",CEILING(ROUND(N1133*(1+S1133),2),IF(N1133*(1+S1133)&lt;100,0.5,IF(N1133*(1+S1133)&lt;1000,1,5))))</f>
        <v>318</v>
      </c>
      <c r="U1133" s="45" t="n">
        <f aca="false">IF(OR(T1133="",P1133=""),"",(T1133-P1133)/T1133)</f>
        <v>0.489150943396226</v>
      </c>
      <c r="V1133" s="45" t="n">
        <f aca="false">IF(T1133="",0,T1133/N1133-1)</f>
        <v>0.223123966306396</v>
      </c>
      <c r="W1133" s="38" t="s">
        <v>94</v>
      </c>
    </row>
    <row r="1134" customFormat="false" ht="15" hidden="false" customHeight="false" outlineLevel="0" collapsed="false">
      <c r="A1134" s="19" t="n">
        <v>1083</v>
      </c>
      <c r="B1134" s="19" t="s">
        <v>1316</v>
      </c>
      <c r="C1134" s="19" t="s">
        <v>57</v>
      </c>
      <c r="D1134" s="19"/>
      <c r="E1134" s="19" t="s">
        <v>58</v>
      </c>
      <c r="F1134" s="20" t="n">
        <v>2</v>
      </c>
      <c r="G1134" s="20" t="n">
        <v>2</v>
      </c>
      <c r="H1134" s="21" t="n">
        <v>93.54</v>
      </c>
      <c r="I1134" s="21" t="n">
        <v>0</v>
      </c>
      <c r="J1134" s="21" t="n">
        <v>0</v>
      </c>
      <c r="K1134" s="22" t="n">
        <f aca="false">H1134+I1134+J1134</f>
        <v>93.54</v>
      </c>
      <c r="L1134" s="23" t="n">
        <f aca="false">IF($K$1282=0,0,K1134/$K$1282)</f>
        <v>7.74870746522903E-006</v>
      </c>
      <c r="M1134" s="24" t="n">
        <f aca="false">IF(F1134&lt;=0,0,K1134/F1134)</f>
        <v>46.77</v>
      </c>
      <c r="N1134" s="21" t="n">
        <v>79.99</v>
      </c>
      <c r="O1134" s="49" t="n">
        <v>1.92</v>
      </c>
      <c r="P1134" s="24" t="n">
        <f aca="false">O1134*'Price Groups'!$B$5</f>
        <v>43.2</v>
      </c>
      <c r="Q1134" s="26" t="n">
        <f aca="false">IF(OR(N1134="",P1134=""),"",(N1134-P1134)/N1134)</f>
        <v>0.459932491561445</v>
      </c>
      <c r="R1134" s="27" t="n">
        <v>1</v>
      </c>
      <c r="S1134" s="28" t="n">
        <f aca="false">IF(R1134="-",0,IFERROR(VLOOKUP(R1134,'Price Groups'!$A$13:$C$17,3,FALSE()),0))</f>
        <v>0.22</v>
      </c>
      <c r="T1134" s="22" t="n">
        <f aca="false">IF(OR(N1134="",R1134="-"),"",CEILING(ROUND(N1134*(1+S1134),2),IF(N1134*(1+S1134)&lt;100,0.5,IF(N1134*(1+S1134)&lt;1000,1,5))))</f>
        <v>98</v>
      </c>
      <c r="U1134" s="26" t="n">
        <f aca="false">IF(OR(T1134="",P1134=""),"",(T1134-P1134)/T1134)</f>
        <v>0.559183673469388</v>
      </c>
      <c r="V1134" s="26" t="n">
        <f aca="false">IF(T1134="",0,T1134/N1134-1)</f>
        <v>0.225153144143018</v>
      </c>
      <c r="W1134" s="19" t="s">
        <v>94</v>
      </c>
    </row>
    <row r="1135" customFormat="false" ht="15" hidden="false" customHeight="false" outlineLevel="0" collapsed="false">
      <c r="A1135" s="38" t="n">
        <v>1084</v>
      </c>
      <c r="B1135" s="38" t="s">
        <v>1317</v>
      </c>
      <c r="C1135" s="38" t="s">
        <v>57</v>
      </c>
      <c r="D1135" s="38"/>
      <c r="E1135" s="38" t="s">
        <v>58</v>
      </c>
      <c r="F1135" s="39" t="n">
        <v>2</v>
      </c>
      <c r="G1135" s="39" t="n">
        <v>2</v>
      </c>
      <c r="H1135" s="40" t="n">
        <v>659.96</v>
      </c>
      <c r="I1135" s="40" t="n">
        <v>0</v>
      </c>
      <c r="J1135" s="40" t="n">
        <v>-329.98</v>
      </c>
      <c r="K1135" s="41" t="n">
        <f aca="false">H1135+I1135+J1135</f>
        <v>329.98</v>
      </c>
      <c r="L1135" s="42" t="n">
        <f aca="false">IF($K$1282=0,0,K1135/$K$1282)</f>
        <v>2.73350276820213E-005</v>
      </c>
      <c r="M1135" s="43" t="n">
        <f aca="false">IF(F1135&lt;=0,0,K1135/F1135)</f>
        <v>164.99</v>
      </c>
      <c r="N1135" s="40" t="n">
        <v>164.99</v>
      </c>
      <c r="O1135" s="44" t="n">
        <v>5.83</v>
      </c>
      <c r="P1135" s="43" t="n">
        <f aca="false">O1135*'Price Groups'!$B$5</f>
        <v>131.175</v>
      </c>
      <c r="Q1135" s="45" t="n">
        <f aca="false">IF(OR(N1135="",P1135=""),"",(N1135-P1135)/N1135)</f>
        <v>0.204951815261531</v>
      </c>
      <c r="R1135" s="46" t="n">
        <v>1</v>
      </c>
      <c r="S1135" s="47" t="n">
        <f aca="false">IF(R1135="-",0,IFERROR(VLOOKUP(R1135,'Price Groups'!$A$13:$C$17,3,FALSE()),0))</f>
        <v>0.22</v>
      </c>
      <c r="T1135" s="41" t="n">
        <f aca="false">IF(OR(N1135="",R1135="-"),"",CEILING(ROUND(N1135*(1+S1135),2),IF(N1135*(1+S1135)&lt;100,0.5,IF(N1135*(1+S1135)&lt;1000,1,5))))</f>
        <v>202</v>
      </c>
      <c r="U1135" s="45" t="n">
        <f aca="false">IF(OR(T1135="",P1135=""),"",(T1135-P1135)/T1135)</f>
        <v>0.350618811881188</v>
      </c>
      <c r="V1135" s="45" t="n">
        <f aca="false">IF(T1135="",0,T1135/N1135-1)</f>
        <v>0.224316625250015</v>
      </c>
      <c r="W1135" s="38" t="s">
        <v>207</v>
      </c>
    </row>
    <row r="1136" customFormat="false" ht="15" hidden="false" customHeight="false" outlineLevel="0" collapsed="false">
      <c r="A1136" s="19" t="n">
        <v>1085</v>
      </c>
      <c r="B1136" s="19" t="s">
        <v>1318</v>
      </c>
      <c r="C1136" s="19" t="s">
        <v>57</v>
      </c>
      <c r="D1136" s="19"/>
      <c r="E1136" s="19" t="s">
        <v>58</v>
      </c>
      <c r="F1136" s="20" t="n">
        <v>2</v>
      </c>
      <c r="G1136" s="20" t="n">
        <v>3</v>
      </c>
      <c r="H1136" s="21" t="n">
        <v>78.4</v>
      </c>
      <c r="I1136" s="21" t="n">
        <v>0</v>
      </c>
      <c r="J1136" s="21" t="n">
        <v>-18.42</v>
      </c>
      <c r="K1136" s="22" t="n">
        <f aca="false">H1136+I1136+J1136</f>
        <v>59.98</v>
      </c>
      <c r="L1136" s="23" t="n">
        <f aca="false">IF($K$1282=0,0,K1136/$K$1282)</f>
        <v>4.96864949502285E-006</v>
      </c>
      <c r="M1136" s="24" t="n">
        <f aca="false">IF(F1136&lt;=0,0,K1136/F1136)</f>
        <v>29.99</v>
      </c>
      <c r="N1136" s="21" t="n">
        <v>18.42</v>
      </c>
      <c r="O1136" s="49" t="n">
        <v>0.65</v>
      </c>
      <c r="P1136" s="24" t="n">
        <f aca="false">O1136*'Price Groups'!$B$5</f>
        <v>14.625</v>
      </c>
      <c r="Q1136" s="26" t="n">
        <f aca="false">IF(OR(N1136="",P1136=""),"",(N1136-P1136)/N1136)</f>
        <v>0.206026058631922</v>
      </c>
      <c r="R1136" s="27" t="n">
        <v>1</v>
      </c>
      <c r="S1136" s="28" t="n">
        <f aca="false">IF(R1136="-",0,IFERROR(VLOOKUP(R1136,'Price Groups'!$A$13:$C$17,3,FALSE()),0))</f>
        <v>0.22</v>
      </c>
      <c r="T1136" s="22" t="n">
        <f aca="false">IF(OR(N1136="",R1136="-"),"",CEILING(ROUND(N1136*(1+S1136),2),IF(N1136*(1+S1136)&lt;100,0.5,IF(N1136*(1+S1136)&lt;1000,1,5))))</f>
        <v>22.5</v>
      </c>
      <c r="U1136" s="26" t="n">
        <f aca="false">IF(OR(T1136="",P1136=""),"",(T1136-P1136)/T1136)</f>
        <v>0.35</v>
      </c>
      <c r="V1136" s="26" t="n">
        <f aca="false">IF(T1136="",0,T1136/N1136-1)</f>
        <v>0.221498371335505</v>
      </c>
      <c r="W1136" s="19" t="s">
        <v>333</v>
      </c>
    </row>
    <row r="1137" customFormat="false" ht="15" hidden="false" customHeight="false" outlineLevel="0" collapsed="false">
      <c r="A1137" s="38" t="n">
        <v>1086</v>
      </c>
      <c r="B1137" s="38" t="s">
        <v>1319</v>
      </c>
      <c r="C1137" s="38" t="s">
        <v>57</v>
      </c>
      <c r="D1137" s="38"/>
      <c r="E1137" s="38" t="s">
        <v>58</v>
      </c>
      <c r="F1137" s="39" t="n">
        <v>2</v>
      </c>
      <c r="G1137" s="39" t="n">
        <v>3</v>
      </c>
      <c r="H1137" s="40" t="n">
        <v>630</v>
      </c>
      <c r="I1137" s="40" t="n">
        <v>0</v>
      </c>
      <c r="J1137" s="40" t="n">
        <v>-210</v>
      </c>
      <c r="K1137" s="41" t="n">
        <f aca="false">H1137+I1137+J1137</f>
        <v>420</v>
      </c>
      <c r="L1137" s="42" t="n">
        <f aca="false">IF($K$1282=0,0,K1137/$K$1282)</f>
        <v>3.47921438464421E-005</v>
      </c>
      <c r="M1137" s="43" t="n">
        <f aca="false">IF(F1137&lt;=0,0,K1137/F1137)</f>
        <v>210</v>
      </c>
      <c r="N1137" s="40" t="n">
        <v>210</v>
      </c>
      <c r="O1137" s="44" t="n">
        <v>6.08</v>
      </c>
      <c r="P1137" s="43" t="n">
        <f aca="false">O1137*'Price Groups'!$B$5</f>
        <v>136.8</v>
      </c>
      <c r="Q1137" s="45" t="n">
        <f aca="false">IF(OR(N1137="",P1137=""),"",(N1137-P1137)/N1137)</f>
        <v>0.348571428571429</v>
      </c>
      <c r="R1137" s="46" t="n">
        <v>1</v>
      </c>
      <c r="S1137" s="47" t="n">
        <f aca="false">IF(R1137="-",0,IFERROR(VLOOKUP(R1137,'Price Groups'!$A$13:$C$17,3,FALSE()),0))</f>
        <v>0.22</v>
      </c>
      <c r="T1137" s="41" t="n">
        <f aca="false">IF(OR(N1137="",R1137="-"),"",CEILING(ROUND(N1137*(1+S1137),2),IF(N1137*(1+S1137)&lt;100,0.5,IF(N1137*(1+S1137)&lt;1000,1,5))))</f>
        <v>257</v>
      </c>
      <c r="U1137" s="45" t="n">
        <f aca="false">IF(OR(T1137="",P1137=""),"",(T1137-P1137)/T1137)</f>
        <v>0.467704280155642</v>
      </c>
      <c r="V1137" s="45" t="n">
        <f aca="false">IF(T1137="",0,T1137/N1137-1)</f>
        <v>0.223809523809524</v>
      </c>
      <c r="W1137" s="38" t="s">
        <v>94</v>
      </c>
    </row>
    <row r="1138" customFormat="false" ht="15" hidden="false" customHeight="false" outlineLevel="0" collapsed="false">
      <c r="A1138" s="19" t="n">
        <v>1087</v>
      </c>
      <c r="B1138" s="19" t="s">
        <v>1320</v>
      </c>
      <c r="C1138" s="19" t="s">
        <v>57</v>
      </c>
      <c r="D1138" s="19"/>
      <c r="E1138" s="19" t="s">
        <v>58</v>
      </c>
      <c r="F1138" s="20" t="n">
        <v>2</v>
      </c>
      <c r="G1138" s="20" t="n">
        <v>1</v>
      </c>
      <c r="H1138" s="21" t="n">
        <v>350.24</v>
      </c>
      <c r="I1138" s="21" t="n">
        <v>0</v>
      </c>
      <c r="J1138" s="21" t="n">
        <v>0</v>
      </c>
      <c r="K1138" s="22" t="n">
        <f aca="false">H1138+I1138+J1138</f>
        <v>350.24</v>
      </c>
      <c r="L1138" s="23" t="n">
        <f aca="false">IF($K$1282=0,0,K1138/$K$1282)</f>
        <v>2.90133344304235E-005</v>
      </c>
      <c r="M1138" s="24" t="n">
        <f aca="false">IF(F1138&lt;=0,0,K1138/F1138)</f>
        <v>175.12</v>
      </c>
      <c r="N1138" s="21" t="n">
        <v>249.99</v>
      </c>
      <c r="O1138" s="49" t="n">
        <v>6.6</v>
      </c>
      <c r="P1138" s="24" t="n">
        <f aca="false">O1138*'Price Groups'!$B$5</f>
        <v>148.5</v>
      </c>
      <c r="Q1138" s="26" t="n">
        <f aca="false">IF(OR(N1138="",P1138=""),"",(N1138-P1138)/N1138)</f>
        <v>0.405976239049562</v>
      </c>
      <c r="R1138" s="27" t="n">
        <v>1</v>
      </c>
      <c r="S1138" s="28" t="n">
        <f aca="false">IF(R1138="-",0,IFERROR(VLOOKUP(R1138,'Price Groups'!$A$13:$C$17,3,FALSE()),0))</f>
        <v>0.22</v>
      </c>
      <c r="T1138" s="22" t="n">
        <f aca="false">IF(OR(N1138="",R1138="-"),"",CEILING(ROUND(N1138*(1+S1138),2),IF(N1138*(1+S1138)&lt;100,0.5,IF(N1138*(1+S1138)&lt;1000,1,5))))</f>
        <v>305</v>
      </c>
      <c r="U1138" s="26" t="n">
        <f aca="false">IF(OR(T1138="",P1138=""),"",(T1138-P1138)/T1138)</f>
        <v>0.513114754098361</v>
      </c>
      <c r="V1138" s="26" t="n">
        <f aca="false">IF(T1138="",0,T1138/N1138-1)</f>
        <v>0.220048801952078</v>
      </c>
      <c r="W1138" s="19" t="s">
        <v>94</v>
      </c>
    </row>
    <row r="1139" customFormat="false" ht="15" hidden="false" customHeight="false" outlineLevel="0" collapsed="false">
      <c r="A1139" s="38" t="n">
        <v>1088</v>
      </c>
      <c r="B1139" s="38" t="s">
        <v>1321</v>
      </c>
      <c r="C1139" s="38" t="s">
        <v>57</v>
      </c>
      <c r="D1139" s="38"/>
      <c r="E1139" s="38" t="s">
        <v>58</v>
      </c>
      <c r="F1139" s="39" t="n">
        <v>2</v>
      </c>
      <c r="G1139" s="39" t="n">
        <v>2</v>
      </c>
      <c r="H1139" s="40" t="n">
        <v>549.98</v>
      </c>
      <c r="I1139" s="40" t="n">
        <v>0</v>
      </c>
      <c r="J1139" s="40" t="n">
        <v>0</v>
      </c>
      <c r="K1139" s="41" t="n">
        <f aca="false">H1139+I1139+J1139</f>
        <v>549.98</v>
      </c>
      <c r="L1139" s="42" t="n">
        <f aca="false">IF($K$1282=0,0,K1139/$K$1282)</f>
        <v>4.55594839825386E-005</v>
      </c>
      <c r="M1139" s="43" t="n">
        <f aca="false">IF(F1139&lt;=0,0,K1139/F1139)</f>
        <v>274.99</v>
      </c>
      <c r="N1139" s="40" t="n">
        <v>249.99</v>
      </c>
      <c r="O1139" s="44" t="n">
        <v>6.6</v>
      </c>
      <c r="P1139" s="43" t="n">
        <f aca="false">O1139*'Price Groups'!$B$5</f>
        <v>148.5</v>
      </c>
      <c r="Q1139" s="45" t="n">
        <f aca="false">IF(OR(N1139="",P1139=""),"",(N1139-P1139)/N1139)</f>
        <v>0.405976239049562</v>
      </c>
      <c r="R1139" s="46" t="n">
        <v>1</v>
      </c>
      <c r="S1139" s="47" t="n">
        <f aca="false">IF(R1139="-",0,IFERROR(VLOOKUP(R1139,'Price Groups'!$A$13:$C$17,3,FALSE()),0))</f>
        <v>0.22</v>
      </c>
      <c r="T1139" s="41" t="n">
        <f aca="false">IF(OR(N1139="",R1139="-"),"",CEILING(ROUND(N1139*(1+S1139),2),IF(N1139*(1+S1139)&lt;100,0.5,IF(N1139*(1+S1139)&lt;1000,1,5))))</f>
        <v>305</v>
      </c>
      <c r="U1139" s="45" t="n">
        <f aca="false">IF(OR(T1139="",P1139=""),"",(T1139-P1139)/T1139)</f>
        <v>0.513114754098361</v>
      </c>
      <c r="V1139" s="45" t="n">
        <f aca="false">IF(T1139="",0,T1139/N1139-1)</f>
        <v>0.220048801952078</v>
      </c>
      <c r="W1139" s="38" t="s">
        <v>94</v>
      </c>
    </row>
    <row r="1140" customFormat="false" ht="15" hidden="false" customHeight="false" outlineLevel="0" collapsed="false">
      <c r="A1140" s="19" t="n">
        <v>1089</v>
      </c>
      <c r="B1140" s="19" t="s">
        <v>1322</v>
      </c>
      <c r="C1140" s="19" t="s">
        <v>57</v>
      </c>
      <c r="D1140" s="19"/>
      <c r="E1140" s="19" t="s">
        <v>1273</v>
      </c>
      <c r="F1140" s="20" t="n">
        <v>2</v>
      </c>
      <c r="G1140" s="20" t="n">
        <v>1</v>
      </c>
      <c r="H1140" s="21" t="n">
        <v>1149.98</v>
      </c>
      <c r="I1140" s="21" t="n">
        <v>0</v>
      </c>
      <c r="J1140" s="21" t="n">
        <v>0</v>
      </c>
      <c r="K1140" s="22" t="n">
        <f aca="false">H1140+I1140+J1140</f>
        <v>1149.98</v>
      </c>
      <c r="L1140" s="23" t="n">
        <f aca="false">IF($K$1282=0,0,K1140/$K$1282)</f>
        <v>9.5262546620313E-005</v>
      </c>
      <c r="M1140" s="24" t="n">
        <f aca="false">IF(F1140&lt;=0,0,K1140/F1140)</f>
        <v>574.99</v>
      </c>
      <c r="N1140" s="21" t="n">
        <v>574.99</v>
      </c>
      <c r="O1140" s="49" t="n">
        <v>17.64</v>
      </c>
      <c r="P1140" s="24" t="n">
        <f aca="false">O1140*'Price Groups'!$B$5</f>
        <v>396.9</v>
      </c>
      <c r="Q1140" s="26" t="n">
        <f aca="false">IF(OR(N1140="",P1140=""),"",(N1140-P1140)/N1140)</f>
        <v>0.309727125689142</v>
      </c>
      <c r="R1140" s="27" t="n">
        <v>1</v>
      </c>
      <c r="S1140" s="28" t="n">
        <f aca="false">IF(R1140="-",0,IFERROR(VLOOKUP(R1140,'Price Groups'!$A$13:$C$17,3,FALSE()),0))</f>
        <v>0.22</v>
      </c>
      <c r="T1140" s="22" t="n">
        <f aca="false">IF(OR(N1140="",R1140="-"),"",CEILING(ROUND(N1140*(1+S1140),2),IF(N1140*(1+S1140)&lt;100,0.5,IF(N1140*(1+S1140)&lt;1000,1,5))))</f>
        <v>702</v>
      </c>
      <c r="U1140" s="26" t="n">
        <f aca="false">IF(OR(T1140="",P1140=""),"",(T1140-P1140)/T1140)</f>
        <v>0.434615384615385</v>
      </c>
      <c r="V1140" s="26" t="n">
        <f aca="false">IF(T1140="",0,T1140/N1140-1)</f>
        <v>0.220890798100837</v>
      </c>
      <c r="W1140" s="19" t="s">
        <v>94</v>
      </c>
    </row>
    <row r="1141" customFormat="false" ht="15" hidden="false" customHeight="false" outlineLevel="0" collapsed="false">
      <c r="A1141" s="38" t="n">
        <v>1090</v>
      </c>
      <c r="B1141" s="38" t="s">
        <v>1323</v>
      </c>
      <c r="C1141" s="38" t="s">
        <v>57</v>
      </c>
      <c r="D1141" s="38"/>
      <c r="E1141" s="38" t="s">
        <v>1273</v>
      </c>
      <c r="F1141" s="39" t="n">
        <v>2</v>
      </c>
      <c r="G1141" s="39" t="n">
        <v>3</v>
      </c>
      <c r="H1141" s="40" t="n">
        <v>2399.96</v>
      </c>
      <c r="I1141" s="40" t="n">
        <v>-59.99</v>
      </c>
      <c r="J1141" s="40" t="n">
        <v>-1199.98</v>
      </c>
      <c r="K1141" s="41" t="n">
        <f aca="false">H1141+I1141+J1141</f>
        <v>1139.99</v>
      </c>
      <c r="L1141" s="42" t="n">
        <f aca="false">IF($K$1282=0,0,K1141/$K$1282)</f>
        <v>9.44349906273941E-005</v>
      </c>
      <c r="M1141" s="43" t="n">
        <f aca="false">IF(F1141&lt;=0,0,K1141/F1141)</f>
        <v>569.995</v>
      </c>
      <c r="N1141" s="40" t="n">
        <v>599.99</v>
      </c>
      <c r="O1141" s="44" t="n">
        <v>19.22</v>
      </c>
      <c r="P1141" s="43" t="n">
        <f aca="false">O1141*'Price Groups'!$B$5</f>
        <v>432.45</v>
      </c>
      <c r="Q1141" s="45" t="n">
        <f aca="false">IF(OR(N1141="",P1141=""),"",(N1141-P1141)/N1141)</f>
        <v>0.279237987299788</v>
      </c>
      <c r="R1141" s="46" t="n">
        <v>1</v>
      </c>
      <c r="S1141" s="47" t="n">
        <f aca="false">IF(R1141="-",0,IFERROR(VLOOKUP(R1141,'Price Groups'!$A$13:$C$17,3,FALSE()),0))</f>
        <v>0.22</v>
      </c>
      <c r="T1141" s="41" t="n">
        <f aca="false">IF(OR(N1141="",R1141="-"),"",CEILING(ROUND(N1141*(1+S1141),2),IF(N1141*(1+S1141)&lt;100,0.5,IF(N1141*(1+S1141)&lt;1000,1,5))))</f>
        <v>732</v>
      </c>
      <c r="U1141" s="45" t="n">
        <f aca="false">IF(OR(T1141="",P1141=""),"",(T1141-P1141)/T1141)</f>
        <v>0.40922131147541</v>
      </c>
      <c r="V1141" s="45" t="n">
        <f aca="false">IF(T1141="",0,T1141/N1141-1)</f>
        <v>0.220020333672228</v>
      </c>
      <c r="W1141" s="38" t="s">
        <v>94</v>
      </c>
    </row>
    <row r="1142" customFormat="false" ht="15" hidden="false" customHeight="false" outlineLevel="0" collapsed="false">
      <c r="A1142" s="19" t="n">
        <v>1091</v>
      </c>
      <c r="B1142" s="19" t="s">
        <v>1324</v>
      </c>
      <c r="C1142" s="19" t="s">
        <v>57</v>
      </c>
      <c r="D1142" s="19"/>
      <c r="E1142" s="19" t="s">
        <v>58</v>
      </c>
      <c r="F1142" s="20" t="n">
        <v>2</v>
      </c>
      <c r="G1142" s="20" t="n">
        <v>2</v>
      </c>
      <c r="H1142" s="21" t="n">
        <v>599.98</v>
      </c>
      <c r="I1142" s="21" t="n">
        <v>0</v>
      </c>
      <c r="J1142" s="21" t="n">
        <v>0</v>
      </c>
      <c r="K1142" s="22" t="n">
        <f aca="false">H1142+I1142+J1142</f>
        <v>599.98</v>
      </c>
      <c r="L1142" s="23" t="n">
        <f aca="false">IF($K$1282=0,0,K1142/$K$1282)</f>
        <v>4.97014058690198E-005</v>
      </c>
      <c r="M1142" s="24" t="n">
        <f aca="false">IF(F1142&lt;=0,0,K1142/F1142)</f>
        <v>299.99</v>
      </c>
      <c r="N1142" s="21" t="n">
        <v>211.5</v>
      </c>
      <c r="O1142" s="49" t="n">
        <v>6.6</v>
      </c>
      <c r="P1142" s="24" t="n">
        <f aca="false">O1142*'Price Groups'!$B$5</f>
        <v>148.5</v>
      </c>
      <c r="Q1142" s="26" t="n">
        <f aca="false">IF(OR(N1142="",P1142=""),"",(N1142-P1142)/N1142)</f>
        <v>0.297872340425532</v>
      </c>
      <c r="R1142" s="27" t="n">
        <v>1</v>
      </c>
      <c r="S1142" s="28" t="n">
        <f aca="false">IF(R1142="-",0,IFERROR(VLOOKUP(R1142,'Price Groups'!$A$13:$C$17,3,FALSE()),0))</f>
        <v>0.22</v>
      </c>
      <c r="T1142" s="22" t="n">
        <f aca="false">IF(OR(N1142="",R1142="-"),"",CEILING(ROUND(N1142*(1+S1142),2),IF(N1142*(1+S1142)&lt;100,0.5,IF(N1142*(1+S1142)&lt;1000,1,5))))</f>
        <v>259</v>
      </c>
      <c r="U1142" s="26" t="n">
        <f aca="false">IF(OR(T1142="",P1142=""),"",(T1142-P1142)/T1142)</f>
        <v>0.426640926640927</v>
      </c>
      <c r="V1142" s="26" t="n">
        <f aca="false">IF(T1142="",0,T1142/N1142-1)</f>
        <v>0.224586288416076</v>
      </c>
      <c r="W1142" s="19" t="s">
        <v>94</v>
      </c>
    </row>
    <row r="1143" customFormat="false" ht="15" hidden="false" customHeight="false" outlineLevel="0" collapsed="false">
      <c r="A1143" s="38" t="n">
        <v>1092</v>
      </c>
      <c r="B1143" s="38" t="s">
        <v>1325</v>
      </c>
      <c r="C1143" s="38" t="s">
        <v>57</v>
      </c>
      <c r="D1143" s="38"/>
      <c r="E1143" s="38" t="s">
        <v>58</v>
      </c>
      <c r="F1143" s="39" t="n">
        <v>2</v>
      </c>
      <c r="G1143" s="39" t="n">
        <v>1</v>
      </c>
      <c r="H1143" s="40" t="n">
        <v>159.98</v>
      </c>
      <c r="I1143" s="40" t="n">
        <v>0</v>
      </c>
      <c r="J1143" s="40" t="n">
        <v>0</v>
      </c>
      <c r="K1143" s="41" t="n">
        <f aca="false">H1143+I1143+J1143</f>
        <v>159.98</v>
      </c>
      <c r="L1143" s="42" t="n">
        <f aca="false">IF($K$1282=0,0,K1143/$K$1282)</f>
        <v>1.32524932679852E-005</v>
      </c>
      <c r="M1143" s="43" t="n">
        <f aca="false">IF(F1143&lt;=0,0,K1143/F1143)</f>
        <v>79.99</v>
      </c>
      <c r="N1143" s="40" t="n">
        <v>79.99</v>
      </c>
      <c r="O1143" s="44" t="n">
        <v>2.24</v>
      </c>
      <c r="P1143" s="43" t="n">
        <f aca="false">O1143*'Price Groups'!$B$5</f>
        <v>50.4</v>
      </c>
      <c r="Q1143" s="45" t="n">
        <f aca="false">IF(OR(N1143="",P1143=""),"",(N1143-P1143)/N1143)</f>
        <v>0.369921240155019</v>
      </c>
      <c r="R1143" s="46" t="n">
        <v>1</v>
      </c>
      <c r="S1143" s="47" t="n">
        <f aca="false">IF(R1143="-",0,IFERROR(VLOOKUP(R1143,'Price Groups'!$A$13:$C$17,3,FALSE()),0))</f>
        <v>0.22</v>
      </c>
      <c r="T1143" s="41" t="n">
        <f aca="false">IF(OR(N1143="",R1143="-"),"",CEILING(ROUND(N1143*(1+S1143),2),IF(N1143*(1+S1143)&lt;100,0.5,IF(N1143*(1+S1143)&lt;1000,1,5))))</f>
        <v>98</v>
      </c>
      <c r="U1143" s="45" t="n">
        <f aca="false">IF(OR(T1143="",P1143=""),"",(T1143-P1143)/T1143)</f>
        <v>0.485714285714286</v>
      </c>
      <c r="V1143" s="45" t="n">
        <f aca="false">IF(T1143="",0,T1143/N1143-1)</f>
        <v>0.225153144143018</v>
      </c>
      <c r="W1143" s="38" t="s">
        <v>94</v>
      </c>
    </row>
    <row r="1144" customFormat="false" ht="15" hidden="false" customHeight="false" outlineLevel="0" collapsed="false">
      <c r="A1144" s="19" t="n">
        <v>1093</v>
      </c>
      <c r="B1144" s="19" t="s">
        <v>1326</v>
      </c>
      <c r="C1144" s="19" t="s">
        <v>57</v>
      </c>
      <c r="D1144" s="19"/>
      <c r="E1144" s="19" t="s">
        <v>58</v>
      </c>
      <c r="F1144" s="20" t="n">
        <v>2</v>
      </c>
      <c r="G1144" s="20" t="n">
        <v>2</v>
      </c>
      <c r="H1144" s="21" t="n">
        <v>489.98</v>
      </c>
      <c r="I1144" s="21" t="n">
        <v>0</v>
      </c>
      <c r="J1144" s="21" t="n">
        <v>0</v>
      </c>
      <c r="K1144" s="22" t="n">
        <f aca="false">H1144+I1144+J1144</f>
        <v>489.98</v>
      </c>
      <c r="L1144" s="23" t="n">
        <f aca="false">IF($K$1282=0,0,K1144/$K$1282)</f>
        <v>4.05891777187612E-005</v>
      </c>
      <c r="M1144" s="24" t="n">
        <f aca="false">IF(F1144&lt;=0,0,K1144/F1144)</f>
        <v>244.99</v>
      </c>
      <c r="N1144" s="21" t="n">
        <v>174.33</v>
      </c>
      <c r="O1144" s="49" t="n">
        <v>5.44</v>
      </c>
      <c r="P1144" s="24" t="n">
        <f aca="false">O1144*'Price Groups'!$B$5</f>
        <v>122.4</v>
      </c>
      <c r="Q1144" s="26" t="n">
        <f aca="false">IF(OR(N1144="",P1144=""),"",(N1144-P1144)/N1144)</f>
        <v>0.297883324728962</v>
      </c>
      <c r="R1144" s="27" t="n">
        <v>1</v>
      </c>
      <c r="S1144" s="28" t="n">
        <f aca="false">IF(R1144="-",0,IFERROR(VLOOKUP(R1144,'Price Groups'!$A$13:$C$17,3,FALSE()),0))</f>
        <v>0.22</v>
      </c>
      <c r="T1144" s="22" t="n">
        <f aca="false">IF(OR(N1144="",R1144="-"),"",CEILING(ROUND(N1144*(1+S1144),2),IF(N1144*(1+S1144)&lt;100,0.5,IF(N1144*(1+S1144)&lt;1000,1,5))))</f>
        <v>213</v>
      </c>
      <c r="U1144" s="26" t="n">
        <f aca="false">IF(OR(T1144="",P1144=""),"",(T1144-P1144)/T1144)</f>
        <v>0.425352112676056</v>
      </c>
      <c r="V1144" s="26" t="n">
        <f aca="false">IF(T1144="",0,T1144/N1144-1)</f>
        <v>0.221820684907933</v>
      </c>
      <c r="W1144" s="19" t="s">
        <v>94</v>
      </c>
    </row>
    <row r="1145" customFormat="false" ht="15" hidden="false" customHeight="false" outlineLevel="0" collapsed="false">
      <c r="A1145" s="38" t="n">
        <v>1094</v>
      </c>
      <c r="B1145" s="38" t="s">
        <v>1327</v>
      </c>
      <c r="C1145" s="38" t="s">
        <v>57</v>
      </c>
      <c r="D1145" s="38"/>
      <c r="E1145" s="38" t="s">
        <v>58</v>
      </c>
      <c r="F1145" s="39" t="n">
        <v>2</v>
      </c>
      <c r="G1145" s="39" t="n">
        <v>2</v>
      </c>
      <c r="H1145" s="40" t="n">
        <v>679.98</v>
      </c>
      <c r="I1145" s="40" t="n">
        <v>0</v>
      </c>
      <c r="J1145" s="40" t="n">
        <v>0</v>
      </c>
      <c r="K1145" s="41" t="n">
        <f aca="false">H1145+I1145+J1145</f>
        <v>679.98</v>
      </c>
      <c r="L1145" s="42" t="n">
        <f aca="false">IF($K$1282=0,0,K1145/$K$1282)</f>
        <v>5.63284808873897E-005</v>
      </c>
      <c r="M1145" s="43" t="n">
        <f aca="false">IF(F1145&lt;=0,0,K1145/F1145)</f>
        <v>339.99</v>
      </c>
      <c r="N1145" s="40" t="n">
        <v>339.99</v>
      </c>
      <c r="O1145" s="44" t="n">
        <v>7.5</v>
      </c>
      <c r="P1145" s="43" t="n">
        <f aca="false">O1145*'Price Groups'!$B$5</f>
        <v>168.75</v>
      </c>
      <c r="Q1145" s="45" t="n">
        <f aca="false">IF(OR(N1145="",P1145=""),"",(N1145-P1145)/N1145)</f>
        <v>0.503661872408012</v>
      </c>
      <c r="R1145" s="46" t="n">
        <v>1</v>
      </c>
      <c r="S1145" s="47" t="n">
        <f aca="false">IF(R1145="-",0,IFERROR(VLOOKUP(R1145,'Price Groups'!$A$13:$C$17,3,FALSE()),0))</f>
        <v>0.22</v>
      </c>
      <c r="T1145" s="41" t="n">
        <f aca="false">IF(OR(N1145="",R1145="-"),"",CEILING(ROUND(N1145*(1+S1145),2),IF(N1145*(1+S1145)&lt;100,0.5,IF(N1145*(1+S1145)&lt;1000,1,5))))</f>
        <v>415</v>
      </c>
      <c r="U1145" s="45" t="n">
        <f aca="false">IF(OR(T1145="",P1145=""),"",(T1145-P1145)/T1145)</f>
        <v>0.593373493975904</v>
      </c>
      <c r="V1145" s="45" t="n">
        <f aca="false">IF(T1145="",0,T1145/N1145-1)</f>
        <v>0.220624136004</v>
      </c>
      <c r="W1145" s="38" t="s">
        <v>94</v>
      </c>
    </row>
    <row r="1146" customFormat="false" ht="15" hidden="false" customHeight="false" outlineLevel="0" collapsed="false">
      <c r="A1146" s="19" t="n">
        <v>1095</v>
      </c>
      <c r="B1146" s="19" t="s">
        <v>1328</v>
      </c>
      <c r="C1146" s="19" t="s">
        <v>57</v>
      </c>
      <c r="D1146" s="19"/>
      <c r="E1146" s="19" t="s">
        <v>58</v>
      </c>
      <c r="F1146" s="20" t="n">
        <v>2</v>
      </c>
      <c r="G1146" s="20" t="n">
        <v>1</v>
      </c>
      <c r="H1146" s="21" t="n">
        <v>39.98</v>
      </c>
      <c r="I1146" s="21" t="n">
        <v>0</v>
      </c>
      <c r="J1146" s="21" t="n">
        <v>0</v>
      </c>
      <c r="K1146" s="22" t="n">
        <f aca="false">H1146+I1146+J1146</f>
        <v>39.98</v>
      </c>
      <c r="L1146" s="23" t="n">
        <f aca="false">IF($K$1282=0,0,K1146/$K$1282)</f>
        <v>3.31188074043037E-006</v>
      </c>
      <c r="M1146" s="24" t="n">
        <f aca="false">IF(F1146&lt;=0,0,K1146/F1146)</f>
        <v>19.99</v>
      </c>
      <c r="N1146" s="21" t="n">
        <v>19.99</v>
      </c>
      <c r="O1146" s="49" t="n">
        <v>0.34</v>
      </c>
      <c r="P1146" s="24" t="n">
        <f aca="false">O1146*'Price Groups'!$B$5</f>
        <v>7.65</v>
      </c>
      <c r="Q1146" s="26" t="n">
        <f aca="false">IF(OR(N1146="",P1146=""),"",(N1146-P1146)/N1146)</f>
        <v>0.617308654327164</v>
      </c>
      <c r="R1146" s="27" t="n">
        <v>1</v>
      </c>
      <c r="S1146" s="28" t="n">
        <f aca="false">IF(R1146="-",0,IFERROR(VLOOKUP(R1146,'Price Groups'!$A$13:$C$17,3,FALSE()),0))</f>
        <v>0.22</v>
      </c>
      <c r="T1146" s="22" t="n">
        <f aca="false">IF(OR(N1146="",R1146="-"),"",CEILING(ROUND(N1146*(1+S1146),2),IF(N1146*(1+S1146)&lt;100,0.5,IF(N1146*(1+S1146)&lt;1000,1,5))))</f>
        <v>24.5</v>
      </c>
      <c r="U1146" s="26" t="n">
        <f aca="false">IF(OR(T1146="",P1146=""),"",(T1146-P1146)/T1146)</f>
        <v>0.687755102040816</v>
      </c>
      <c r="V1146" s="26" t="n">
        <f aca="false">IF(T1146="",0,T1146/N1146-1)</f>
        <v>0.225612806403202</v>
      </c>
      <c r="W1146" s="19" t="s">
        <v>94</v>
      </c>
    </row>
    <row r="1147" customFormat="false" ht="15" hidden="false" customHeight="false" outlineLevel="0" collapsed="false">
      <c r="A1147" s="38" t="n">
        <v>1096</v>
      </c>
      <c r="B1147" s="38" t="s">
        <v>1329</v>
      </c>
      <c r="C1147" s="38" t="s">
        <v>57</v>
      </c>
      <c r="D1147" s="38"/>
      <c r="E1147" s="38" t="s">
        <v>58</v>
      </c>
      <c r="F1147" s="39" t="n">
        <v>2</v>
      </c>
      <c r="G1147" s="39" t="n">
        <v>2</v>
      </c>
      <c r="H1147" s="40" t="n">
        <v>39.98</v>
      </c>
      <c r="I1147" s="40" t="n">
        <v>0</v>
      </c>
      <c r="J1147" s="40" t="n">
        <v>0</v>
      </c>
      <c r="K1147" s="41" t="n">
        <f aca="false">H1147+I1147+J1147</f>
        <v>39.98</v>
      </c>
      <c r="L1147" s="42" t="n">
        <f aca="false">IF($K$1282=0,0,K1147/$K$1282)</f>
        <v>3.31188074043037E-006</v>
      </c>
      <c r="M1147" s="43" t="n">
        <f aca="false">IF(F1147&lt;=0,0,K1147/F1147)</f>
        <v>19.99</v>
      </c>
      <c r="N1147" s="40" t="n">
        <v>19.99</v>
      </c>
      <c r="O1147" s="44" t="n">
        <v>0.16</v>
      </c>
      <c r="P1147" s="43" t="n">
        <f aca="false">O1147*'Price Groups'!$B$5</f>
        <v>3.6</v>
      </c>
      <c r="Q1147" s="45" t="n">
        <f aca="false">IF(OR(N1147="",P1147=""),"",(N1147-P1147)/N1147)</f>
        <v>0.819909954977489</v>
      </c>
      <c r="R1147" s="46" t="n">
        <v>1</v>
      </c>
      <c r="S1147" s="47" t="n">
        <f aca="false">IF(R1147="-",0,IFERROR(VLOOKUP(R1147,'Price Groups'!$A$13:$C$17,3,FALSE()),0))</f>
        <v>0.22</v>
      </c>
      <c r="T1147" s="41" t="n">
        <f aca="false">IF(OR(N1147="",R1147="-"),"",CEILING(ROUND(N1147*(1+S1147),2),IF(N1147*(1+S1147)&lt;100,0.5,IF(N1147*(1+S1147)&lt;1000,1,5))))</f>
        <v>24.5</v>
      </c>
      <c r="U1147" s="45" t="n">
        <f aca="false">IF(OR(T1147="",P1147=""),"",(T1147-P1147)/T1147)</f>
        <v>0.853061224489796</v>
      </c>
      <c r="V1147" s="45" t="n">
        <f aca="false">IF(T1147="",0,T1147/N1147-1)</f>
        <v>0.225612806403202</v>
      </c>
      <c r="W1147" s="38" t="s">
        <v>94</v>
      </c>
    </row>
    <row r="1148" customFormat="false" ht="15" hidden="false" customHeight="false" outlineLevel="0" collapsed="false">
      <c r="A1148" s="19" t="n">
        <v>1097</v>
      </c>
      <c r="B1148" s="19" t="s">
        <v>1330</v>
      </c>
      <c r="C1148" s="19" t="s">
        <v>57</v>
      </c>
      <c r="D1148" s="19"/>
      <c r="E1148" s="19" t="s">
        <v>58</v>
      </c>
      <c r="F1148" s="20" t="n">
        <v>2</v>
      </c>
      <c r="G1148" s="20" t="n">
        <v>2</v>
      </c>
      <c r="H1148" s="21" t="n">
        <v>199.98</v>
      </c>
      <c r="I1148" s="21" t="n">
        <v>0</v>
      </c>
      <c r="J1148" s="21" t="n">
        <v>0</v>
      </c>
      <c r="K1148" s="22" t="n">
        <f aca="false">H1148+I1148+J1148</f>
        <v>199.98</v>
      </c>
      <c r="L1148" s="23" t="n">
        <f aca="false">IF($K$1282=0,0,K1148/$K$1282)</f>
        <v>1.65660307771702E-005</v>
      </c>
      <c r="M1148" s="24" t="n">
        <f aca="false">IF(F1148&lt;=0,0,K1148/F1148)</f>
        <v>99.99</v>
      </c>
      <c r="N1148" s="21" t="n">
        <v>99.99</v>
      </c>
      <c r="O1148" s="49" t="n">
        <v>2.36</v>
      </c>
      <c r="P1148" s="24" t="n">
        <f aca="false">O1148*'Price Groups'!$B$5</f>
        <v>53.1</v>
      </c>
      <c r="Q1148" s="26" t="n">
        <f aca="false">IF(OR(N1148="",P1148=""),"",(N1148-P1148)/N1148)</f>
        <v>0.468946894689469</v>
      </c>
      <c r="R1148" s="27" t="n">
        <v>1</v>
      </c>
      <c r="S1148" s="28" t="n">
        <f aca="false">IF(R1148="-",0,IFERROR(VLOOKUP(R1148,'Price Groups'!$A$13:$C$17,3,FALSE()),0))</f>
        <v>0.22</v>
      </c>
      <c r="T1148" s="22" t="n">
        <f aca="false">IF(OR(N1148="",R1148="-"),"",CEILING(ROUND(N1148*(1+S1148),2),IF(N1148*(1+S1148)&lt;100,0.5,IF(N1148*(1+S1148)&lt;1000,1,5))))</f>
        <v>122</v>
      </c>
      <c r="U1148" s="26" t="n">
        <f aca="false">IF(OR(T1148="",P1148=""),"",(T1148-P1148)/T1148)</f>
        <v>0.564754098360656</v>
      </c>
      <c r="V1148" s="26" t="n">
        <f aca="false">IF(T1148="",0,T1148/N1148-1)</f>
        <v>0.22012201220122</v>
      </c>
      <c r="W1148" s="19" t="s">
        <v>94</v>
      </c>
    </row>
    <row r="1149" customFormat="false" ht="15" hidden="false" customHeight="false" outlineLevel="0" collapsed="false">
      <c r="A1149" s="38" t="n">
        <v>1098</v>
      </c>
      <c r="B1149" s="38" t="s">
        <v>1331</v>
      </c>
      <c r="C1149" s="38" t="s">
        <v>57</v>
      </c>
      <c r="D1149" s="38"/>
      <c r="E1149" s="38" t="s">
        <v>58</v>
      </c>
      <c r="F1149" s="39" t="n">
        <v>2</v>
      </c>
      <c r="G1149" s="39" t="n">
        <v>2</v>
      </c>
      <c r="H1149" s="40" t="n">
        <v>199.98</v>
      </c>
      <c r="I1149" s="40" t="n">
        <v>0</v>
      </c>
      <c r="J1149" s="40" t="n">
        <v>0</v>
      </c>
      <c r="K1149" s="41" t="n">
        <f aca="false">H1149+I1149+J1149</f>
        <v>199.98</v>
      </c>
      <c r="L1149" s="42" t="n">
        <f aca="false">IF($K$1282=0,0,K1149/$K$1282)</f>
        <v>1.65660307771702E-005</v>
      </c>
      <c r="M1149" s="43" t="n">
        <f aca="false">IF(F1149&lt;=0,0,K1149/F1149)</f>
        <v>99.99</v>
      </c>
      <c r="N1149" s="40" t="n">
        <v>99.99</v>
      </c>
      <c r="O1149" s="44" t="n">
        <v>2.36</v>
      </c>
      <c r="P1149" s="43" t="n">
        <f aca="false">O1149*'Price Groups'!$B$5</f>
        <v>53.1</v>
      </c>
      <c r="Q1149" s="45" t="n">
        <f aca="false">IF(OR(N1149="",P1149=""),"",(N1149-P1149)/N1149)</f>
        <v>0.468946894689469</v>
      </c>
      <c r="R1149" s="46" t="n">
        <v>1</v>
      </c>
      <c r="S1149" s="47" t="n">
        <f aca="false">IF(R1149="-",0,IFERROR(VLOOKUP(R1149,'Price Groups'!$A$13:$C$17,3,FALSE()),0))</f>
        <v>0.22</v>
      </c>
      <c r="T1149" s="41" t="n">
        <f aca="false">IF(OR(N1149="",R1149="-"),"",CEILING(ROUND(N1149*(1+S1149),2),IF(N1149*(1+S1149)&lt;100,0.5,IF(N1149*(1+S1149)&lt;1000,1,5))))</f>
        <v>122</v>
      </c>
      <c r="U1149" s="45" t="n">
        <f aca="false">IF(OR(T1149="",P1149=""),"",(T1149-P1149)/T1149)</f>
        <v>0.564754098360656</v>
      </c>
      <c r="V1149" s="45" t="n">
        <f aca="false">IF(T1149="",0,T1149/N1149-1)</f>
        <v>0.22012201220122</v>
      </c>
      <c r="W1149" s="38" t="s">
        <v>94</v>
      </c>
    </row>
    <row r="1150" customFormat="false" ht="15" hidden="false" customHeight="false" outlineLevel="0" collapsed="false">
      <c r="A1150" s="19" t="n">
        <v>1099</v>
      </c>
      <c r="B1150" s="19" t="s">
        <v>1332</v>
      </c>
      <c r="C1150" s="19" t="s">
        <v>57</v>
      </c>
      <c r="D1150" s="19"/>
      <c r="E1150" s="19" t="s">
        <v>58</v>
      </c>
      <c r="F1150" s="20" t="n">
        <v>2</v>
      </c>
      <c r="G1150" s="20" t="n">
        <v>3</v>
      </c>
      <c r="H1150" s="21" t="n">
        <v>479.97</v>
      </c>
      <c r="I1150" s="21" t="n">
        <v>-15.99</v>
      </c>
      <c r="J1150" s="21" t="n">
        <v>-159.99</v>
      </c>
      <c r="K1150" s="22" t="n">
        <f aca="false">H1150+I1150+J1150</f>
        <v>303.99</v>
      </c>
      <c r="L1150" s="23" t="n">
        <f aca="false">IF($K$1282=0,0,K1150/$K$1282)</f>
        <v>2.51820566854284E-005</v>
      </c>
      <c r="M1150" s="24" t="n">
        <f aca="false">IF(F1150&lt;=0,0,K1150/F1150)</f>
        <v>151.995</v>
      </c>
      <c r="N1150" s="21" t="n">
        <v>159.99</v>
      </c>
      <c r="O1150" s="49" t="n">
        <v>3.85</v>
      </c>
      <c r="P1150" s="24" t="n">
        <f aca="false">O1150*'Price Groups'!$B$5</f>
        <v>86.625</v>
      </c>
      <c r="Q1150" s="26" t="n">
        <f aca="false">IF(OR(N1150="",P1150=""),"",(N1150-P1150)/N1150)</f>
        <v>0.458559909994375</v>
      </c>
      <c r="R1150" s="27" t="n">
        <v>1</v>
      </c>
      <c r="S1150" s="28" t="n">
        <f aca="false">IF(R1150="-",0,IFERROR(VLOOKUP(R1150,'Price Groups'!$A$13:$C$17,3,FALSE()),0))</f>
        <v>0.22</v>
      </c>
      <c r="T1150" s="22" t="n">
        <f aca="false">IF(OR(N1150="",R1150="-"),"",CEILING(ROUND(N1150*(1+S1150),2),IF(N1150*(1+S1150)&lt;100,0.5,IF(N1150*(1+S1150)&lt;1000,1,5))))</f>
        <v>196</v>
      </c>
      <c r="U1150" s="26" t="n">
        <f aca="false">IF(OR(T1150="",P1150=""),"",(T1150-P1150)/T1150)</f>
        <v>0.558035714285714</v>
      </c>
      <c r="V1150" s="26" t="n">
        <f aca="false">IF(T1150="",0,T1150/N1150-1)</f>
        <v>0.225076567285455</v>
      </c>
      <c r="W1150" s="19" t="s">
        <v>94</v>
      </c>
    </row>
    <row r="1151" customFormat="false" ht="15" hidden="false" customHeight="false" outlineLevel="0" collapsed="false">
      <c r="A1151" s="38" t="n">
        <v>1100</v>
      </c>
      <c r="B1151" s="38" t="s">
        <v>1333</v>
      </c>
      <c r="C1151" s="38" t="s">
        <v>57</v>
      </c>
      <c r="D1151" s="38"/>
      <c r="E1151" s="38" t="s">
        <v>58</v>
      </c>
      <c r="F1151" s="39" t="n">
        <v>2</v>
      </c>
      <c r="G1151" s="39" t="n">
        <v>3</v>
      </c>
      <c r="H1151" s="40" t="n">
        <v>479.97</v>
      </c>
      <c r="I1151" s="40" t="n">
        <v>0</v>
      </c>
      <c r="J1151" s="40" t="n">
        <v>-159.99</v>
      </c>
      <c r="K1151" s="41" t="n">
        <f aca="false">H1151+I1151+J1151</f>
        <v>319.98</v>
      </c>
      <c r="L1151" s="42" t="n">
        <f aca="false">IF($K$1282=0,0,K1151/$K$1282)</f>
        <v>2.65066433047251E-005</v>
      </c>
      <c r="M1151" s="43" t="n">
        <f aca="false">IF(F1151&lt;=0,0,K1151/F1151)</f>
        <v>159.99</v>
      </c>
      <c r="N1151" s="40" t="n">
        <v>159.99</v>
      </c>
      <c r="O1151" s="44" t="n">
        <v>3.85</v>
      </c>
      <c r="P1151" s="43" t="n">
        <f aca="false">O1151*'Price Groups'!$B$5</f>
        <v>86.625</v>
      </c>
      <c r="Q1151" s="45" t="n">
        <f aca="false">IF(OR(N1151="",P1151=""),"",(N1151-P1151)/N1151)</f>
        <v>0.458559909994375</v>
      </c>
      <c r="R1151" s="46" t="n">
        <v>1</v>
      </c>
      <c r="S1151" s="47" t="n">
        <f aca="false">IF(R1151="-",0,IFERROR(VLOOKUP(R1151,'Price Groups'!$A$13:$C$17,3,FALSE()),0))</f>
        <v>0.22</v>
      </c>
      <c r="T1151" s="41" t="n">
        <f aca="false">IF(OR(N1151="",R1151="-"),"",CEILING(ROUND(N1151*(1+S1151),2),IF(N1151*(1+S1151)&lt;100,0.5,IF(N1151*(1+S1151)&lt;1000,1,5))))</f>
        <v>196</v>
      </c>
      <c r="U1151" s="45" t="n">
        <f aca="false">IF(OR(T1151="",P1151=""),"",(T1151-P1151)/T1151)</f>
        <v>0.558035714285714</v>
      </c>
      <c r="V1151" s="45" t="n">
        <f aca="false">IF(T1151="",0,T1151/N1151-1)</f>
        <v>0.225076567285455</v>
      </c>
      <c r="W1151" s="38" t="s">
        <v>94</v>
      </c>
    </row>
    <row r="1152" customFormat="false" ht="15" hidden="false" customHeight="false" outlineLevel="0" collapsed="false">
      <c r="A1152" s="19" t="n">
        <v>1101</v>
      </c>
      <c r="B1152" s="19" t="s">
        <v>269</v>
      </c>
      <c r="C1152" s="19" t="s">
        <v>307</v>
      </c>
      <c r="D1152" s="19" t="s">
        <v>268</v>
      </c>
      <c r="E1152" s="19" t="s">
        <v>58</v>
      </c>
      <c r="F1152" s="20" t="n">
        <v>2</v>
      </c>
      <c r="G1152" s="20" t="n">
        <v>2</v>
      </c>
      <c r="H1152" s="21" t="n">
        <v>2500</v>
      </c>
      <c r="I1152" s="21" t="n">
        <v>-125</v>
      </c>
      <c r="J1152" s="21" t="n">
        <v>0</v>
      </c>
      <c r="K1152" s="22" t="n">
        <f aca="false">H1152+I1152+J1152</f>
        <v>2375</v>
      </c>
      <c r="L1152" s="23" t="n">
        <f aca="false">IF($K$1282=0,0,K1152/$K$1282)</f>
        <v>0.000196741289607857</v>
      </c>
      <c r="M1152" s="24" t="n">
        <f aca="false">IF(F1152&lt;=0,0,K1152/F1152)</f>
        <v>1187.5</v>
      </c>
      <c r="N1152" s="21" t="n">
        <v>1250</v>
      </c>
      <c r="O1152" s="49" t="n">
        <v>32.6</v>
      </c>
      <c r="P1152" s="24" t="n">
        <f aca="false">O1152*'Price Groups'!$B$5</f>
        <v>733.5</v>
      </c>
      <c r="Q1152" s="26" t="n">
        <f aca="false">IF(OR(N1152="",P1152=""),"",(N1152-P1152)/N1152)</f>
        <v>0.4132</v>
      </c>
      <c r="R1152" s="27" t="n">
        <v>3</v>
      </c>
      <c r="S1152" s="28" t="n">
        <f aca="false">IF(R1152="-",0,IFERROR(VLOOKUP(R1152,'Price Groups'!$A$13:$C$17,3,FALSE()),0))</f>
        <v>0.16</v>
      </c>
      <c r="T1152" s="22" t="n">
        <f aca="false">IF(OR(N1152="",R1152="-"),"",CEILING(ROUND(N1152*(1+S1152),2),IF(N1152*(1+S1152)&lt;100,0.5,IF(N1152*(1+S1152)&lt;1000,1,5))))</f>
        <v>1450</v>
      </c>
      <c r="U1152" s="26" t="n">
        <f aca="false">IF(OR(T1152="",P1152=""),"",(T1152-P1152)/T1152)</f>
        <v>0.494137931034483</v>
      </c>
      <c r="V1152" s="26" t="n">
        <f aca="false">IF(T1152="",0,T1152/N1152-1)</f>
        <v>0.16</v>
      </c>
      <c r="W1152" s="19" t="s">
        <v>1334</v>
      </c>
    </row>
    <row r="1153" customFormat="false" ht="15" hidden="false" customHeight="false" outlineLevel="0" collapsed="false">
      <c r="A1153" s="38" t="n">
        <v>1102</v>
      </c>
      <c r="B1153" s="38" t="s">
        <v>1335</v>
      </c>
      <c r="C1153" s="38" t="s">
        <v>57</v>
      </c>
      <c r="D1153" s="38"/>
      <c r="E1153" s="38" t="s">
        <v>58</v>
      </c>
      <c r="F1153" s="39" t="n">
        <v>2</v>
      </c>
      <c r="G1153" s="39" t="n">
        <v>2</v>
      </c>
      <c r="H1153" s="40" t="n">
        <v>699.98</v>
      </c>
      <c r="I1153" s="40" t="n">
        <v>0</v>
      </c>
      <c r="J1153" s="40" t="n">
        <v>0</v>
      </c>
      <c r="K1153" s="41" t="n">
        <f aca="false">H1153+I1153+J1153</f>
        <v>699.98</v>
      </c>
      <c r="L1153" s="42" t="n">
        <f aca="false">IF($K$1282=0,0,K1153/$K$1282)</f>
        <v>5.79852496419822E-005</v>
      </c>
      <c r="M1153" s="43" t="n">
        <f aca="false">IF(F1153&lt;=0,0,K1153/F1153)</f>
        <v>349.99</v>
      </c>
      <c r="N1153" s="40" t="n">
        <v>349.99</v>
      </c>
      <c r="O1153" s="44" t="n">
        <v>10.5</v>
      </c>
      <c r="P1153" s="43" t="n">
        <f aca="false">O1153*'Price Groups'!$B$5</f>
        <v>236.25</v>
      </c>
      <c r="Q1153" s="45" t="n">
        <f aca="false">IF(OR(N1153="",P1153=""),"",(N1153-P1153)/N1153)</f>
        <v>0.324980713734678</v>
      </c>
      <c r="R1153" s="46" t="n">
        <v>1</v>
      </c>
      <c r="S1153" s="47" t="n">
        <f aca="false">IF(R1153="-",0,IFERROR(VLOOKUP(R1153,'Price Groups'!$A$13:$C$17,3,FALSE()),0))</f>
        <v>0.22</v>
      </c>
      <c r="T1153" s="41" t="n">
        <f aca="false">IF(OR(N1153="",R1153="-"),"",CEILING(ROUND(N1153*(1+S1153),2),IF(N1153*(1+S1153)&lt;100,0.5,IF(N1153*(1+S1153)&lt;1000,1,5))))</f>
        <v>427</v>
      </c>
      <c r="U1153" s="45" t="n">
        <f aca="false">IF(OR(T1153="",P1153=""),"",(T1153-P1153)/T1153)</f>
        <v>0.44672131147541</v>
      </c>
      <c r="V1153" s="45" t="n">
        <f aca="false">IF(T1153="",0,T1153/N1153-1)</f>
        <v>0.220034858138804</v>
      </c>
      <c r="W1153" s="38" t="s">
        <v>94</v>
      </c>
    </row>
    <row r="1154" customFormat="false" ht="15" hidden="false" customHeight="false" outlineLevel="0" collapsed="false">
      <c r="A1154" s="19" t="n">
        <v>1103</v>
      </c>
      <c r="B1154" s="19" t="s">
        <v>1336</v>
      </c>
      <c r="C1154" s="19" t="s">
        <v>57</v>
      </c>
      <c r="D1154" s="19"/>
      <c r="E1154" s="19" t="s">
        <v>58</v>
      </c>
      <c r="F1154" s="20" t="n">
        <v>2</v>
      </c>
      <c r="G1154" s="20" t="n">
        <v>2</v>
      </c>
      <c r="H1154" s="21" t="n">
        <v>999.98</v>
      </c>
      <c r="I1154" s="21" t="n">
        <v>0</v>
      </c>
      <c r="J1154" s="21" t="n">
        <v>0</v>
      </c>
      <c r="K1154" s="22" t="n">
        <f aca="false">H1154+I1154+J1154</f>
        <v>999.98</v>
      </c>
      <c r="L1154" s="23" t="n">
        <f aca="false">IF($K$1282=0,0,K1154/$K$1282)</f>
        <v>8.28367809608694E-005</v>
      </c>
      <c r="M1154" s="24" t="n">
        <f aca="false">IF(F1154&lt;=0,0,K1154/F1154)</f>
        <v>499.99</v>
      </c>
      <c r="N1154" s="21" t="n">
        <v>499.99</v>
      </c>
      <c r="O1154" s="49" t="n">
        <v>14</v>
      </c>
      <c r="P1154" s="24" t="n">
        <f aca="false">O1154*'Price Groups'!$B$5</f>
        <v>315</v>
      </c>
      <c r="Q1154" s="26" t="n">
        <f aca="false">IF(OR(N1154="",P1154=""),"",(N1154-P1154)/N1154)</f>
        <v>0.369987399747995</v>
      </c>
      <c r="R1154" s="27" t="n">
        <v>1</v>
      </c>
      <c r="S1154" s="28" t="n">
        <f aca="false">IF(R1154="-",0,IFERROR(VLOOKUP(R1154,'Price Groups'!$A$13:$C$17,3,FALSE()),0))</f>
        <v>0.22</v>
      </c>
      <c r="T1154" s="22" t="n">
        <f aca="false">IF(OR(N1154="",R1154="-"),"",CEILING(ROUND(N1154*(1+S1154),2),IF(N1154*(1+S1154)&lt;100,0.5,IF(N1154*(1+S1154)&lt;1000,1,5))))</f>
        <v>610</v>
      </c>
      <c r="U1154" s="26" t="n">
        <f aca="false">IF(OR(T1154="",P1154=""),"",(T1154-P1154)/T1154)</f>
        <v>0.483606557377049</v>
      </c>
      <c r="V1154" s="26" t="n">
        <f aca="false">IF(T1154="",0,T1154/N1154-1)</f>
        <v>0.22002440048801</v>
      </c>
      <c r="W1154" s="19" t="s">
        <v>94</v>
      </c>
    </row>
    <row r="1155" customFormat="false" ht="15" hidden="false" customHeight="false" outlineLevel="0" collapsed="false">
      <c r="A1155" s="38" t="n">
        <v>1104</v>
      </c>
      <c r="B1155" s="38" t="s">
        <v>1337</v>
      </c>
      <c r="C1155" s="38" t="s">
        <v>57</v>
      </c>
      <c r="D1155" s="38"/>
      <c r="E1155" s="38" t="s">
        <v>58</v>
      </c>
      <c r="F1155" s="39" t="n">
        <v>2</v>
      </c>
      <c r="G1155" s="39" t="n">
        <v>3</v>
      </c>
      <c r="H1155" s="40" t="n">
        <v>779.97</v>
      </c>
      <c r="I1155" s="40" t="n">
        <v>0</v>
      </c>
      <c r="J1155" s="40" t="n">
        <v>-259.99</v>
      </c>
      <c r="K1155" s="41" t="n">
        <f aca="false">H1155+I1155+J1155</f>
        <v>519.98</v>
      </c>
      <c r="L1155" s="42" t="n">
        <f aca="false">IF($K$1282=0,0,K1155/$K$1282)</f>
        <v>4.30743308506499E-005</v>
      </c>
      <c r="M1155" s="43" t="n">
        <f aca="false">IF(F1155&lt;=0,0,K1155/F1155)</f>
        <v>259.99</v>
      </c>
      <c r="N1155" s="40" t="n">
        <v>259.99</v>
      </c>
      <c r="O1155" s="44" t="n">
        <v>7.22</v>
      </c>
      <c r="P1155" s="43" t="n">
        <f aca="false">O1155*'Price Groups'!$B$5</f>
        <v>162.45</v>
      </c>
      <c r="Q1155" s="45" t="n">
        <f aca="false">IF(OR(N1155="",P1155=""),"",(N1155-P1155)/N1155)</f>
        <v>0.375168275702912</v>
      </c>
      <c r="R1155" s="46" t="n">
        <v>1</v>
      </c>
      <c r="S1155" s="47" t="n">
        <f aca="false">IF(R1155="-",0,IFERROR(VLOOKUP(R1155,'Price Groups'!$A$13:$C$17,3,FALSE()),0))</f>
        <v>0.22</v>
      </c>
      <c r="T1155" s="41" t="n">
        <f aca="false">IF(OR(N1155="",R1155="-"),"",CEILING(ROUND(N1155*(1+S1155),2),IF(N1155*(1+S1155)&lt;100,0.5,IF(N1155*(1+S1155)&lt;1000,1,5))))</f>
        <v>318</v>
      </c>
      <c r="U1155" s="45" t="n">
        <f aca="false">IF(OR(T1155="",P1155=""),"",(T1155-P1155)/T1155)</f>
        <v>0.489150943396226</v>
      </c>
      <c r="V1155" s="45" t="n">
        <f aca="false">IF(T1155="",0,T1155/N1155-1)</f>
        <v>0.223123966306396</v>
      </c>
      <c r="W1155" s="38" t="s">
        <v>94</v>
      </c>
    </row>
    <row r="1156" customFormat="false" ht="15" hidden="false" customHeight="false" outlineLevel="0" collapsed="false">
      <c r="A1156" s="19" t="n">
        <v>1105</v>
      </c>
      <c r="B1156" s="19" t="s">
        <v>1338</v>
      </c>
      <c r="C1156" s="19" t="s">
        <v>57</v>
      </c>
      <c r="D1156" s="19"/>
      <c r="E1156" s="19" t="s">
        <v>58</v>
      </c>
      <c r="F1156" s="20" t="n">
        <v>2</v>
      </c>
      <c r="G1156" s="20" t="n">
        <v>3</v>
      </c>
      <c r="H1156" s="21" t="n">
        <v>256.23</v>
      </c>
      <c r="I1156" s="21" t="n">
        <v>-85.41</v>
      </c>
      <c r="J1156" s="21" t="n">
        <v>-85.41</v>
      </c>
      <c r="K1156" s="22" t="n">
        <f aca="false">H1156+I1156+J1156</f>
        <v>85.41</v>
      </c>
      <c r="L1156" s="23" t="n">
        <f aca="false">IF($K$1282=0,0,K1156/$K$1282)</f>
        <v>7.07523096648719E-006</v>
      </c>
      <c r="M1156" s="24" t="n">
        <f aca="false">IF(F1156&lt;=0,0,K1156/F1156)</f>
        <v>42.705</v>
      </c>
      <c r="N1156" s="21" t="n">
        <v>85.41</v>
      </c>
      <c r="O1156" s="49" t="n">
        <v>3.3</v>
      </c>
      <c r="P1156" s="24" t="n">
        <f aca="false">O1156*'Price Groups'!$B$5</f>
        <v>74.25</v>
      </c>
      <c r="Q1156" s="26" t="n">
        <f aca="false">IF(OR(N1156="",P1156=""),"",(N1156-P1156)/N1156)</f>
        <v>0.130663856691254</v>
      </c>
      <c r="R1156" s="27" t="n">
        <v>1</v>
      </c>
      <c r="S1156" s="28" t="n">
        <f aca="false">IF(R1156="-",0,IFERROR(VLOOKUP(R1156,'Price Groups'!$A$13:$C$17,3,FALSE()),0))</f>
        <v>0.22</v>
      </c>
      <c r="T1156" s="22" t="n">
        <f aca="false">IF(OR(N1156="",R1156="-"),"",CEILING(ROUND(N1156*(1+S1156),2),IF(N1156*(1+S1156)&lt;100,0.5,IF(N1156*(1+S1156)&lt;1000,1,5))))</f>
        <v>105</v>
      </c>
      <c r="U1156" s="26" t="n">
        <f aca="false">IF(OR(T1156="",P1156=""),"",(T1156-P1156)/T1156)</f>
        <v>0.292857142857143</v>
      </c>
      <c r="V1156" s="26" t="n">
        <f aca="false">IF(T1156="",0,T1156/N1156-1)</f>
        <v>0.229364243062873</v>
      </c>
      <c r="W1156" s="19" t="s">
        <v>476</v>
      </c>
    </row>
    <row r="1157" customFormat="false" ht="15" hidden="false" customHeight="false" outlineLevel="0" collapsed="false">
      <c r="A1157" s="38" t="n">
        <v>1106</v>
      </c>
      <c r="B1157" s="38" t="s">
        <v>1339</v>
      </c>
      <c r="C1157" s="38" t="s">
        <v>57</v>
      </c>
      <c r="D1157" s="38"/>
      <c r="E1157" s="38" t="s">
        <v>58</v>
      </c>
      <c r="F1157" s="39" t="n">
        <v>2</v>
      </c>
      <c r="G1157" s="39" t="n">
        <v>2</v>
      </c>
      <c r="H1157" s="40" t="n">
        <v>299.98</v>
      </c>
      <c r="I1157" s="40" t="n">
        <v>0</v>
      </c>
      <c r="J1157" s="40" t="n">
        <v>0</v>
      </c>
      <c r="K1157" s="41" t="n">
        <f aca="false">H1157+I1157+J1157</f>
        <v>299.98</v>
      </c>
      <c r="L1157" s="42" t="n">
        <f aca="false">IF($K$1282=0,0,K1157/$K$1282)</f>
        <v>2.48498745501326E-005</v>
      </c>
      <c r="M1157" s="43" t="n">
        <f aca="false">IF(F1157&lt;=0,0,K1157/F1157)</f>
        <v>149.99</v>
      </c>
      <c r="N1157" s="40" t="n">
        <v>85.41</v>
      </c>
      <c r="O1157" s="44" t="n">
        <v>3.3</v>
      </c>
      <c r="P1157" s="43" t="n">
        <f aca="false">O1157*'Price Groups'!$B$5</f>
        <v>74.25</v>
      </c>
      <c r="Q1157" s="45" t="n">
        <f aca="false">IF(OR(N1157="",P1157=""),"",(N1157-P1157)/N1157)</f>
        <v>0.130663856691254</v>
      </c>
      <c r="R1157" s="46" t="n">
        <v>1</v>
      </c>
      <c r="S1157" s="47" t="n">
        <f aca="false">IF(R1157="-",0,IFERROR(VLOOKUP(R1157,'Price Groups'!$A$13:$C$17,3,FALSE()),0))</f>
        <v>0.22</v>
      </c>
      <c r="T1157" s="41" t="n">
        <f aca="false">IF(OR(N1157="",R1157="-"),"",CEILING(ROUND(N1157*(1+S1157),2),IF(N1157*(1+S1157)&lt;100,0.5,IF(N1157*(1+S1157)&lt;1000,1,5))))</f>
        <v>105</v>
      </c>
      <c r="U1157" s="45" t="n">
        <f aca="false">IF(OR(T1157="",P1157=""),"",(T1157-P1157)/T1157)</f>
        <v>0.292857142857143</v>
      </c>
      <c r="V1157" s="45" t="n">
        <f aca="false">IF(T1157="",0,T1157/N1157-1)</f>
        <v>0.229364243062873</v>
      </c>
      <c r="W1157" s="38" t="s">
        <v>476</v>
      </c>
    </row>
    <row r="1158" customFormat="false" ht="15" hidden="false" customHeight="false" outlineLevel="0" collapsed="false">
      <c r="A1158" s="19" t="n">
        <v>1107</v>
      </c>
      <c r="B1158" s="19" t="s">
        <v>1340</v>
      </c>
      <c r="C1158" s="19" t="s">
        <v>57</v>
      </c>
      <c r="D1158" s="19"/>
      <c r="E1158" s="19" t="s">
        <v>58</v>
      </c>
      <c r="F1158" s="20" t="n">
        <v>2</v>
      </c>
      <c r="G1158" s="20" t="n">
        <v>2</v>
      </c>
      <c r="H1158" s="21" t="n">
        <v>255.73</v>
      </c>
      <c r="I1158" s="21" t="n">
        <v>0</v>
      </c>
      <c r="J1158" s="21" t="n">
        <v>0</v>
      </c>
      <c r="K1158" s="22" t="n">
        <f aca="false">H1158+I1158+J1158</f>
        <v>255.73</v>
      </c>
      <c r="L1158" s="23" t="n">
        <f aca="false">IF($K$1282=0,0,K1158/$K$1282)</f>
        <v>2.11842736805967E-005</v>
      </c>
      <c r="M1158" s="24" t="n">
        <f aca="false">IF(F1158&lt;=0,0,K1158/F1158)</f>
        <v>127.865</v>
      </c>
      <c r="N1158" s="21" t="n">
        <v>105.74</v>
      </c>
      <c r="O1158" s="49" t="n">
        <v>3.3</v>
      </c>
      <c r="P1158" s="24" t="n">
        <f aca="false">O1158*'Price Groups'!$B$5</f>
        <v>74.25</v>
      </c>
      <c r="Q1158" s="26" t="n">
        <f aca="false">IF(OR(N1158="",P1158=""),"",(N1158-P1158)/N1158)</f>
        <v>0.297805939095896</v>
      </c>
      <c r="R1158" s="27" t="n">
        <v>1</v>
      </c>
      <c r="S1158" s="28" t="n">
        <f aca="false">IF(R1158="-",0,IFERROR(VLOOKUP(R1158,'Price Groups'!$A$13:$C$17,3,FALSE()),0))</f>
        <v>0.22</v>
      </c>
      <c r="T1158" s="22" t="n">
        <f aca="false">IF(OR(N1158="",R1158="-"),"",CEILING(ROUND(N1158*(1+S1158),2),IF(N1158*(1+S1158)&lt;100,0.5,IF(N1158*(1+S1158)&lt;1000,1,5))))</f>
        <v>129</v>
      </c>
      <c r="U1158" s="26" t="n">
        <f aca="false">IF(OR(T1158="",P1158=""),"",(T1158-P1158)/T1158)</f>
        <v>0.424418604651163</v>
      </c>
      <c r="V1158" s="26" t="n">
        <f aca="false">IF(T1158="",0,T1158/N1158-1)</f>
        <v>0.219973519954606</v>
      </c>
      <c r="W1158" s="19" t="s">
        <v>94</v>
      </c>
    </row>
    <row r="1159" customFormat="false" ht="15" hidden="false" customHeight="false" outlineLevel="0" collapsed="false">
      <c r="A1159" s="38" t="n">
        <v>1108</v>
      </c>
      <c r="B1159" s="38" t="s">
        <v>1341</v>
      </c>
      <c r="C1159" s="38" t="s">
        <v>57</v>
      </c>
      <c r="D1159" s="38"/>
      <c r="E1159" s="38" t="s">
        <v>58</v>
      </c>
      <c r="F1159" s="39" t="n">
        <v>2</v>
      </c>
      <c r="G1159" s="39" t="n">
        <v>2</v>
      </c>
      <c r="H1159" s="40" t="n">
        <v>299.98</v>
      </c>
      <c r="I1159" s="40" t="n">
        <v>0</v>
      </c>
      <c r="J1159" s="40" t="n">
        <v>0</v>
      </c>
      <c r="K1159" s="41" t="n">
        <f aca="false">H1159+I1159+J1159</f>
        <v>299.98</v>
      </c>
      <c r="L1159" s="42" t="n">
        <f aca="false">IF($K$1282=0,0,K1159/$K$1282)</f>
        <v>2.48498745501326E-005</v>
      </c>
      <c r="M1159" s="43" t="n">
        <f aca="false">IF(F1159&lt;=0,0,K1159/F1159)</f>
        <v>149.99</v>
      </c>
      <c r="N1159" s="40" t="n">
        <v>149.99</v>
      </c>
      <c r="O1159" s="44" t="n">
        <v>3.31</v>
      </c>
      <c r="P1159" s="43" t="n">
        <f aca="false">O1159*'Price Groups'!$B$5</f>
        <v>74.475</v>
      </c>
      <c r="Q1159" s="45" t="n">
        <f aca="false">IF(OR(N1159="",P1159=""),"",(N1159-P1159)/N1159)</f>
        <v>0.503466897793186</v>
      </c>
      <c r="R1159" s="46" t="n">
        <v>1</v>
      </c>
      <c r="S1159" s="47" t="n">
        <f aca="false">IF(R1159="-",0,IFERROR(VLOOKUP(R1159,'Price Groups'!$A$13:$C$17,3,FALSE()),0))</f>
        <v>0.22</v>
      </c>
      <c r="T1159" s="41" t="n">
        <f aca="false">IF(OR(N1159="",R1159="-"),"",CEILING(ROUND(N1159*(1+S1159),2),IF(N1159*(1+S1159)&lt;100,0.5,IF(N1159*(1+S1159)&lt;1000,1,5))))</f>
        <v>183</v>
      </c>
      <c r="U1159" s="45" t="n">
        <f aca="false">IF(OR(T1159="",P1159=""),"",(T1159-P1159)/T1159)</f>
        <v>0.593032786885246</v>
      </c>
      <c r="V1159" s="45" t="n">
        <f aca="false">IF(T1159="",0,T1159/N1159-1)</f>
        <v>0.220081338755917</v>
      </c>
      <c r="W1159" s="38" t="s">
        <v>94</v>
      </c>
    </row>
    <row r="1160" customFormat="false" ht="15" hidden="false" customHeight="false" outlineLevel="0" collapsed="false">
      <c r="A1160" s="19" t="n">
        <v>1109</v>
      </c>
      <c r="B1160" s="19" t="s">
        <v>1342</v>
      </c>
      <c r="C1160" s="19" t="s">
        <v>57</v>
      </c>
      <c r="D1160" s="19"/>
      <c r="E1160" s="19" t="s">
        <v>58</v>
      </c>
      <c r="F1160" s="20" t="n">
        <v>2</v>
      </c>
      <c r="G1160" s="20" t="n">
        <v>2</v>
      </c>
      <c r="H1160" s="21" t="n">
        <v>199.98</v>
      </c>
      <c r="I1160" s="21" t="n">
        <v>0</v>
      </c>
      <c r="J1160" s="21" t="n">
        <v>0</v>
      </c>
      <c r="K1160" s="22" t="n">
        <f aca="false">H1160+I1160+J1160</f>
        <v>199.98</v>
      </c>
      <c r="L1160" s="23" t="n">
        <f aca="false">IF($K$1282=0,0,K1160/$K$1282)</f>
        <v>1.65660307771702E-005</v>
      </c>
      <c r="M1160" s="24" t="n">
        <f aca="false">IF(F1160&lt;=0,0,K1160/F1160)</f>
        <v>99.99</v>
      </c>
      <c r="N1160" s="21" t="n">
        <v>99.99</v>
      </c>
      <c r="O1160" s="49" t="n">
        <v>1.82</v>
      </c>
      <c r="P1160" s="24" t="n">
        <f aca="false">O1160*'Price Groups'!$B$5</f>
        <v>40.95</v>
      </c>
      <c r="Q1160" s="26" t="n">
        <f aca="false">IF(OR(N1160="",P1160=""),"",(N1160-P1160)/N1160)</f>
        <v>0.59045904590459</v>
      </c>
      <c r="R1160" s="27" t="n">
        <v>1</v>
      </c>
      <c r="S1160" s="28" t="n">
        <f aca="false">IF(R1160="-",0,IFERROR(VLOOKUP(R1160,'Price Groups'!$A$13:$C$17,3,FALSE()),0))</f>
        <v>0.22</v>
      </c>
      <c r="T1160" s="22" t="n">
        <f aca="false">IF(OR(N1160="",R1160="-"),"",CEILING(ROUND(N1160*(1+S1160),2),IF(N1160*(1+S1160)&lt;100,0.5,IF(N1160*(1+S1160)&lt;1000,1,5))))</f>
        <v>122</v>
      </c>
      <c r="U1160" s="26" t="n">
        <f aca="false">IF(OR(T1160="",P1160=""),"",(T1160-P1160)/T1160)</f>
        <v>0.664344262295082</v>
      </c>
      <c r="V1160" s="26" t="n">
        <f aca="false">IF(T1160="",0,T1160/N1160-1)</f>
        <v>0.22012201220122</v>
      </c>
      <c r="W1160" s="19" t="s">
        <v>94</v>
      </c>
    </row>
    <row r="1161" customFormat="false" ht="15" hidden="false" customHeight="false" outlineLevel="0" collapsed="false">
      <c r="A1161" s="38" t="n">
        <v>1110</v>
      </c>
      <c r="B1161" s="38" t="s">
        <v>1343</v>
      </c>
      <c r="C1161" s="38" t="s">
        <v>57</v>
      </c>
      <c r="D1161" s="38"/>
      <c r="E1161" s="38" t="s">
        <v>58</v>
      </c>
      <c r="F1161" s="39" t="n">
        <v>2</v>
      </c>
      <c r="G1161" s="39" t="n">
        <v>4</v>
      </c>
      <c r="H1161" s="40" t="n">
        <v>719.96</v>
      </c>
      <c r="I1161" s="40" t="n">
        <v>0</v>
      </c>
      <c r="J1161" s="40" t="n">
        <v>-359.98</v>
      </c>
      <c r="K1161" s="41" t="n">
        <f aca="false">H1161+I1161+J1161</f>
        <v>359.98</v>
      </c>
      <c r="L1161" s="42" t="n">
        <f aca="false">IF($K$1282=0,0,K1161/$K$1282)</f>
        <v>2.98201808139101E-005</v>
      </c>
      <c r="M1161" s="43" t="n">
        <f aca="false">IF(F1161&lt;=0,0,K1161/F1161)</f>
        <v>179.99</v>
      </c>
      <c r="N1161" s="40" t="n">
        <v>179.99</v>
      </c>
      <c r="O1161" s="44" t="n">
        <v>3.65</v>
      </c>
      <c r="P1161" s="43" t="n">
        <f aca="false">O1161*'Price Groups'!$B$5</f>
        <v>82.125</v>
      </c>
      <c r="Q1161" s="45" t="n">
        <f aca="false">IF(OR(N1161="",P1161=""),"",(N1161-P1161)/N1161)</f>
        <v>0.543724651369521</v>
      </c>
      <c r="R1161" s="46" t="n">
        <v>1</v>
      </c>
      <c r="S1161" s="47" t="n">
        <f aca="false">IF(R1161="-",0,IFERROR(VLOOKUP(R1161,'Price Groups'!$A$13:$C$17,3,FALSE()),0))</f>
        <v>0.22</v>
      </c>
      <c r="T1161" s="41" t="n">
        <f aca="false">IF(OR(N1161="",R1161="-"),"",CEILING(ROUND(N1161*(1+S1161),2),IF(N1161*(1+S1161)&lt;100,0.5,IF(N1161*(1+S1161)&lt;1000,1,5))))</f>
        <v>220</v>
      </c>
      <c r="U1161" s="45" t="n">
        <f aca="false">IF(OR(T1161="",P1161=""),"",(T1161-P1161)/T1161)</f>
        <v>0.626704545454546</v>
      </c>
      <c r="V1161" s="45" t="n">
        <f aca="false">IF(T1161="",0,T1161/N1161-1)</f>
        <v>0.222290127229291</v>
      </c>
      <c r="W1161" s="38" t="s">
        <v>94</v>
      </c>
    </row>
    <row r="1162" customFormat="false" ht="15" hidden="false" customHeight="false" outlineLevel="0" collapsed="false">
      <c r="A1162" s="19" t="n">
        <v>1111</v>
      </c>
      <c r="B1162" s="19" t="s">
        <v>1344</v>
      </c>
      <c r="C1162" s="19" t="s">
        <v>57</v>
      </c>
      <c r="D1162" s="19"/>
      <c r="E1162" s="19" t="s">
        <v>58</v>
      </c>
      <c r="F1162" s="20" t="n">
        <v>2</v>
      </c>
      <c r="G1162" s="20" t="n">
        <v>2</v>
      </c>
      <c r="H1162" s="21" t="n">
        <v>5000</v>
      </c>
      <c r="I1162" s="21" t="n">
        <v>0</v>
      </c>
      <c r="J1162" s="21" t="n">
        <v>0</v>
      </c>
      <c r="K1162" s="22" t="n">
        <f aca="false">H1162+I1162+J1162</f>
        <v>5000</v>
      </c>
      <c r="L1162" s="23" t="n">
        <f aca="false">IF($K$1282=0,0,K1162/$K$1282)</f>
        <v>0.00041419218864812</v>
      </c>
      <c r="M1162" s="24" t="n">
        <f aca="false">IF(F1162&lt;=0,0,K1162/F1162)</f>
        <v>2500</v>
      </c>
      <c r="N1162" s="21" t="n">
        <v>2500</v>
      </c>
      <c r="O1162" s="49" t="n">
        <v>73</v>
      </c>
      <c r="P1162" s="24" t="n">
        <f aca="false">O1162*'Price Groups'!$B$5</f>
        <v>1642.5</v>
      </c>
      <c r="Q1162" s="26" t="n">
        <f aca="false">IF(OR(N1162="",P1162=""),"",(N1162-P1162)/N1162)</f>
        <v>0.343</v>
      </c>
      <c r="R1162" s="27" t="n">
        <v>1</v>
      </c>
      <c r="S1162" s="28" t="n">
        <f aca="false">IF(R1162="-",0,IFERROR(VLOOKUP(R1162,'Price Groups'!$A$13:$C$17,3,FALSE()),0))</f>
        <v>0.22</v>
      </c>
      <c r="T1162" s="22" t="n">
        <f aca="false">IF(OR(N1162="",R1162="-"),"",CEILING(ROUND(N1162*(1+S1162),2),IF(N1162*(1+S1162)&lt;100,0.5,IF(N1162*(1+S1162)&lt;1000,1,5))))</f>
        <v>3050</v>
      </c>
      <c r="U1162" s="26" t="n">
        <f aca="false">IF(OR(T1162="",P1162=""),"",(T1162-P1162)/T1162)</f>
        <v>0.461475409836066</v>
      </c>
      <c r="V1162" s="26" t="n">
        <f aca="false">IF(T1162="",0,T1162/N1162-1)</f>
        <v>0.22</v>
      </c>
      <c r="W1162" s="19" t="s">
        <v>94</v>
      </c>
    </row>
    <row r="1163" customFormat="false" ht="15" hidden="false" customHeight="false" outlineLevel="0" collapsed="false">
      <c r="A1163" s="38" t="n">
        <v>1112</v>
      </c>
      <c r="B1163" s="38" t="s">
        <v>1345</v>
      </c>
      <c r="C1163" s="38" t="s">
        <v>57</v>
      </c>
      <c r="D1163" s="38"/>
      <c r="E1163" s="38" t="s">
        <v>58</v>
      </c>
      <c r="F1163" s="39" t="n">
        <v>2</v>
      </c>
      <c r="G1163" s="39" t="n">
        <v>3</v>
      </c>
      <c r="H1163" s="40" t="n">
        <v>463.97</v>
      </c>
      <c r="I1163" s="40" t="n">
        <v>0</v>
      </c>
      <c r="J1163" s="40" t="n">
        <v>-151.99</v>
      </c>
      <c r="K1163" s="41" t="n">
        <f aca="false">H1163+I1163+J1163</f>
        <v>311.98</v>
      </c>
      <c r="L1163" s="42" t="n">
        <f aca="false">IF($K$1282=0,0,K1163/$K$1282)</f>
        <v>2.58439358028881E-005</v>
      </c>
      <c r="M1163" s="43" t="n">
        <f aca="false">IF(F1163&lt;=0,0,K1163/F1163)</f>
        <v>155.99</v>
      </c>
      <c r="N1163" s="40" t="n">
        <v>151.99</v>
      </c>
      <c r="O1163" s="44" t="n">
        <v>3.59</v>
      </c>
      <c r="P1163" s="43" t="n">
        <f aca="false">O1163*'Price Groups'!$B$5</f>
        <v>80.775</v>
      </c>
      <c r="Q1163" s="45" t="n">
        <f aca="false">IF(OR(N1163="",P1163=""),"",(N1163-P1163)/N1163)</f>
        <v>0.468550562537009</v>
      </c>
      <c r="R1163" s="46" t="n">
        <v>1</v>
      </c>
      <c r="S1163" s="47" t="n">
        <f aca="false">IF(R1163="-",0,IFERROR(VLOOKUP(R1163,'Price Groups'!$A$13:$C$17,3,FALSE()),0))</f>
        <v>0.22</v>
      </c>
      <c r="T1163" s="41" t="n">
        <f aca="false">IF(OR(N1163="",R1163="-"),"",CEILING(ROUND(N1163*(1+S1163),2),IF(N1163*(1+S1163)&lt;100,0.5,IF(N1163*(1+S1163)&lt;1000,1,5))))</f>
        <v>186</v>
      </c>
      <c r="U1163" s="45" t="n">
        <f aca="false">IF(OR(T1163="",P1163=""),"",(T1163-P1163)/T1163)</f>
        <v>0.565725806451613</v>
      </c>
      <c r="V1163" s="45" t="n">
        <f aca="false">IF(T1163="",0,T1163/N1163-1)</f>
        <v>0.223764721363247</v>
      </c>
      <c r="W1163" s="38" t="s">
        <v>94</v>
      </c>
    </row>
    <row r="1164" customFormat="false" ht="15" hidden="false" customHeight="false" outlineLevel="0" collapsed="false">
      <c r="A1164" s="19" t="n">
        <v>1113</v>
      </c>
      <c r="B1164" s="19" t="s">
        <v>1346</v>
      </c>
      <c r="C1164" s="19" t="s">
        <v>57</v>
      </c>
      <c r="D1164" s="19"/>
      <c r="E1164" s="19" t="s">
        <v>58</v>
      </c>
      <c r="F1164" s="20" t="n">
        <v>2</v>
      </c>
      <c r="G1164" s="20" t="n">
        <v>2</v>
      </c>
      <c r="H1164" s="21" t="n">
        <v>274.97</v>
      </c>
      <c r="I1164" s="21" t="n">
        <v>0</v>
      </c>
      <c r="J1164" s="21" t="n">
        <v>-84.99</v>
      </c>
      <c r="K1164" s="22" t="n">
        <f aca="false">H1164+I1164+J1164</f>
        <v>189.98</v>
      </c>
      <c r="L1164" s="23" t="n">
        <f aca="false">IF($K$1282=0,0,K1164/$K$1282)</f>
        <v>1.5737646399874E-005</v>
      </c>
      <c r="M1164" s="24" t="n">
        <f aca="false">IF(F1164&lt;=0,0,K1164/F1164)</f>
        <v>94.99</v>
      </c>
      <c r="N1164" s="21" t="n">
        <v>84.99</v>
      </c>
      <c r="O1164" s="49" t="n">
        <v>2</v>
      </c>
      <c r="P1164" s="24" t="n">
        <f aca="false">O1164*'Price Groups'!$B$5</f>
        <v>45</v>
      </c>
      <c r="Q1164" s="26" t="n">
        <f aca="false">IF(OR(N1164="",P1164=""),"",(N1164-P1164)/N1164)</f>
        <v>0.470525944228733</v>
      </c>
      <c r="R1164" s="27" t="n">
        <v>1</v>
      </c>
      <c r="S1164" s="28" t="n">
        <f aca="false">IF(R1164="-",0,IFERROR(VLOOKUP(R1164,'Price Groups'!$A$13:$C$17,3,FALSE()),0))</f>
        <v>0.22</v>
      </c>
      <c r="T1164" s="22" t="n">
        <f aca="false">IF(OR(N1164="",R1164="-"),"",CEILING(ROUND(N1164*(1+S1164),2),IF(N1164*(1+S1164)&lt;100,0.5,IF(N1164*(1+S1164)&lt;1000,1,5))))</f>
        <v>104</v>
      </c>
      <c r="U1164" s="26" t="n">
        <f aca="false">IF(OR(T1164="",P1164=""),"",(T1164-P1164)/T1164)</f>
        <v>0.567307692307692</v>
      </c>
      <c r="V1164" s="26" t="n">
        <f aca="false">IF(T1164="",0,T1164/N1164-1)</f>
        <v>0.22367337333804</v>
      </c>
      <c r="W1164" s="19" t="s">
        <v>94</v>
      </c>
    </row>
    <row r="1165" customFormat="false" ht="15" hidden="false" customHeight="false" outlineLevel="0" collapsed="false">
      <c r="A1165" s="38" t="n">
        <v>1114</v>
      </c>
      <c r="B1165" s="38" t="s">
        <v>1347</v>
      </c>
      <c r="C1165" s="38" t="s">
        <v>57</v>
      </c>
      <c r="D1165" s="38"/>
      <c r="E1165" s="38" t="s">
        <v>58</v>
      </c>
      <c r="F1165" s="39" t="n">
        <v>2</v>
      </c>
      <c r="G1165" s="39" t="n">
        <v>2</v>
      </c>
      <c r="H1165" s="40" t="n">
        <v>331.48</v>
      </c>
      <c r="I1165" s="40" t="n">
        <v>0</v>
      </c>
      <c r="J1165" s="40" t="n">
        <v>0</v>
      </c>
      <c r="K1165" s="41" t="n">
        <f aca="false">H1165+I1165+J1165</f>
        <v>331.48</v>
      </c>
      <c r="L1165" s="42" t="n">
        <f aca="false">IF($K$1282=0,0,K1165/$K$1282)</f>
        <v>2.74592853386158E-005</v>
      </c>
      <c r="M1165" s="43" t="n">
        <f aca="false">IF(F1165&lt;=0,0,K1165/F1165)</f>
        <v>165.74</v>
      </c>
      <c r="N1165" s="40" t="n">
        <v>120</v>
      </c>
      <c r="O1165" s="44" t="n">
        <v>3.7</v>
      </c>
      <c r="P1165" s="43" t="n">
        <f aca="false">O1165*'Price Groups'!$B$5</f>
        <v>83.25</v>
      </c>
      <c r="Q1165" s="45" t="n">
        <f aca="false">IF(OR(N1165="",P1165=""),"",(N1165-P1165)/N1165)</f>
        <v>0.30625</v>
      </c>
      <c r="R1165" s="46" t="n">
        <v>1</v>
      </c>
      <c r="S1165" s="47" t="n">
        <f aca="false">IF(R1165="-",0,IFERROR(VLOOKUP(R1165,'Price Groups'!$A$13:$C$17,3,FALSE()),0))</f>
        <v>0.22</v>
      </c>
      <c r="T1165" s="41" t="n">
        <f aca="false">IF(OR(N1165="",R1165="-"),"",CEILING(ROUND(N1165*(1+S1165),2),IF(N1165*(1+S1165)&lt;100,0.5,IF(N1165*(1+S1165)&lt;1000,1,5))))</f>
        <v>147</v>
      </c>
      <c r="U1165" s="45" t="n">
        <f aca="false">IF(OR(T1165="",P1165=""),"",(T1165-P1165)/T1165)</f>
        <v>0.433673469387755</v>
      </c>
      <c r="V1165" s="45" t="n">
        <f aca="false">IF(T1165="",0,T1165/N1165-1)</f>
        <v>0.225</v>
      </c>
      <c r="W1165" s="38" t="s">
        <v>94</v>
      </c>
    </row>
    <row r="1166" customFormat="false" ht="15" hidden="false" customHeight="false" outlineLevel="0" collapsed="false">
      <c r="A1166" s="19" t="n">
        <v>1115</v>
      </c>
      <c r="B1166" s="19" t="s">
        <v>1348</v>
      </c>
      <c r="C1166" s="19" t="s">
        <v>57</v>
      </c>
      <c r="D1166" s="19"/>
      <c r="E1166" s="19" t="s">
        <v>58</v>
      </c>
      <c r="F1166" s="20" t="n">
        <v>2</v>
      </c>
      <c r="G1166" s="20" t="n">
        <v>2</v>
      </c>
      <c r="H1166" s="21" t="n">
        <v>1399.98</v>
      </c>
      <c r="I1166" s="21" t="n">
        <v>0</v>
      </c>
      <c r="J1166" s="21" t="n">
        <v>0</v>
      </c>
      <c r="K1166" s="22" t="n">
        <f aca="false">H1166+I1166+J1166</f>
        <v>1399.98</v>
      </c>
      <c r="L1166" s="23" t="n">
        <f aca="false">IF($K$1282=0,0,K1166/$K$1282)</f>
        <v>0.000115972156052719</v>
      </c>
      <c r="M1166" s="24" t="n">
        <f aca="false">IF(F1166&lt;=0,0,K1166/F1166)</f>
        <v>699.99</v>
      </c>
      <c r="N1166" s="21" t="n">
        <v>699.99</v>
      </c>
      <c r="O1166" s="49" t="n">
        <v>15</v>
      </c>
      <c r="P1166" s="24" t="n">
        <f aca="false">O1166*'Price Groups'!$B$5</f>
        <v>337.5</v>
      </c>
      <c r="Q1166" s="26" t="n">
        <f aca="false">IF(OR(N1166="",P1166=""),"",(N1166-P1166)/N1166)</f>
        <v>0.517850255003643</v>
      </c>
      <c r="R1166" s="27" t="n">
        <v>1</v>
      </c>
      <c r="S1166" s="28" t="n">
        <f aca="false">IF(R1166="-",0,IFERROR(VLOOKUP(R1166,'Price Groups'!$A$13:$C$17,3,FALSE()),0))</f>
        <v>0.22</v>
      </c>
      <c r="T1166" s="22" t="n">
        <f aca="false">IF(OR(N1166="",R1166="-"),"",CEILING(ROUND(N1166*(1+S1166),2),IF(N1166*(1+S1166)&lt;100,0.5,IF(N1166*(1+S1166)&lt;1000,1,5))))</f>
        <v>854</v>
      </c>
      <c r="U1166" s="26" t="n">
        <f aca="false">IF(OR(T1166="",P1166=""),"",(T1166-P1166)/T1166)</f>
        <v>0.60480093676815</v>
      </c>
      <c r="V1166" s="26" t="n">
        <f aca="false">IF(T1166="",0,T1166/N1166-1)</f>
        <v>0.220017428820412</v>
      </c>
      <c r="W1166" s="19" t="s">
        <v>94</v>
      </c>
    </row>
    <row r="1167" customFormat="false" ht="15" hidden="false" customHeight="false" outlineLevel="0" collapsed="false">
      <c r="A1167" s="38" t="n">
        <v>1116</v>
      </c>
      <c r="B1167" s="38" t="s">
        <v>1349</v>
      </c>
      <c r="C1167" s="38" t="s">
        <v>57</v>
      </c>
      <c r="D1167" s="38"/>
      <c r="E1167" s="38" t="s">
        <v>58</v>
      </c>
      <c r="F1167" s="39" t="n">
        <v>2</v>
      </c>
      <c r="G1167" s="39" t="n">
        <v>1</v>
      </c>
      <c r="H1167" s="40" t="n">
        <v>79.98</v>
      </c>
      <c r="I1167" s="40" t="n">
        <v>0</v>
      </c>
      <c r="J1167" s="40" t="n">
        <v>0</v>
      </c>
      <c r="K1167" s="41" t="n">
        <f aca="false">H1167+I1167+J1167</f>
        <v>79.98</v>
      </c>
      <c r="L1167" s="42" t="n">
        <f aca="false">IF($K$1282=0,0,K1167/$K$1282)</f>
        <v>6.62541824961533E-006</v>
      </c>
      <c r="M1167" s="43" t="n">
        <f aca="false">IF(F1167&lt;=0,0,K1167/F1167)</f>
        <v>39.99</v>
      </c>
      <c r="N1167" s="40" t="n">
        <v>39.99</v>
      </c>
      <c r="O1167" s="44" t="n">
        <v>0.88</v>
      </c>
      <c r="P1167" s="43" t="n">
        <f aca="false">O1167*'Price Groups'!$B$5</f>
        <v>19.8</v>
      </c>
      <c r="Q1167" s="45" t="n">
        <f aca="false">IF(OR(N1167="",P1167=""),"",(N1167-P1167)/N1167)</f>
        <v>0.504876219054764</v>
      </c>
      <c r="R1167" s="46" t="n">
        <v>1</v>
      </c>
      <c r="S1167" s="47" t="n">
        <f aca="false">IF(R1167="-",0,IFERROR(VLOOKUP(R1167,'Price Groups'!$A$13:$C$17,3,FALSE()),0))</f>
        <v>0.22</v>
      </c>
      <c r="T1167" s="41" t="n">
        <f aca="false">IF(OR(N1167="",R1167="-"),"",CEILING(ROUND(N1167*(1+S1167),2),IF(N1167*(1+S1167)&lt;100,0.5,IF(N1167*(1+S1167)&lt;1000,1,5))))</f>
        <v>49</v>
      </c>
      <c r="U1167" s="45" t="n">
        <f aca="false">IF(OR(T1167="",P1167=""),"",(T1167-P1167)/T1167)</f>
        <v>0.595918367346939</v>
      </c>
      <c r="V1167" s="45" t="n">
        <f aca="false">IF(T1167="",0,T1167/N1167-1)</f>
        <v>0.225306326581645</v>
      </c>
      <c r="W1167" s="38" t="s">
        <v>94</v>
      </c>
    </row>
    <row r="1168" customFormat="false" ht="15" hidden="false" customHeight="false" outlineLevel="0" collapsed="false">
      <c r="A1168" s="19" t="n">
        <v>1117</v>
      </c>
      <c r="B1168" s="19" t="s">
        <v>1350</v>
      </c>
      <c r="C1168" s="19" t="s">
        <v>57</v>
      </c>
      <c r="D1168" s="19"/>
      <c r="E1168" s="19" t="s">
        <v>58</v>
      </c>
      <c r="F1168" s="20" t="n">
        <v>2</v>
      </c>
      <c r="G1168" s="20" t="n">
        <v>2</v>
      </c>
      <c r="H1168" s="21" t="n">
        <v>999.98</v>
      </c>
      <c r="I1168" s="21" t="n">
        <v>0</v>
      </c>
      <c r="J1168" s="21" t="n">
        <v>0</v>
      </c>
      <c r="K1168" s="22" t="n">
        <f aca="false">H1168+I1168+J1168</f>
        <v>999.98</v>
      </c>
      <c r="L1168" s="23" t="n">
        <f aca="false">IF($K$1282=0,0,K1168/$K$1282)</f>
        <v>8.28367809608694E-005</v>
      </c>
      <c r="M1168" s="24" t="n">
        <f aca="false">IF(F1168&lt;=0,0,K1168/F1168)</f>
        <v>499.99</v>
      </c>
      <c r="N1168" s="21" t="n">
        <v>649.99</v>
      </c>
      <c r="O1168" s="49" t="n">
        <v>12</v>
      </c>
      <c r="P1168" s="24" t="n">
        <f aca="false">O1168*'Price Groups'!$B$5</f>
        <v>270</v>
      </c>
      <c r="Q1168" s="26" t="n">
        <f aca="false">IF(OR(N1168="",P1168=""),"",(N1168-P1168)/N1168)</f>
        <v>0.584608993984523</v>
      </c>
      <c r="R1168" s="27" t="n">
        <v>1</v>
      </c>
      <c r="S1168" s="28" t="n">
        <f aca="false">IF(R1168="-",0,IFERROR(VLOOKUP(R1168,'Price Groups'!$A$13:$C$17,3,FALSE()),0))</f>
        <v>0.22</v>
      </c>
      <c r="T1168" s="22" t="n">
        <f aca="false">IF(OR(N1168="",R1168="-"),"",CEILING(ROUND(N1168*(1+S1168),2),IF(N1168*(1+S1168)&lt;100,0.5,IF(N1168*(1+S1168)&lt;1000,1,5))))</f>
        <v>793</v>
      </c>
      <c r="U1168" s="26" t="n">
        <f aca="false">IF(OR(T1168="",P1168=""),"",(T1168-P1168)/T1168)</f>
        <v>0.659520807061791</v>
      </c>
      <c r="V1168" s="26" t="n">
        <f aca="false">IF(T1168="",0,T1168/N1168-1)</f>
        <v>0.220018769519531</v>
      </c>
      <c r="W1168" s="19" t="s">
        <v>94</v>
      </c>
    </row>
    <row r="1169" customFormat="false" ht="15" hidden="false" customHeight="false" outlineLevel="0" collapsed="false">
      <c r="A1169" s="38" t="n">
        <v>1118</v>
      </c>
      <c r="B1169" s="38" t="s">
        <v>1351</v>
      </c>
      <c r="C1169" s="38" t="s">
        <v>57</v>
      </c>
      <c r="D1169" s="38"/>
      <c r="E1169" s="38" t="s">
        <v>1273</v>
      </c>
      <c r="F1169" s="39" t="n">
        <v>1</v>
      </c>
      <c r="G1169" s="39" t="n">
        <v>1</v>
      </c>
      <c r="H1169" s="40" t="n">
        <v>574.99</v>
      </c>
      <c r="I1169" s="40" t="n">
        <v>0</v>
      </c>
      <c r="J1169" s="40" t="n">
        <v>0</v>
      </c>
      <c r="K1169" s="41" t="n">
        <f aca="false">H1169+I1169+J1169</f>
        <v>574.99</v>
      </c>
      <c r="L1169" s="42" t="n">
        <f aca="false">IF($K$1282=0,0,K1169/$K$1282)</f>
        <v>4.76312733101565E-005</v>
      </c>
      <c r="M1169" s="43" t="n">
        <f aca="false">IF(F1169&lt;=0,0,K1169/F1169)</f>
        <v>574.99</v>
      </c>
      <c r="N1169" s="40" t="n">
        <v>574.99</v>
      </c>
      <c r="O1169" s="44" t="n">
        <v>17.64</v>
      </c>
      <c r="P1169" s="43" t="n">
        <f aca="false">O1169*'Price Groups'!$B$5</f>
        <v>396.9</v>
      </c>
      <c r="Q1169" s="45" t="n">
        <f aca="false">IF(OR(N1169="",P1169=""),"",(N1169-P1169)/N1169)</f>
        <v>0.309727125689142</v>
      </c>
      <c r="R1169" s="46" t="n">
        <v>1</v>
      </c>
      <c r="S1169" s="47" t="n">
        <f aca="false">IF(R1169="-",0,IFERROR(VLOOKUP(R1169,'Price Groups'!$A$13:$C$17,3,FALSE()),0))</f>
        <v>0.22</v>
      </c>
      <c r="T1169" s="41" t="n">
        <f aca="false">IF(OR(N1169="",R1169="-"),"",CEILING(ROUND(N1169*(1+S1169),2),IF(N1169*(1+S1169)&lt;100,0.5,IF(N1169*(1+S1169)&lt;1000,1,5))))</f>
        <v>702</v>
      </c>
      <c r="U1169" s="45" t="n">
        <f aca="false">IF(OR(T1169="",P1169=""),"",(T1169-P1169)/T1169)</f>
        <v>0.434615384615385</v>
      </c>
      <c r="V1169" s="45" t="n">
        <f aca="false">IF(T1169="",0,T1169/N1169-1)</f>
        <v>0.220890798100837</v>
      </c>
      <c r="W1169" s="38" t="s">
        <v>94</v>
      </c>
    </row>
    <row r="1170" customFormat="false" ht="15" hidden="false" customHeight="false" outlineLevel="0" collapsed="false">
      <c r="A1170" s="19" t="n">
        <v>1119</v>
      </c>
      <c r="B1170" s="19" t="s">
        <v>1352</v>
      </c>
      <c r="C1170" s="19" t="s">
        <v>57</v>
      </c>
      <c r="D1170" s="19"/>
      <c r="E1170" s="19" t="s">
        <v>58</v>
      </c>
      <c r="F1170" s="20" t="n">
        <v>1</v>
      </c>
      <c r="G1170" s="20" t="n">
        <v>1</v>
      </c>
      <c r="H1170" s="21" t="n">
        <v>1150</v>
      </c>
      <c r="I1170" s="21" t="n">
        <v>-115</v>
      </c>
      <c r="J1170" s="21" t="n">
        <v>0</v>
      </c>
      <c r="K1170" s="22" t="n">
        <f aca="false">H1170+I1170+J1170</f>
        <v>1035</v>
      </c>
      <c r="L1170" s="23" t="n">
        <f aca="false">IF($K$1282=0,0,K1170/$K$1282)</f>
        <v>8.57377830501608E-005</v>
      </c>
      <c r="M1170" s="24" t="n">
        <f aca="false">IF(F1170&lt;=0,0,K1170/F1170)</f>
        <v>1035</v>
      </c>
      <c r="N1170" s="21" t="n">
        <v>1150</v>
      </c>
      <c r="O1170" s="49" t="n">
        <v>34.63</v>
      </c>
      <c r="P1170" s="24" t="n">
        <f aca="false">O1170*'Price Groups'!$B$5</f>
        <v>779.175</v>
      </c>
      <c r="Q1170" s="26" t="n">
        <f aca="false">IF(OR(N1170="",P1170=""),"",(N1170-P1170)/N1170)</f>
        <v>0.32245652173913</v>
      </c>
      <c r="R1170" s="27" t="n">
        <v>1</v>
      </c>
      <c r="S1170" s="28" t="n">
        <f aca="false">IF(R1170="-",0,IFERROR(VLOOKUP(R1170,'Price Groups'!$A$13:$C$17,3,FALSE()),0))</f>
        <v>0.22</v>
      </c>
      <c r="T1170" s="22" t="n">
        <f aca="false">IF(OR(N1170="",R1170="-"),"",CEILING(ROUND(N1170*(1+S1170),2),IF(N1170*(1+S1170)&lt;100,0.5,IF(N1170*(1+S1170)&lt;1000,1,5))))</f>
        <v>1405</v>
      </c>
      <c r="U1170" s="26" t="n">
        <f aca="false">IF(OR(T1170="",P1170=""),"",(T1170-P1170)/T1170)</f>
        <v>0.445427046263345</v>
      </c>
      <c r="V1170" s="26" t="n">
        <f aca="false">IF(T1170="",0,T1170/N1170-1)</f>
        <v>0.221739130434783</v>
      </c>
      <c r="W1170" s="19" t="s">
        <v>94</v>
      </c>
    </row>
    <row r="1171" customFormat="false" ht="15" hidden="false" customHeight="false" outlineLevel="0" collapsed="false">
      <c r="A1171" s="38" t="n">
        <v>1120</v>
      </c>
      <c r="B1171" s="38" t="s">
        <v>657</v>
      </c>
      <c r="C1171" s="38" t="s">
        <v>307</v>
      </c>
      <c r="D1171" s="38" t="s">
        <v>656</v>
      </c>
      <c r="E1171" s="38" t="s">
        <v>58</v>
      </c>
      <c r="F1171" s="39" t="n">
        <v>1</v>
      </c>
      <c r="G1171" s="39" t="n">
        <v>1</v>
      </c>
      <c r="H1171" s="40" t="n">
        <v>1000</v>
      </c>
      <c r="I1171" s="40" t="n">
        <v>0</v>
      </c>
      <c r="J1171" s="40" t="n">
        <v>0</v>
      </c>
      <c r="K1171" s="41" t="n">
        <f aca="false">H1171+I1171+J1171</f>
        <v>1000</v>
      </c>
      <c r="L1171" s="42" t="n">
        <f aca="false">IF($K$1282=0,0,K1171/$K$1282)</f>
        <v>8.2838437729624E-005</v>
      </c>
      <c r="M1171" s="43" t="n">
        <f aca="false">IF(F1171&lt;=0,0,K1171/F1171)</f>
        <v>1000</v>
      </c>
      <c r="N1171" s="40" t="n">
        <v>865</v>
      </c>
      <c r="O1171" s="44" t="n">
        <v>29.52</v>
      </c>
      <c r="P1171" s="43" t="n">
        <f aca="false">O1171*'Price Groups'!$B$5</f>
        <v>664.2</v>
      </c>
      <c r="Q1171" s="45" t="n">
        <f aca="false">IF(OR(N1171="",P1171=""),"",(N1171-P1171)/N1171)</f>
        <v>0.232138728323699</v>
      </c>
      <c r="R1171" s="46" t="n">
        <v>1</v>
      </c>
      <c r="S1171" s="47" t="n">
        <f aca="false">IF(R1171="-",0,IFERROR(VLOOKUP(R1171,'Price Groups'!$A$13:$C$17,3,FALSE()),0))</f>
        <v>0.22</v>
      </c>
      <c r="T1171" s="41" t="n">
        <f aca="false">IF(OR(N1171="",R1171="-"),"",CEILING(ROUND(N1171*(1+S1171),2),IF(N1171*(1+S1171)&lt;100,0.5,IF(N1171*(1+S1171)&lt;1000,1,5))))</f>
        <v>1060</v>
      </c>
      <c r="U1171" s="45" t="n">
        <f aca="false">IF(OR(T1171="",P1171=""),"",(T1171-P1171)/T1171)</f>
        <v>0.373396226415094</v>
      </c>
      <c r="V1171" s="45" t="n">
        <f aca="false">IF(T1171="",0,T1171/N1171-1)</f>
        <v>0.225433526011561</v>
      </c>
      <c r="W1171" s="38" t="s">
        <v>1353</v>
      </c>
    </row>
    <row r="1172" customFormat="false" ht="15" hidden="false" customHeight="false" outlineLevel="0" collapsed="false">
      <c r="A1172" s="19" t="n">
        <v>1121</v>
      </c>
      <c r="B1172" s="19" t="s">
        <v>583</v>
      </c>
      <c r="C1172" s="19" t="s">
        <v>307</v>
      </c>
      <c r="D1172" s="19" t="s">
        <v>582</v>
      </c>
      <c r="E1172" s="19" t="s">
        <v>58</v>
      </c>
      <c r="F1172" s="20" t="n">
        <v>1</v>
      </c>
      <c r="G1172" s="20" t="n">
        <v>2</v>
      </c>
      <c r="H1172" s="21" t="n">
        <v>1988.98</v>
      </c>
      <c r="I1172" s="21" t="n">
        <v>-0.96</v>
      </c>
      <c r="J1172" s="21" t="n">
        <v>-968.99</v>
      </c>
      <c r="K1172" s="22" t="n">
        <f aca="false">H1172+I1172+J1172</f>
        <v>1019.03</v>
      </c>
      <c r="L1172" s="23" t="n">
        <f aca="false">IF($K$1282=0,0,K1172/$K$1282)</f>
        <v>8.44148531996187E-005</v>
      </c>
      <c r="M1172" s="24" t="n">
        <f aca="false">IF(F1172&lt;=0,0,K1172/F1172)</f>
        <v>1019.03</v>
      </c>
      <c r="N1172" s="21" t="n">
        <v>1020</v>
      </c>
      <c r="O1172" s="49" t="n">
        <v>29.28</v>
      </c>
      <c r="P1172" s="24" t="n">
        <f aca="false">O1172*'Price Groups'!$B$5</f>
        <v>658.8</v>
      </c>
      <c r="Q1172" s="26" t="n">
        <f aca="false">IF(OR(N1172="",P1172=""),"",(N1172-P1172)/N1172)</f>
        <v>0.354117647058824</v>
      </c>
      <c r="R1172" s="27" t="n">
        <v>1</v>
      </c>
      <c r="S1172" s="28" t="n">
        <f aca="false">IF(R1172="-",0,IFERROR(VLOOKUP(R1172,'Price Groups'!$A$13:$C$17,3,FALSE()),0))</f>
        <v>0.22</v>
      </c>
      <c r="T1172" s="22" t="n">
        <f aca="false">IF(OR(N1172="",R1172="-"),"",CEILING(ROUND(N1172*(1+S1172),2),IF(N1172*(1+S1172)&lt;100,0.5,IF(N1172*(1+S1172)&lt;1000,1,5))))</f>
        <v>1245</v>
      </c>
      <c r="U1172" s="26" t="n">
        <f aca="false">IF(OR(T1172="",P1172=""),"",(T1172-P1172)/T1172)</f>
        <v>0.470843373493976</v>
      </c>
      <c r="V1172" s="26" t="n">
        <f aca="false">IF(T1172="",0,T1172/N1172-1)</f>
        <v>0.220588235294118</v>
      </c>
      <c r="W1172" s="19" t="s">
        <v>1354</v>
      </c>
    </row>
    <row r="1173" customFormat="false" ht="15" hidden="false" customHeight="false" outlineLevel="0" collapsed="false">
      <c r="A1173" s="38" t="n">
        <v>1122</v>
      </c>
      <c r="B1173" s="38" t="s">
        <v>1355</v>
      </c>
      <c r="C1173" s="38" t="s">
        <v>57</v>
      </c>
      <c r="D1173" s="38"/>
      <c r="E1173" s="38" t="s">
        <v>58</v>
      </c>
      <c r="F1173" s="39" t="n">
        <v>1</v>
      </c>
      <c r="G1173" s="39" t="n">
        <v>1</v>
      </c>
      <c r="H1173" s="40" t="n">
        <v>149.99</v>
      </c>
      <c r="I1173" s="40" t="n">
        <v>0</v>
      </c>
      <c r="J1173" s="40" t="n">
        <v>0</v>
      </c>
      <c r="K1173" s="41" t="n">
        <f aca="false">H1173+I1173+J1173</f>
        <v>149.99</v>
      </c>
      <c r="L1173" s="42" t="n">
        <f aca="false">IF($K$1282=0,0,K1173/$K$1282)</f>
        <v>1.24249372750663E-005</v>
      </c>
      <c r="M1173" s="43" t="n">
        <f aca="false">IF(F1173&lt;=0,0,K1173/F1173)</f>
        <v>149.99</v>
      </c>
      <c r="N1173" s="40" t="n">
        <v>149.99</v>
      </c>
      <c r="O1173" s="44" t="n">
        <v>4</v>
      </c>
      <c r="P1173" s="43" t="n">
        <f aca="false">O1173*'Price Groups'!$B$5</f>
        <v>90</v>
      </c>
      <c r="Q1173" s="45" t="n">
        <f aca="false">IF(OR(N1173="",P1173=""),"",(N1173-P1173)/N1173)</f>
        <v>0.399959997333156</v>
      </c>
      <c r="R1173" s="46" t="n">
        <v>1</v>
      </c>
      <c r="S1173" s="47" t="n">
        <f aca="false">IF(R1173="-",0,IFERROR(VLOOKUP(R1173,'Price Groups'!$A$13:$C$17,3,FALSE()),0))</f>
        <v>0.22</v>
      </c>
      <c r="T1173" s="41" t="n">
        <f aca="false">IF(OR(N1173="",R1173="-"),"",CEILING(ROUND(N1173*(1+S1173),2),IF(N1173*(1+S1173)&lt;100,0.5,IF(N1173*(1+S1173)&lt;1000,1,5))))</f>
        <v>183</v>
      </c>
      <c r="U1173" s="45" t="n">
        <f aca="false">IF(OR(T1173="",P1173=""),"",(T1173-P1173)/T1173)</f>
        <v>0.508196721311475</v>
      </c>
      <c r="V1173" s="45" t="n">
        <f aca="false">IF(T1173="",0,T1173/N1173-1)</f>
        <v>0.220081338755917</v>
      </c>
      <c r="W1173" s="38" t="s">
        <v>94</v>
      </c>
    </row>
    <row r="1174" customFormat="false" ht="15" hidden="false" customHeight="false" outlineLevel="0" collapsed="false">
      <c r="A1174" s="19" t="n">
        <v>1123</v>
      </c>
      <c r="B1174" s="19" t="s">
        <v>1356</v>
      </c>
      <c r="C1174" s="19" t="s">
        <v>57</v>
      </c>
      <c r="D1174" s="19"/>
      <c r="E1174" s="19" t="s">
        <v>58</v>
      </c>
      <c r="F1174" s="20" t="n">
        <v>1</v>
      </c>
      <c r="G1174" s="20" t="n">
        <v>1</v>
      </c>
      <c r="H1174" s="21" t="n">
        <v>179.99</v>
      </c>
      <c r="I1174" s="21" t="n">
        <v>0</v>
      </c>
      <c r="J1174" s="21" t="n">
        <v>0</v>
      </c>
      <c r="K1174" s="22" t="n">
        <f aca="false">H1174+I1174+J1174</f>
        <v>179.99</v>
      </c>
      <c r="L1174" s="23" t="n">
        <f aca="false">IF($K$1282=0,0,K1174/$K$1282)</f>
        <v>1.4910090406955E-005</v>
      </c>
      <c r="M1174" s="24" t="n">
        <f aca="false">IF(F1174&lt;=0,0,K1174/F1174)</f>
        <v>179.99</v>
      </c>
      <c r="N1174" s="21" t="n">
        <v>179.99</v>
      </c>
      <c r="O1174" s="49" t="n">
        <v>5</v>
      </c>
      <c r="P1174" s="24" t="n">
        <f aca="false">O1174*'Price Groups'!$B$5</f>
        <v>112.5</v>
      </c>
      <c r="Q1174" s="26" t="n">
        <f aca="false">IF(OR(N1174="",P1174=""),"",(N1174-P1174)/N1174)</f>
        <v>0.374965275848658</v>
      </c>
      <c r="R1174" s="27" t="n">
        <v>1</v>
      </c>
      <c r="S1174" s="28" t="n">
        <f aca="false">IF(R1174="-",0,IFERROR(VLOOKUP(R1174,'Price Groups'!$A$13:$C$17,3,FALSE()),0))</f>
        <v>0.22</v>
      </c>
      <c r="T1174" s="22" t="n">
        <f aca="false">IF(OR(N1174="",R1174="-"),"",CEILING(ROUND(N1174*(1+S1174),2),IF(N1174*(1+S1174)&lt;100,0.5,IF(N1174*(1+S1174)&lt;1000,1,5))))</f>
        <v>220</v>
      </c>
      <c r="U1174" s="26" t="n">
        <f aca="false">IF(OR(T1174="",P1174=""),"",(T1174-P1174)/T1174)</f>
        <v>0.488636363636364</v>
      </c>
      <c r="V1174" s="26" t="n">
        <f aca="false">IF(T1174="",0,T1174/N1174-1)</f>
        <v>0.222290127229291</v>
      </c>
      <c r="W1174" s="19" t="s">
        <v>94</v>
      </c>
    </row>
    <row r="1175" customFormat="false" ht="15" hidden="false" customHeight="false" outlineLevel="0" collapsed="false">
      <c r="A1175" s="38" t="n">
        <v>1124</v>
      </c>
      <c r="B1175" s="38" t="s">
        <v>1357</v>
      </c>
      <c r="C1175" s="38" t="s">
        <v>57</v>
      </c>
      <c r="D1175" s="38"/>
      <c r="E1175" s="38" t="s">
        <v>58</v>
      </c>
      <c r="F1175" s="39" t="n">
        <v>1</v>
      </c>
      <c r="G1175" s="39" t="n">
        <v>1</v>
      </c>
      <c r="H1175" s="40" t="n">
        <v>110</v>
      </c>
      <c r="I1175" s="40" t="n">
        <v>0</v>
      </c>
      <c r="J1175" s="40" t="n">
        <v>0</v>
      </c>
      <c r="K1175" s="41" t="n">
        <f aca="false">H1175+I1175+J1175</f>
        <v>110</v>
      </c>
      <c r="L1175" s="42" t="n">
        <f aca="false">IF($K$1282=0,0,K1175/$K$1282)</f>
        <v>9.11222815025864E-006</v>
      </c>
      <c r="M1175" s="43" t="n">
        <f aca="false">IF(F1175&lt;=0,0,K1175/F1175)</f>
        <v>110</v>
      </c>
      <c r="N1175" s="40" t="n">
        <v>110</v>
      </c>
      <c r="O1175" s="44" t="n">
        <v>2.43</v>
      </c>
      <c r="P1175" s="43" t="n">
        <f aca="false">O1175*'Price Groups'!$B$5</f>
        <v>54.675</v>
      </c>
      <c r="Q1175" s="45" t="n">
        <f aca="false">IF(OR(N1175="",P1175=""),"",(N1175-P1175)/N1175)</f>
        <v>0.502954545454545</v>
      </c>
      <c r="R1175" s="46" t="n">
        <v>1</v>
      </c>
      <c r="S1175" s="47" t="n">
        <f aca="false">IF(R1175="-",0,IFERROR(VLOOKUP(R1175,'Price Groups'!$A$13:$C$17,3,FALSE()),0))</f>
        <v>0.22</v>
      </c>
      <c r="T1175" s="41" t="n">
        <f aca="false">IF(OR(N1175="",R1175="-"),"",CEILING(ROUND(N1175*(1+S1175),2),IF(N1175*(1+S1175)&lt;100,0.5,IF(N1175*(1+S1175)&lt;1000,1,5))))</f>
        <v>135</v>
      </c>
      <c r="U1175" s="45" t="n">
        <f aca="false">IF(OR(T1175="",P1175=""),"",(T1175-P1175)/T1175)</f>
        <v>0.595</v>
      </c>
      <c r="V1175" s="45" t="n">
        <f aca="false">IF(T1175="",0,T1175/N1175-1)</f>
        <v>0.227272727272727</v>
      </c>
      <c r="W1175" s="38" t="s">
        <v>94</v>
      </c>
    </row>
    <row r="1176" customFormat="false" ht="15" hidden="false" customHeight="false" outlineLevel="0" collapsed="false">
      <c r="A1176" s="19" t="n">
        <v>1125</v>
      </c>
      <c r="B1176" s="19" t="s">
        <v>1358</v>
      </c>
      <c r="C1176" s="19" t="s">
        <v>57</v>
      </c>
      <c r="D1176" s="19"/>
      <c r="E1176" s="19" t="s">
        <v>58</v>
      </c>
      <c r="F1176" s="20" t="n">
        <v>1</v>
      </c>
      <c r="G1176" s="20" t="n">
        <v>2</v>
      </c>
      <c r="H1176" s="21" t="n">
        <v>4400</v>
      </c>
      <c r="I1176" s="21" t="n">
        <v>-220</v>
      </c>
      <c r="J1176" s="21" t="n">
        <v>-2200</v>
      </c>
      <c r="K1176" s="22" t="n">
        <f aca="false">H1176+I1176+J1176</f>
        <v>1980</v>
      </c>
      <c r="L1176" s="23" t="n">
        <f aca="false">IF($K$1282=0,0,K1176/$K$1282)</f>
        <v>0.000164020106704656</v>
      </c>
      <c r="M1176" s="24" t="n">
        <f aca="false">IF(F1176&lt;=0,0,K1176/F1176)</f>
        <v>1980</v>
      </c>
      <c r="N1176" s="21" t="n">
        <v>2200</v>
      </c>
      <c r="O1176" s="49" t="n">
        <v>36.91</v>
      </c>
      <c r="P1176" s="24" t="n">
        <f aca="false">O1176*'Price Groups'!$B$5</f>
        <v>830.475</v>
      </c>
      <c r="Q1176" s="26" t="n">
        <f aca="false">IF(OR(N1176="",P1176=""),"",(N1176-P1176)/N1176)</f>
        <v>0.622511363636364</v>
      </c>
      <c r="R1176" s="27" t="n">
        <v>1</v>
      </c>
      <c r="S1176" s="28" t="n">
        <f aca="false">IF(R1176="-",0,IFERROR(VLOOKUP(R1176,'Price Groups'!$A$13:$C$17,3,FALSE()),0))</f>
        <v>0.22</v>
      </c>
      <c r="T1176" s="22" t="n">
        <f aca="false">IF(OR(N1176="",R1176="-"),"",CEILING(ROUND(N1176*(1+S1176),2),IF(N1176*(1+S1176)&lt;100,0.5,IF(N1176*(1+S1176)&lt;1000,1,5))))</f>
        <v>2685</v>
      </c>
      <c r="U1176" s="26" t="n">
        <f aca="false">IF(OR(T1176="",P1176=""),"",(T1176-P1176)/T1176)</f>
        <v>0.690698324022346</v>
      </c>
      <c r="V1176" s="26" t="n">
        <f aca="false">IF(T1176="",0,T1176/N1176-1)</f>
        <v>0.220454545454545</v>
      </c>
      <c r="W1176" s="19" t="s">
        <v>94</v>
      </c>
    </row>
    <row r="1177" customFormat="false" ht="15" hidden="false" customHeight="false" outlineLevel="0" collapsed="false">
      <c r="A1177" s="38" t="n">
        <v>1126</v>
      </c>
      <c r="B1177" s="38" t="s">
        <v>1359</v>
      </c>
      <c r="C1177" s="38" t="s">
        <v>57</v>
      </c>
      <c r="D1177" s="38"/>
      <c r="E1177" s="38" t="s">
        <v>58</v>
      </c>
      <c r="F1177" s="39" t="n">
        <v>1</v>
      </c>
      <c r="G1177" s="39" t="n">
        <v>1</v>
      </c>
      <c r="H1177" s="40" t="n">
        <v>219.99</v>
      </c>
      <c r="I1177" s="40" t="n">
        <v>0</v>
      </c>
      <c r="J1177" s="40" t="n">
        <v>0</v>
      </c>
      <c r="K1177" s="41" t="n">
        <f aca="false">H1177+I1177+J1177</f>
        <v>219.99</v>
      </c>
      <c r="L1177" s="42" t="n">
        <f aca="false">IF($K$1282=0,0,K1177/$K$1282)</f>
        <v>1.822362791614E-005</v>
      </c>
      <c r="M1177" s="43" t="n">
        <f aca="false">IF(F1177&lt;=0,0,K1177/F1177)</f>
        <v>219.99</v>
      </c>
      <c r="N1177" s="40" t="n">
        <v>219.99</v>
      </c>
      <c r="O1177" s="44" t="n">
        <v>4.86</v>
      </c>
      <c r="P1177" s="43" t="n">
        <f aca="false">O1177*'Price Groups'!$B$5</f>
        <v>109.35</v>
      </c>
      <c r="Q1177" s="45" t="n">
        <f aca="false">IF(OR(N1177="",P1177=""),"",(N1177-P1177)/N1177)</f>
        <v>0.502931951452339</v>
      </c>
      <c r="R1177" s="46" t="n">
        <v>1</v>
      </c>
      <c r="S1177" s="47" t="n">
        <f aca="false">IF(R1177="-",0,IFERROR(VLOOKUP(R1177,'Price Groups'!$A$13:$C$17,3,FALSE()),0))</f>
        <v>0.22</v>
      </c>
      <c r="T1177" s="41" t="n">
        <f aca="false">IF(OR(N1177="",R1177="-"),"",CEILING(ROUND(N1177*(1+S1177),2),IF(N1177*(1+S1177)&lt;100,0.5,IF(N1177*(1+S1177)&lt;1000,1,5))))</f>
        <v>269</v>
      </c>
      <c r="U1177" s="45" t="n">
        <f aca="false">IF(OR(T1177="",P1177=""),"",(T1177-P1177)/T1177)</f>
        <v>0.593494423791822</v>
      </c>
      <c r="V1177" s="45" t="n">
        <f aca="false">IF(T1177="",0,T1177/N1177-1)</f>
        <v>0.22278285376608</v>
      </c>
      <c r="W1177" s="38" t="s">
        <v>94</v>
      </c>
    </row>
    <row r="1178" customFormat="false" ht="15" hidden="false" customHeight="false" outlineLevel="0" collapsed="false">
      <c r="A1178" s="19" t="n">
        <v>1127</v>
      </c>
      <c r="B1178" s="19" t="s">
        <v>1360</v>
      </c>
      <c r="C1178" s="19" t="s">
        <v>57</v>
      </c>
      <c r="D1178" s="19"/>
      <c r="E1178" s="19" t="s">
        <v>58</v>
      </c>
      <c r="F1178" s="20" t="n">
        <v>1</v>
      </c>
      <c r="G1178" s="20" t="n">
        <v>1</v>
      </c>
      <c r="H1178" s="21" t="n">
        <v>219.99</v>
      </c>
      <c r="I1178" s="21" t="n">
        <v>0</v>
      </c>
      <c r="J1178" s="21" t="n">
        <v>0</v>
      </c>
      <c r="K1178" s="22" t="n">
        <f aca="false">H1178+I1178+J1178</f>
        <v>219.99</v>
      </c>
      <c r="L1178" s="23" t="n">
        <f aca="false">IF($K$1282=0,0,K1178/$K$1282)</f>
        <v>1.822362791614E-005</v>
      </c>
      <c r="M1178" s="24" t="n">
        <f aca="false">IF(F1178&lt;=0,0,K1178/F1178)</f>
        <v>219.99</v>
      </c>
      <c r="N1178" s="21" t="n">
        <v>219.99</v>
      </c>
      <c r="O1178" s="49" t="n">
        <v>4.86</v>
      </c>
      <c r="P1178" s="24" t="n">
        <f aca="false">O1178*'Price Groups'!$B$5</f>
        <v>109.35</v>
      </c>
      <c r="Q1178" s="26" t="n">
        <f aca="false">IF(OR(N1178="",P1178=""),"",(N1178-P1178)/N1178)</f>
        <v>0.502931951452339</v>
      </c>
      <c r="R1178" s="27" t="n">
        <v>1</v>
      </c>
      <c r="S1178" s="28" t="n">
        <f aca="false">IF(R1178="-",0,IFERROR(VLOOKUP(R1178,'Price Groups'!$A$13:$C$17,3,FALSE()),0))</f>
        <v>0.22</v>
      </c>
      <c r="T1178" s="22" t="n">
        <f aca="false">IF(OR(N1178="",R1178="-"),"",CEILING(ROUND(N1178*(1+S1178),2),IF(N1178*(1+S1178)&lt;100,0.5,IF(N1178*(1+S1178)&lt;1000,1,5))))</f>
        <v>269</v>
      </c>
      <c r="U1178" s="26" t="n">
        <f aca="false">IF(OR(T1178="",P1178=""),"",(T1178-P1178)/T1178)</f>
        <v>0.593494423791822</v>
      </c>
      <c r="V1178" s="26" t="n">
        <f aca="false">IF(T1178="",0,T1178/N1178-1)</f>
        <v>0.22278285376608</v>
      </c>
      <c r="W1178" s="19" t="s">
        <v>94</v>
      </c>
    </row>
    <row r="1179" customFormat="false" ht="15" hidden="false" customHeight="false" outlineLevel="0" collapsed="false">
      <c r="A1179" s="38" t="n">
        <v>1128</v>
      </c>
      <c r="B1179" s="38" t="s">
        <v>1361</v>
      </c>
      <c r="C1179" s="38" t="s">
        <v>57</v>
      </c>
      <c r="D1179" s="38"/>
      <c r="E1179" s="38" t="s">
        <v>58</v>
      </c>
      <c r="F1179" s="39" t="n">
        <v>1</v>
      </c>
      <c r="G1179" s="39" t="n">
        <v>1</v>
      </c>
      <c r="H1179" s="40" t="n">
        <v>219.99</v>
      </c>
      <c r="I1179" s="40" t="n">
        <v>0</v>
      </c>
      <c r="J1179" s="40" t="n">
        <v>0</v>
      </c>
      <c r="K1179" s="41" t="n">
        <f aca="false">H1179+I1179+J1179</f>
        <v>219.99</v>
      </c>
      <c r="L1179" s="42" t="n">
        <f aca="false">IF($K$1282=0,0,K1179/$K$1282)</f>
        <v>1.822362791614E-005</v>
      </c>
      <c r="M1179" s="43" t="n">
        <f aca="false">IF(F1179&lt;=0,0,K1179/F1179)</f>
        <v>219.99</v>
      </c>
      <c r="N1179" s="40" t="n">
        <v>219.99</v>
      </c>
      <c r="O1179" s="44" t="n">
        <v>4.86</v>
      </c>
      <c r="P1179" s="43" t="n">
        <f aca="false">O1179*'Price Groups'!$B$5</f>
        <v>109.35</v>
      </c>
      <c r="Q1179" s="45" t="n">
        <f aca="false">IF(OR(N1179="",P1179=""),"",(N1179-P1179)/N1179)</f>
        <v>0.502931951452339</v>
      </c>
      <c r="R1179" s="46" t="n">
        <v>1</v>
      </c>
      <c r="S1179" s="47" t="n">
        <f aca="false">IF(R1179="-",0,IFERROR(VLOOKUP(R1179,'Price Groups'!$A$13:$C$17,3,FALSE()),0))</f>
        <v>0.22</v>
      </c>
      <c r="T1179" s="41" t="n">
        <f aca="false">IF(OR(N1179="",R1179="-"),"",CEILING(ROUND(N1179*(1+S1179),2),IF(N1179*(1+S1179)&lt;100,0.5,IF(N1179*(1+S1179)&lt;1000,1,5))))</f>
        <v>269</v>
      </c>
      <c r="U1179" s="45" t="n">
        <f aca="false">IF(OR(T1179="",P1179=""),"",(T1179-P1179)/T1179)</f>
        <v>0.593494423791822</v>
      </c>
      <c r="V1179" s="45" t="n">
        <f aca="false">IF(T1179="",0,T1179/N1179-1)</f>
        <v>0.22278285376608</v>
      </c>
      <c r="W1179" s="38" t="s">
        <v>94</v>
      </c>
    </row>
    <row r="1180" customFormat="false" ht="15" hidden="false" customHeight="false" outlineLevel="0" collapsed="false">
      <c r="A1180" s="19" t="n">
        <v>1129</v>
      </c>
      <c r="B1180" s="19" t="s">
        <v>1362</v>
      </c>
      <c r="C1180" s="19" t="s">
        <v>57</v>
      </c>
      <c r="D1180" s="19"/>
      <c r="E1180" s="19" t="s">
        <v>58</v>
      </c>
      <c r="F1180" s="20" t="n">
        <v>1</v>
      </c>
      <c r="G1180" s="20" t="n">
        <v>1</v>
      </c>
      <c r="H1180" s="21" t="n">
        <v>2500</v>
      </c>
      <c r="I1180" s="21" t="n">
        <v>0</v>
      </c>
      <c r="J1180" s="21" t="n">
        <v>0</v>
      </c>
      <c r="K1180" s="22" t="n">
        <f aca="false">H1180+I1180+J1180</f>
        <v>2500</v>
      </c>
      <c r="L1180" s="23" t="n">
        <f aca="false">IF($K$1282=0,0,K1180/$K$1282)</f>
        <v>0.00020709609432406</v>
      </c>
      <c r="M1180" s="24" t="n">
        <f aca="false">IF(F1180&lt;=0,0,K1180/F1180)</f>
        <v>2500</v>
      </c>
      <c r="N1180" s="21" t="n">
        <v>2500</v>
      </c>
      <c r="O1180" s="25"/>
      <c r="P1180" s="24"/>
      <c r="Q1180" s="26" t="str">
        <f aca="false">IF(OR(N1180="",P1180=""),"",(N1180-P1180)/N1180)</f>
        <v/>
      </c>
      <c r="R1180" s="27" t="n">
        <v>2</v>
      </c>
      <c r="S1180" s="28" t="n">
        <f aca="false">IF(R1180="-",0,IFERROR(VLOOKUP(R1180,'Price Groups'!$A$13:$C$17,3,FALSE()),0))</f>
        <v>0.18</v>
      </c>
      <c r="T1180" s="22" t="n">
        <f aca="false">IF(OR(N1180="",R1180="-"),"",CEILING(ROUND(N1180*(1+S1180),2),IF(N1180*(1+S1180)&lt;100,0.5,IF(N1180*(1+S1180)&lt;1000,1,5))))</f>
        <v>2950</v>
      </c>
      <c r="U1180" s="26" t="str">
        <f aca="false">IF(OR(T1180="",P1180=""),"",(T1180-P1180)/T1180)</f>
        <v/>
      </c>
      <c r="V1180" s="26" t="n">
        <f aca="false">IF(T1180="",0,T1180/N1180-1)</f>
        <v>0.18</v>
      </c>
      <c r="W1180" s="19" t="s">
        <v>129</v>
      </c>
    </row>
    <row r="1181" customFormat="false" ht="15" hidden="false" customHeight="false" outlineLevel="0" collapsed="false">
      <c r="A1181" s="38" t="n">
        <v>1130</v>
      </c>
      <c r="B1181" s="38" t="s">
        <v>538</v>
      </c>
      <c r="C1181" s="38" t="s">
        <v>307</v>
      </c>
      <c r="D1181" s="38" t="s">
        <v>537</v>
      </c>
      <c r="E1181" s="38" t="s">
        <v>58</v>
      </c>
      <c r="F1181" s="39" t="n">
        <v>1</v>
      </c>
      <c r="G1181" s="39" t="n">
        <v>1</v>
      </c>
      <c r="H1181" s="40" t="n">
        <v>1128</v>
      </c>
      <c r="I1181" s="40" t="n">
        <v>0</v>
      </c>
      <c r="J1181" s="40" t="n">
        <v>0</v>
      </c>
      <c r="K1181" s="41" t="n">
        <f aca="false">H1181+I1181+J1181</f>
        <v>1128</v>
      </c>
      <c r="L1181" s="42" t="n">
        <f aca="false">IF($K$1282=0,0,K1181/$K$1282)</f>
        <v>9.34417577590159E-005</v>
      </c>
      <c r="M1181" s="43" t="n">
        <f aca="false">IF(F1181&lt;=0,0,K1181/F1181)</f>
        <v>1128</v>
      </c>
      <c r="N1181" s="40" t="n">
        <v>1020</v>
      </c>
      <c r="O1181" s="44" t="n">
        <v>30</v>
      </c>
      <c r="P1181" s="43" t="n">
        <f aca="false">O1181*'Price Groups'!$B$5</f>
        <v>675</v>
      </c>
      <c r="Q1181" s="45" t="n">
        <f aca="false">IF(OR(N1181="",P1181=""),"",(N1181-P1181)/N1181)</f>
        <v>0.338235294117647</v>
      </c>
      <c r="R1181" s="46" t="n">
        <v>1</v>
      </c>
      <c r="S1181" s="47" t="n">
        <f aca="false">IF(R1181="-",0,IFERROR(VLOOKUP(R1181,'Price Groups'!$A$13:$C$17,3,FALSE()),0))</f>
        <v>0.22</v>
      </c>
      <c r="T1181" s="41" t="n">
        <f aca="false">IF(OR(N1181="",R1181="-"),"",CEILING(ROUND(N1181*(1+S1181),2),IF(N1181*(1+S1181)&lt;100,0.5,IF(N1181*(1+S1181)&lt;1000,1,5))))</f>
        <v>1245</v>
      </c>
      <c r="U1181" s="45" t="n">
        <f aca="false">IF(OR(T1181="",P1181=""),"",(T1181-P1181)/T1181)</f>
        <v>0.457831325301205</v>
      </c>
      <c r="V1181" s="45" t="n">
        <f aca="false">IF(T1181="",0,T1181/N1181-1)</f>
        <v>0.220588235294118</v>
      </c>
      <c r="W1181" s="38" t="s">
        <v>1363</v>
      </c>
    </row>
    <row r="1182" customFormat="false" ht="15" hidden="false" customHeight="false" outlineLevel="0" collapsed="false">
      <c r="A1182" s="19" t="n">
        <v>1131</v>
      </c>
      <c r="B1182" s="19" t="s">
        <v>1364</v>
      </c>
      <c r="C1182" s="19" t="s">
        <v>57</v>
      </c>
      <c r="D1182" s="19"/>
      <c r="E1182" s="19" t="s">
        <v>58</v>
      </c>
      <c r="F1182" s="20" t="n">
        <v>1</v>
      </c>
      <c r="G1182" s="20" t="n">
        <v>1</v>
      </c>
      <c r="H1182" s="21" t="n">
        <v>18</v>
      </c>
      <c r="I1182" s="21" t="n">
        <v>0</v>
      </c>
      <c r="J1182" s="21" t="n">
        <v>0</v>
      </c>
      <c r="K1182" s="22" t="n">
        <f aca="false">H1182+I1182+J1182</f>
        <v>18</v>
      </c>
      <c r="L1182" s="23" t="n">
        <f aca="false">IF($K$1282=0,0,K1182/$K$1282)</f>
        <v>1.49109187913323E-006</v>
      </c>
      <c r="M1182" s="24" t="n">
        <f aca="false">IF(F1182&lt;=0,0,K1182/F1182)</f>
        <v>18</v>
      </c>
      <c r="N1182" s="21" t="n">
        <v>18</v>
      </c>
      <c r="O1182" s="49" t="n">
        <v>0.42</v>
      </c>
      <c r="P1182" s="24" t="n">
        <f aca="false">O1182*'Price Groups'!$B$5</f>
        <v>9.45</v>
      </c>
      <c r="Q1182" s="26" t="n">
        <f aca="false">IF(OR(N1182="",P1182=""),"",(N1182-P1182)/N1182)</f>
        <v>0.475</v>
      </c>
      <c r="R1182" s="27" t="n">
        <v>1</v>
      </c>
      <c r="S1182" s="28" t="n">
        <f aca="false">IF(R1182="-",0,IFERROR(VLOOKUP(R1182,'Price Groups'!$A$13:$C$17,3,FALSE()),0))</f>
        <v>0.22</v>
      </c>
      <c r="T1182" s="22" t="n">
        <f aca="false">IF(OR(N1182="",R1182="-"),"",CEILING(ROUND(N1182*(1+S1182),2),IF(N1182*(1+S1182)&lt;100,0.5,IF(N1182*(1+S1182)&lt;1000,1,5))))</f>
        <v>22</v>
      </c>
      <c r="U1182" s="26" t="n">
        <f aca="false">IF(OR(T1182="",P1182=""),"",(T1182-P1182)/T1182)</f>
        <v>0.570454545454545</v>
      </c>
      <c r="V1182" s="26" t="n">
        <f aca="false">IF(T1182="",0,T1182/N1182-1)</f>
        <v>0.222222222222222</v>
      </c>
      <c r="W1182" s="19" t="s">
        <v>94</v>
      </c>
    </row>
    <row r="1183" customFormat="false" ht="15" hidden="false" customHeight="false" outlineLevel="0" collapsed="false">
      <c r="A1183" s="38" t="n">
        <v>1132</v>
      </c>
      <c r="B1183" s="38" t="s">
        <v>1365</v>
      </c>
      <c r="C1183" s="38" t="s">
        <v>57</v>
      </c>
      <c r="D1183" s="38"/>
      <c r="E1183" s="38" t="s">
        <v>58</v>
      </c>
      <c r="F1183" s="39" t="n">
        <v>1</v>
      </c>
      <c r="G1183" s="39" t="n">
        <v>1</v>
      </c>
      <c r="H1183" s="40" t="n">
        <v>153.23</v>
      </c>
      <c r="I1183" s="40" t="n">
        <v>-15.32</v>
      </c>
      <c r="J1183" s="40" t="n">
        <v>0</v>
      </c>
      <c r="K1183" s="41" t="n">
        <f aca="false">H1183+I1183+J1183</f>
        <v>137.91</v>
      </c>
      <c r="L1183" s="42" t="n">
        <f aca="false">IF($K$1282=0,0,K1183/$K$1282)</f>
        <v>1.14242489472924E-005</v>
      </c>
      <c r="M1183" s="43" t="n">
        <f aca="false">IF(F1183&lt;=0,0,K1183/F1183)</f>
        <v>137.91</v>
      </c>
      <c r="N1183" s="40" t="n">
        <v>153.23</v>
      </c>
      <c r="O1183" s="44" t="n">
        <v>5.92</v>
      </c>
      <c r="P1183" s="43" t="n">
        <f aca="false">O1183*'Price Groups'!$B$5</f>
        <v>133.2</v>
      </c>
      <c r="Q1183" s="45" t="n">
        <f aca="false">IF(OR(N1183="",P1183=""),"",(N1183-P1183)/N1183)</f>
        <v>0.130718527703452</v>
      </c>
      <c r="R1183" s="46" t="n">
        <v>1</v>
      </c>
      <c r="S1183" s="47" t="n">
        <f aca="false">IF(R1183="-",0,IFERROR(VLOOKUP(R1183,'Price Groups'!$A$13:$C$17,3,FALSE()),0))</f>
        <v>0.22</v>
      </c>
      <c r="T1183" s="41" t="n">
        <f aca="false">IF(OR(N1183="",R1183="-"),"",CEILING(ROUND(N1183*(1+S1183),2),IF(N1183*(1+S1183)&lt;100,0.5,IF(N1183*(1+S1183)&lt;1000,1,5))))</f>
        <v>187</v>
      </c>
      <c r="U1183" s="45" t="n">
        <f aca="false">IF(OR(T1183="",P1183=""),"",(T1183-P1183)/T1183)</f>
        <v>0.287700534759358</v>
      </c>
      <c r="V1183" s="45" t="n">
        <f aca="false">IF(T1183="",0,T1183/N1183-1)</f>
        <v>0.220387652548457</v>
      </c>
      <c r="W1183" s="38" t="s">
        <v>476</v>
      </c>
    </row>
    <row r="1184" customFormat="false" ht="15" hidden="false" customHeight="false" outlineLevel="0" collapsed="false">
      <c r="A1184" s="19" t="n">
        <v>1133</v>
      </c>
      <c r="B1184" s="19" t="s">
        <v>1366</v>
      </c>
      <c r="C1184" s="19" t="s">
        <v>57</v>
      </c>
      <c r="D1184" s="19"/>
      <c r="E1184" s="19" t="s">
        <v>1273</v>
      </c>
      <c r="F1184" s="20" t="n">
        <v>1</v>
      </c>
      <c r="G1184" s="20" t="n">
        <v>1</v>
      </c>
      <c r="H1184" s="21" t="n">
        <v>575</v>
      </c>
      <c r="I1184" s="21" t="n">
        <v>0</v>
      </c>
      <c r="J1184" s="21" t="n">
        <v>0</v>
      </c>
      <c r="K1184" s="22" t="n">
        <f aca="false">H1184+I1184+J1184</f>
        <v>575</v>
      </c>
      <c r="L1184" s="23" t="n">
        <f aca="false">IF($K$1282=0,0,K1184/$K$1282)</f>
        <v>4.76321016945338E-005</v>
      </c>
      <c r="M1184" s="24" t="n">
        <f aca="false">IF(F1184&lt;=0,0,K1184/F1184)</f>
        <v>575</v>
      </c>
      <c r="N1184" s="21" t="n">
        <v>575</v>
      </c>
      <c r="O1184" s="49" t="n">
        <v>17.64</v>
      </c>
      <c r="P1184" s="24" t="n">
        <f aca="false">O1184*'Price Groups'!$B$5</f>
        <v>396.9</v>
      </c>
      <c r="Q1184" s="26" t="n">
        <f aca="false">IF(OR(N1184="",P1184=""),"",(N1184-P1184)/N1184)</f>
        <v>0.309739130434783</v>
      </c>
      <c r="R1184" s="27" t="n">
        <v>1</v>
      </c>
      <c r="S1184" s="28" t="n">
        <f aca="false">IF(R1184="-",0,IFERROR(VLOOKUP(R1184,'Price Groups'!$A$13:$C$17,3,FALSE()),0))</f>
        <v>0.22</v>
      </c>
      <c r="T1184" s="22" t="n">
        <f aca="false">IF(OR(N1184="",R1184="-"),"",CEILING(ROUND(N1184*(1+S1184),2),IF(N1184*(1+S1184)&lt;100,0.5,IF(N1184*(1+S1184)&lt;1000,1,5))))</f>
        <v>702</v>
      </c>
      <c r="U1184" s="26" t="n">
        <f aca="false">IF(OR(T1184="",P1184=""),"",(T1184-P1184)/T1184)</f>
        <v>0.434615384615385</v>
      </c>
      <c r="V1184" s="26" t="n">
        <f aca="false">IF(T1184="",0,T1184/N1184-1)</f>
        <v>0.220869565217391</v>
      </c>
      <c r="W1184" s="19" t="s">
        <v>94</v>
      </c>
    </row>
    <row r="1185" customFormat="false" ht="15" hidden="false" customHeight="false" outlineLevel="0" collapsed="false">
      <c r="A1185" s="38" t="n">
        <v>1134</v>
      </c>
      <c r="B1185" s="38" t="s">
        <v>1367</v>
      </c>
      <c r="C1185" s="38" t="s">
        <v>57</v>
      </c>
      <c r="D1185" s="38"/>
      <c r="E1185" s="38" t="s">
        <v>58</v>
      </c>
      <c r="F1185" s="39" t="n">
        <v>1</v>
      </c>
      <c r="G1185" s="39" t="n">
        <v>1</v>
      </c>
      <c r="H1185" s="40" t="n">
        <v>79.99</v>
      </c>
      <c r="I1185" s="40" t="n">
        <v>0</v>
      </c>
      <c r="J1185" s="40" t="n">
        <v>0</v>
      </c>
      <c r="K1185" s="41" t="n">
        <f aca="false">H1185+I1185+J1185</f>
        <v>79.99</v>
      </c>
      <c r="L1185" s="42" t="n">
        <f aca="false">IF($K$1282=0,0,K1185/$K$1282)</f>
        <v>6.62624663399262E-006</v>
      </c>
      <c r="M1185" s="43" t="n">
        <f aca="false">IF(F1185&lt;=0,0,K1185/F1185)</f>
        <v>79.99</v>
      </c>
      <c r="N1185" s="40" t="n">
        <v>79.99</v>
      </c>
      <c r="O1185" s="44" t="n">
        <v>2.24</v>
      </c>
      <c r="P1185" s="43" t="n">
        <f aca="false">O1185*'Price Groups'!$B$5</f>
        <v>50.4</v>
      </c>
      <c r="Q1185" s="45" t="n">
        <f aca="false">IF(OR(N1185="",P1185=""),"",(N1185-P1185)/N1185)</f>
        <v>0.369921240155019</v>
      </c>
      <c r="R1185" s="46" t="n">
        <v>1</v>
      </c>
      <c r="S1185" s="47" t="n">
        <f aca="false">IF(R1185="-",0,IFERROR(VLOOKUP(R1185,'Price Groups'!$A$13:$C$17,3,FALSE()),0))</f>
        <v>0.22</v>
      </c>
      <c r="T1185" s="41" t="n">
        <f aca="false">IF(OR(N1185="",R1185="-"),"",CEILING(ROUND(N1185*(1+S1185),2),IF(N1185*(1+S1185)&lt;100,0.5,IF(N1185*(1+S1185)&lt;1000,1,5))))</f>
        <v>98</v>
      </c>
      <c r="U1185" s="45" t="n">
        <f aca="false">IF(OR(T1185="",P1185=""),"",(T1185-P1185)/T1185)</f>
        <v>0.485714285714286</v>
      </c>
      <c r="V1185" s="45" t="n">
        <f aca="false">IF(T1185="",0,T1185/N1185-1)</f>
        <v>0.225153144143018</v>
      </c>
      <c r="W1185" s="38" t="s">
        <v>94</v>
      </c>
    </row>
    <row r="1186" customFormat="false" ht="15" hidden="false" customHeight="false" outlineLevel="0" collapsed="false">
      <c r="A1186" s="19" t="n">
        <v>1135</v>
      </c>
      <c r="B1186" s="19" t="s">
        <v>1368</v>
      </c>
      <c r="C1186" s="19" t="s">
        <v>57</v>
      </c>
      <c r="D1186" s="19"/>
      <c r="E1186" s="19" t="s">
        <v>58</v>
      </c>
      <c r="F1186" s="20" t="n">
        <v>1</v>
      </c>
      <c r="G1186" s="20" t="n">
        <v>1</v>
      </c>
      <c r="H1186" s="21" t="n">
        <v>225</v>
      </c>
      <c r="I1186" s="21" t="n">
        <v>0</v>
      </c>
      <c r="J1186" s="21" t="n">
        <v>0</v>
      </c>
      <c r="K1186" s="22" t="n">
        <f aca="false">H1186+I1186+J1186</f>
        <v>225</v>
      </c>
      <c r="L1186" s="23" t="n">
        <f aca="false">IF($K$1282=0,0,K1186/$K$1282)</f>
        <v>1.86386484891654E-005</v>
      </c>
      <c r="M1186" s="24" t="n">
        <f aca="false">IF(F1186&lt;=0,0,K1186/F1186)</f>
        <v>225</v>
      </c>
      <c r="N1186" s="21" t="n">
        <v>99.99</v>
      </c>
      <c r="O1186" s="49" t="n">
        <v>5</v>
      </c>
      <c r="P1186" s="24" t="n">
        <f aca="false">O1186*'Price Groups'!$B$5</f>
        <v>112.5</v>
      </c>
      <c r="Q1186" s="26" t="n">
        <f aca="false">IF(OR(N1186="",P1186=""),"",(N1186-P1186)/N1186)</f>
        <v>-0.125112511251125</v>
      </c>
      <c r="R1186" s="27" t="n">
        <v>1</v>
      </c>
      <c r="S1186" s="28" t="n">
        <f aca="false">IF(R1186="-",0,IFERROR(VLOOKUP(R1186,'Price Groups'!$A$13:$C$17,3,FALSE()),0))</f>
        <v>0.22</v>
      </c>
      <c r="T1186" s="22" t="n">
        <f aca="false">IF(OR(N1186="",R1186="-"),"",CEILING(ROUND(N1186*(1+S1186),2),IF(N1186*(1+S1186)&lt;100,0.5,IF(N1186*(1+S1186)&lt;1000,1,5))))</f>
        <v>122</v>
      </c>
      <c r="U1186" s="26" t="n">
        <f aca="false">IF(OR(T1186="",P1186=""),"",(T1186-P1186)/T1186)</f>
        <v>0.0778688524590164</v>
      </c>
      <c r="V1186" s="26" t="n">
        <f aca="false">IF(T1186="",0,T1186/N1186-1)</f>
        <v>0.22012201220122</v>
      </c>
      <c r="W1186" s="19" t="s">
        <v>819</v>
      </c>
    </row>
    <row r="1187" customFormat="false" ht="15" hidden="false" customHeight="false" outlineLevel="0" collapsed="false">
      <c r="A1187" s="38" t="n">
        <v>1136</v>
      </c>
      <c r="B1187" s="38" t="s">
        <v>1369</v>
      </c>
      <c r="C1187" s="38" t="s">
        <v>57</v>
      </c>
      <c r="D1187" s="38"/>
      <c r="E1187" s="38" t="s">
        <v>58</v>
      </c>
      <c r="F1187" s="39" t="n">
        <v>1</v>
      </c>
      <c r="G1187" s="39" t="n">
        <v>1</v>
      </c>
      <c r="H1187" s="40" t="n">
        <v>349.99</v>
      </c>
      <c r="I1187" s="40" t="n">
        <v>0</v>
      </c>
      <c r="J1187" s="40" t="n">
        <v>0</v>
      </c>
      <c r="K1187" s="41" t="n">
        <f aca="false">H1187+I1187+J1187</f>
        <v>349.99</v>
      </c>
      <c r="L1187" s="42" t="n">
        <f aca="false">IF($K$1282=0,0,K1187/$K$1282)</f>
        <v>2.89926248209911E-005</v>
      </c>
      <c r="M1187" s="43" t="n">
        <f aca="false">IF(F1187&lt;=0,0,K1187/F1187)</f>
        <v>349.99</v>
      </c>
      <c r="N1187" s="40" t="n">
        <v>349.99</v>
      </c>
      <c r="O1187" s="44" t="n">
        <v>10</v>
      </c>
      <c r="P1187" s="43" t="n">
        <f aca="false">O1187*'Price Groups'!$B$5</f>
        <v>225</v>
      </c>
      <c r="Q1187" s="45" t="n">
        <f aca="false">IF(OR(N1187="",P1187=""),"",(N1187-P1187)/N1187)</f>
        <v>0.357124489271122</v>
      </c>
      <c r="R1187" s="46" t="n">
        <v>1</v>
      </c>
      <c r="S1187" s="47" t="n">
        <f aca="false">IF(R1187="-",0,IFERROR(VLOOKUP(R1187,'Price Groups'!$A$13:$C$17,3,FALSE()),0))</f>
        <v>0.22</v>
      </c>
      <c r="T1187" s="41" t="n">
        <f aca="false">IF(OR(N1187="",R1187="-"),"",CEILING(ROUND(N1187*(1+S1187),2),IF(N1187*(1+S1187)&lt;100,0.5,IF(N1187*(1+S1187)&lt;1000,1,5))))</f>
        <v>427</v>
      </c>
      <c r="U1187" s="45" t="n">
        <f aca="false">IF(OR(T1187="",P1187=""),"",(T1187-P1187)/T1187)</f>
        <v>0.473067915690867</v>
      </c>
      <c r="V1187" s="45" t="n">
        <f aca="false">IF(T1187="",0,T1187/N1187-1)</f>
        <v>0.220034858138804</v>
      </c>
      <c r="W1187" s="38" t="s">
        <v>94</v>
      </c>
    </row>
    <row r="1188" customFormat="false" ht="15" hidden="false" customHeight="false" outlineLevel="0" collapsed="false">
      <c r="A1188" s="19" t="n">
        <v>1137</v>
      </c>
      <c r="B1188" s="19" t="s">
        <v>1370</v>
      </c>
      <c r="C1188" s="19" t="s">
        <v>57</v>
      </c>
      <c r="D1188" s="19"/>
      <c r="E1188" s="19" t="s">
        <v>58</v>
      </c>
      <c r="F1188" s="20" t="n">
        <v>1</v>
      </c>
      <c r="G1188" s="20" t="n">
        <v>1</v>
      </c>
      <c r="H1188" s="21" t="n">
        <v>174.99</v>
      </c>
      <c r="I1188" s="21" t="n">
        <v>0</v>
      </c>
      <c r="J1188" s="21" t="n">
        <v>0</v>
      </c>
      <c r="K1188" s="22" t="n">
        <f aca="false">H1188+I1188+J1188</f>
        <v>174.99</v>
      </c>
      <c r="L1188" s="23" t="n">
        <f aca="false">IF($K$1282=0,0,K1188/$K$1282)</f>
        <v>1.44958982183069E-005</v>
      </c>
      <c r="M1188" s="24" t="n">
        <f aca="false">IF(F1188&lt;=0,0,K1188/F1188)</f>
        <v>174.99</v>
      </c>
      <c r="N1188" s="21" t="n">
        <v>174.99</v>
      </c>
      <c r="O1188" s="49" t="n">
        <v>5</v>
      </c>
      <c r="P1188" s="24" t="n">
        <f aca="false">O1188*'Price Groups'!$B$5</f>
        <v>112.5</v>
      </c>
      <c r="Q1188" s="26" t="n">
        <f aca="false">IF(OR(N1188="",P1188=""),"",(N1188-P1188)/N1188)</f>
        <v>0.357106120349734</v>
      </c>
      <c r="R1188" s="27" t="n">
        <v>1</v>
      </c>
      <c r="S1188" s="28" t="n">
        <f aca="false">IF(R1188="-",0,IFERROR(VLOOKUP(R1188,'Price Groups'!$A$13:$C$17,3,FALSE()),0))</f>
        <v>0.22</v>
      </c>
      <c r="T1188" s="22" t="n">
        <f aca="false">IF(OR(N1188="",R1188="-"),"",CEILING(ROUND(N1188*(1+S1188),2),IF(N1188*(1+S1188)&lt;100,0.5,IF(N1188*(1+S1188)&lt;1000,1,5))))</f>
        <v>214</v>
      </c>
      <c r="U1188" s="26" t="n">
        <f aca="false">IF(OR(T1188="",P1188=""),"",(T1188-P1188)/T1188)</f>
        <v>0.474299065420561</v>
      </c>
      <c r="V1188" s="26" t="n">
        <f aca="false">IF(T1188="",0,T1188/N1188-1)</f>
        <v>0.222927024401394</v>
      </c>
      <c r="W1188" s="19" t="s">
        <v>94</v>
      </c>
    </row>
    <row r="1189" customFormat="false" ht="15" hidden="false" customHeight="false" outlineLevel="0" collapsed="false">
      <c r="A1189" s="38" t="n">
        <v>1138</v>
      </c>
      <c r="B1189" s="38" t="s">
        <v>1371</v>
      </c>
      <c r="C1189" s="38" t="s">
        <v>57</v>
      </c>
      <c r="D1189" s="38"/>
      <c r="E1189" s="38" t="s">
        <v>58</v>
      </c>
      <c r="F1189" s="39" t="n">
        <v>1</v>
      </c>
      <c r="G1189" s="39" t="n">
        <v>1</v>
      </c>
      <c r="H1189" s="40" t="n">
        <v>19</v>
      </c>
      <c r="I1189" s="40" t="n">
        <v>0</v>
      </c>
      <c r="J1189" s="40" t="n">
        <v>0</v>
      </c>
      <c r="K1189" s="41" t="n">
        <f aca="false">H1189+I1189+J1189</f>
        <v>19</v>
      </c>
      <c r="L1189" s="42" t="n">
        <f aca="false">IF($K$1282=0,0,K1189/$K$1282)</f>
        <v>1.57393031686286E-006</v>
      </c>
      <c r="M1189" s="43" t="n">
        <f aca="false">IF(F1189&lt;=0,0,K1189/F1189)</f>
        <v>19</v>
      </c>
      <c r="N1189" s="40" t="n">
        <v>19</v>
      </c>
      <c r="O1189" s="44" t="n">
        <v>0.5</v>
      </c>
      <c r="P1189" s="43" t="n">
        <f aca="false">O1189*'Price Groups'!$B$5</f>
        <v>11.25</v>
      </c>
      <c r="Q1189" s="45" t="n">
        <f aca="false">IF(OR(N1189="",P1189=""),"",(N1189-P1189)/N1189)</f>
        <v>0.407894736842105</v>
      </c>
      <c r="R1189" s="46" t="n">
        <v>1</v>
      </c>
      <c r="S1189" s="47" t="n">
        <f aca="false">IF(R1189="-",0,IFERROR(VLOOKUP(R1189,'Price Groups'!$A$13:$C$17,3,FALSE()),0))</f>
        <v>0.22</v>
      </c>
      <c r="T1189" s="41" t="n">
        <f aca="false">IF(OR(N1189="",R1189="-"),"",CEILING(ROUND(N1189*(1+S1189),2),IF(N1189*(1+S1189)&lt;100,0.5,IF(N1189*(1+S1189)&lt;1000,1,5))))</f>
        <v>23.5</v>
      </c>
      <c r="U1189" s="45" t="n">
        <f aca="false">IF(OR(T1189="",P1189=""),"",(T1189-P1189)/T1189)</f>
        <v>0.521276595744681</v>
      </c>
      <c r="V1189" s="45" t="n">
        <f aca="false">IF(T1189="",0,T1189/N1189-1)</f>
        <v>0.236842105263158</v>
      </c>
      <c r="W1189" s="38" t="s">
        <v>94</v>
      </c>
    </row>
    <row r="1190" customFormat="false" ht="15" hidden="false" customHeight="false" outlineLevel="0" collapsed="false">
      <c r="A1190" s="19" t="n">
        <v>1139</v>
      </c>
      <c r="B1190" s="19" t="s">
        <v>1372</v>
      </c>
      <c r="C1190" s="19" t="s">
        <v>57</v>
      </c>
      <c r="D1190" s="19"/>
      <c r="E1190" s="19" t="s">
        <v>58</v>
      </c>
      <c r="F1190" s="20" t="n">
        <v>1</v>
      </c>
      <c r="G1190" s="20" t="n">
        <v>1</v>
      </c>
      <c r="H1190" s="21" t="n">
        <v>99.99</v>
      </c>
      <c r="I1190" s="21" t="n">
        <v>0</v>
      </c>
      <c r="J1190" s="21" t="n">
        <v>0</v>
      </c>
      <c r="K1190" s="22" t="n">
        <f aca="false">H1190+I1190+J1190</f>
        <v>99.99</v>
      </c>
      <c r="L1190" s="23" t="n">
        <f aca="false">IF($K$1282=0,0,K1190/$K$1282)</f>
        <v>8.2830153885851E-006</v>
      </c>
      <c r="M1190" s="24" t="n">
        <f aca="false">IF(F1190&lt;=0,0,K1190/F1190)</f>
        <v>99.99</v>
      </c>
      <c r="N1190" s="21" t="n">
        <v>99.99</v>
      </c>
      <c r="O1190" s="49" t="n">
        <v>2.36</v>
      </c>
      <c r="P1190" s="24" t="n">
        <f aca="false">O1190*'Price Groups'!$B$5</f>
        <v>53.1</v>
      </c>
      <c r="Q1190" s="26" t="n">
        <f aca="false">IF(OR(N1190="",P1190=""),"",(N1190-P1190)/N1190)</f>
        <v>0.468946894689469</v>
      </c>
      <c r="R1190" s="27" t="n">
        <v>1</v>
      </c>
      <c r="S1190" s="28" t="n">
        <f aca="false">IF(R1190="-",0,IFERROR(VLOOKUP(R1190,'Price Groups'!$A$13:$C$17,3,FALSE()),0))</f>
        <v>0.22</v>
      </c>
      <c r="T1190" s="22" t="n">
        <f aca="false">IF(OR(N1190="",R1190="-"),"",CEILING(ROUND(N1190*(1+S1190),2),IF(N1190*(1+S1190)&lt;100,0.5,IF(N1190*(1+S1190)&lt;1000,1,5))))</f>
        <v>122</v>
      </c>
      <c r="U1190" s="26" t="n">
        <f aca="false">IF(OR(T1190="",P1190=""),"",(T1190-P1190)/T1190)</f>
        <v>0.564754098360656</v>
      </c>
      <c r="V1190" s="26" t="n">
        <f aca="false">IF(T1190="",0,T1190/N1190-1)</f>
        <v>0.22012201220122</v>
      </c>
      <c r="W1190" s="19" t="s">
        <v>94</v>
      </c>
    </row>
    <row r="1191" customFormat="false" ht="15" hidden="false" customHeight="false" outlineLevel="0" collapsed="false">
      <c r="A1191" s="38" t="n">
        <v>1140</v>
      </c>
      <c r="B1191" s="38" t="s">
        <v>1373</v>
      </c>
      <c r="C1191" s="38" t="s">
        <v>57</v>
      </c>
      <c r="D1191" s="38"/>
      <c r="E1191" s="38" t="s">
        <v>58</v>
      </c>
      <c r="F1191" s="39" t="n">
        <v>1</v>
      </c>
      <c r="G1191" s="39" t="n">
        <v>1</v>
      </c>
      <c r="H1191" s="40" t="n">
        <v>99.99</v>
      </c>
      <c r="I1191" s="40" t="n">
        <v>0</v>
      </c>
      <c r="J1191" s="40" t="n">
        <v>0</v>
      </c>
      <c r="K1191" s="41" t="n">
        <f aca="false">H1191+I1191+J1191</f>
        <v>99.99</v>
      </c>
      <c r="L1191" s="42" t="n">
        <f aca="false">IF($K$1282=0,0,K1191/$K$1282)</f>
        <v>8.2830153885851E-006</v>
      </c>
      <c r="M1191" s="43" t="n">
        <f aca="false">IF(F1191&lt;=0,0,K1191/F1191)</f>
        <v>99.99</v>
      </c>
      <c r="N1191" s="40" t="n">
        <v>99.99</v>
      </c>
      <c r="O1191" s="44" t="n">
        <v>2.36</v>
      </c>
      <c r="P1191" s="43" t="n">
        <f aca="false">O1191*'Price Groups'!$B$5</f>
        <v>53.1</v>
      </c>
      <c r="Q1191" s="45" t="n">
        <f aca="false">IF(OR(N1191="",P1191=""),"",(N1191-P1191)/N1191)</f>
        <v>0.468946894689469</v>
      </c>
      <c r="R1191" s="46" t="n">
        <v>1</v>
      </c>
      <c r="S1191" s="47" t="n">
        <f aca="false">IF(R1191="-",0,IFERROR(VLOOKUP(R1191,'Price Groups'!$A$13:$C$17,3,FALSE()),0))</f>
        <v>0.22</v>
      </c>
      <c r="T1191" s="41" t="n">
        <f aca="false">IF(OR(N1191="",R1191="-"),"",CEILING(ROUND(N1191*(1+S1191),2),IF(N1191*(1+S1191)&lt;100,0.5,IF(N1191*(1+S1191)&lt;1000,1,5))))</f>
        <v>122</v>
      </c>
      <c r="U1191" s="45" t="n">
        <f aca="false">IF(OR(T1191="",P1191=""),"",(T1191-P1191)/T1191)</f>
        <v>0.564754098360656</v>
      </c>
      <c r="V1191" s="45" t="n">
        <f aca="false">IF(T1191="",0,T1191/N1191-1)</f>
        <v>0.22012201220122</v>
      </c>
      <c r="W1191" s="38" t="s">
        <v>94</v>
      </c>
    </row>
    <row r="1192" customFormat="false" ht="15" hidden="false" customHeight="false" outlineLevel="0" collapsed="false">
      <c r="A1192" s="19" t="n">
        <v>1141</v>
      </c>
      <c r="B1192" s="19" t="s">
        <v>1374</v>
      </c>
      <c r="C1192" s="19" t="s">
        <v>57</v>
      </c>
      <c r="D1192" s="19"/>
      <c r="E1192" s="19" t="s">
        <v>58</v>
      </c>
      <c r="F1192" s="20" t="n">
        <v>1</v>
      </c>
      <c r="G1192" s="20" t="n">
        <v>1</v>
      </c>
      <c r="H1192" s="21" t="n">
        <v>99.99</v>
      </c>
      <c r="I1192" s="21" t="n">
        <v>0</v>
      </c>
      <c r="J1192" s="21" t="n">
        <v>0</v>
      </c>
      <c r="K1192" s="22" t="n">
        <f aca="false">H1192+I1192+J1192</f>
        <v>99.99</v>
      </c>
      <c r="L1192" s="23" t="n">
        <f aca="false">IF($K$1282=0,0,K1192/$K$1282)</f>
        <v>8.2830153885851E-006</v>
      </c>
      <c r="M1192" s="24" t="n">
        <f aca="false">IF(F1192&lt;=0,0,K1192/F1192)</f>
        <v>99.99</v>
      </c>
      <c r="N1192" s="21" t="n">
        <v>99.99</v>
      </c>
      <c r="O1192" s="49" t="n">
        <v>2.36</v>
      </c>
      <c r="P1192" s="24" t="n">
        <f aca="false">O1192*'Price Groups'!$B$5</f>
        <v>53.1</v>
      </c>
      <c r="Q1192" s="26" t="n">
        <f aca="false">IF(OR(N1192="",P1192=""),"",(N1192-P1192)/N1192)</f>
        <v>0.468946894689469</v>
      </c>
      <c r="R1192" s="27" t="n">
        <v>1</v>
      </c>
      <c r="S1192" s="28" t="n">
        <f aca="false">IF(R1192="-",0,IFERROR(VLOOKUP(R1192,'Price Groups'!$A$13:$C$17,3,FALSE()),0))</f>
        <v>0.22</v>
      </c>
      <c r="T1192" s="22" t="n">
        <f aca="false">IF(OR(N1192="",R1192="-"),"",CEILING(ROUND(N1192*(1+S1192),2),IF(N1192*(1+S1192)&lt;100,0.5,IF(N1192*(1+S1192)&lt;1000,1,5))))</f>
        <v>122</v>
      </c>
      <c r="U1192" s="26" t="n">
        <f aca="false">IF(OR(T1192="",P1192=""),"",(T1192-P1192)/T1192)</f>
        <v>0.564754098360656</v>
      </c>
      <c r="V1192" s="26" t="n">
        <f aca="false">IF(T1192="",0,T1192/N1192-1)</f>
        <v>0.22012201220122</v>
      </c>
      <c r="W1192" s="19" t="s">
        <v>94</v>
      </c>
    </row>
    <row r="1193" customFormat="false" ht="15" hidden="false" customHeight="false" outlineLevel="0" collapsed="false">
      <c r="A1193" s="38" t="n">
        <v>1142</v>
      </c>
      <c r="B1193" s="38" t="s">
        <v>1375</v>
      </c>
      <c r="C1193" s="38" t="s">
        <v>57</v>
      </c>
      <c r="D1193" s="38"/>
      <c r="E1193" s="38" t="s">
        <v>58</v>
      </c>
      <c r="F1193" s="39" t="n">
        <v>1</v>
      </c>
      <c r="G1193" s="39" t="n">
        <v>1</v>
      </c>
      <c r="H1193" s="40" t="n">
        <v>140.03</v>
      </c>
      <c r="I1193" s="40" t="n">
        <v>0</v>
      </c>
      <c r="J1193" s="40" t="n">
        <v>0</v>
      </c>
      <c r="K1193" s="41" t="n">
        <f aca="false">H1193+I1193+J1193</f>
        <v>140.03</v>
      </c>
      <c r="L1193" s="42" t="n">
        <f aca="false">IF($K$1282=0,0,K1193/$K$1282)</f>
        <v>1.15998664352793E-005</v>
      </c>
      <c r="M1193" s="43" t="n">
        <f aca="false">IF(F1193&lt;=0,0,K1193/F1193)</f>
        <v>140.03</v>
      </c>
      <c r="N1193" s="40" t="n">
        <v>140.03</v>
      </c>
      <c r="O1193" s="44" t="n">
        <v>5.41</v>
      </c>
      <c r="P1193" s="43" t="n">
        <f aca="false">O1193*'Price Groups'!$B$5</f>
        <v>121.725</v>
      </c>
      <c r="Q1193" s="45" t="n">
        <f aca="false">IF(OR(N1193="",P1193=""),"",(N1193-P1193)/N1193)</f>
        <v>0.130721988145397</v>
      </c>
      <c r="R1193" s="46" t="n">
        <v>1</v>
      </c>
      <c r="S1193" s="47" t="n">
        <f aca="false">IF(R1193="-",0,IFERROR(VLOOKUP(R1193,'Price Groups'!$A$13:$C$17,3,FALSE()),0))</f>
        <v>0.22</v>
      </c>
      <c r="T1193" s="41" t="n">
        <f aca="false">IF(OR(N1193="",R1193="-"),"",CEILING(ROUND(N1193*(1+S1193),2),IF(N1193*(1+S1193)&lt;100,0.5,IF(N1193*(1+S1193)&lt;1000,1,5))))</f>
        <v>171</v>
      </c>
      <c r="U1193" s="45" t="n">
        <f aca="false">IF(OR(T1193="",P1193=""),"",(T1193-P1193)/T1193)</f>
        <v>0.288157894736842</v>
      </c>
      <c r="V1193" s="45" t="n">
        <f aca="false">IF(T1193="",0,T1193/N1193-1)</f>
        <v>0.221166892808684</v>
      </c>
      <c r="W1193" s="38" t="s">
        <v>476</v>
      </c>
    </row>
    <row r="1194" customFormat="false" ht="15" hidden="false" customHeight="false" outlineLevel="0" collapsed="false">
      <c r="A1194" s="19" t="n">
        <v>1143</v>
      </c>
      <c r="B1194" s="19" t="s">
        <v>1376</v>
      </c>
      <c r="C1194" s="19" t="s">
        <v>57</v>
      </c>
      <c r="D1194" s="19"/>
      <c r="E1194" s="19" t="s">
        <v>58</v>
      </c>
      <c r="F1194" s="20" t="n">
        <v>1</v>
      </c>
      <c r="G1194" s="20" t="n">
        <v>1</v>
      </c>
      <c r="H1194" s="21" t="n">
        <v>399.99</v>
      </c>
      <c r="I1194" s="21" t="n">
        <v>0</v>
      </c>
      <c r="J1194" s="21" t="n">
        <v>0</v>
      </c>
      <c r="K1194" s="22" t="n">
        <f aca="false">H1194+I1194+J1194</f>
        <v>399.99</v>
      </c>
      <c r="L1194" s="23" t="n">
        <f aca="false">IF($K$1282=0,0,K1194/$K$1282)</f>
        <v>3.31345467074723E-005</v>
      </c>
      <c r="M1194" s="24" t="n">
        <f aca="false">IF(F1194&lt;=0,0,K1194/F1194)</f>
        <v>399.99</v>
      </c>
      <c r="N1194" s="21" t="n">
        <v>399.99</v>
      </c>
      <c r="O1194" s="49" t="n">
        <v>12.75</v>
      </c>
      <c r="P1194" s="24" t="n">
        <f aca="false">O1194*'Price Groups'!$B$5</f>
        <v>286.875</v>
      </c>
      <c r="Q1194" s="26" t="n">
        <f aca="false">IF(OR(N1194="",P1194=""),"",(N1194-P1194)/N1194)</f>
        <v>0.282794569864247</v>
      </c>
      <c r="R1194" s="27" t="n">
        <v>1</v>
      </c>
      <c r="S1194" s="28" t="n">
        <f aca="false">IF(R1194="-",0,IFERROR(VLOOKUP(R1194,'Price Groups'!$A$13:$C$17,3,FALSE()),0))</f>
        <v>0.22</v>
      </c>
      <c r="T1194" s="22" t="n">
        <f aca="false">IF(OR(N1194="",R1194="-"),"",CEILING(ROUND(N1194*(1+S1194),2),IF(N1194*(1+S1194)&lt;100,0.5,IF(N1194*(1+S1194)&lt;1000,1,5))))</f>
        <v>488</v>
      </c>
      <c r="U1194" s="26" t="n">
        <f aca="false">IF(OR(T1194="",P1194=""),"",(T1194-P1194)/T1194)</f>
        <v>0.412141393442623</v>
      </c>
      <c r="V1194" s="26" t="n">
        <f aca="false">IF(T1194="",0,T1194/N1194-1)</f>
        <v>0.220030500762519</v>
      </c>
      <c r="W1194" s="19" t="s">
        <v>94</v>
      </c>
    </row>
    <row r="1195" customFormat="false" ht="15" hidden="false" customHeight="false" outlineLevel="0" collapsed="false">
      <c r="A1195" s="38" t="n">
        <v>1144</v>
      </c>
      <c r="B1195" s="38" t="s">
        <v>1377</v>
      </c>
      <c r="C1195" s="38" t="s">
        <v>57</v>
      </c>
      <c r="D1195" s="38"/>
      <c r="E1195" s="38" t="s">
        <v>58</v>
      </c>
      <c r="F1195" s="39" t="n">
        <v>1</v>
      </c>
      <c r="G1195" s="39" t="n">
        <v>1</v>
      </c>
      <c r="H1195" s="40" t="n">
        <v>399.99</v>
      </c>
      <c r="I1195" s="40" t="n">
        <v>0</v>
      </c>
      <c r="J1195" s="40" t="n">
        <v>0</v>
      </c>
      <c r="K1195" s="41" t="n">
        <f aca="false">H1195+I1195+J1195</f>
        <v>399.99</v>
      </c>
      <c r="L1195" s="42" t="n">
        <f aca="false">IF($K$1282=0,0,K1195/$K$1282)</f>
        <v>3.31345467074723E-005</v>
      </c>
      <c r="M1195" s="43" t="n">
        <f aca="false">IF(F1195&lt;=0,0,K1195/F1195)</f>
        <v>399.99</v>
      </c>
      <c r="N1195" s="40" t="n">
        <v>399.99</v>
      </c>
      <c r="O1195" s="44" t="n">
        <v>12.75</v>
      </c>
      <c r="P1195" s="43" t="n">
        <f aca="false">O1195*'Price Groups'!$B$5</f>
        <v>286.875</v>
      </c>
      <c r="Q1195" s="45" t="n">
        <f aca="false">IF(OR(N1195="",P1195=""),"",(N1195-P1195)/N1195)</f>
        <v>0.282794569864247</v>
      </c>
      <c r="R1195" s="46" t="n">
        <v>1</v>
      </c>
      <c r="S1195" s="47" t="n">
        <f aca="false">IF(R1195="-",0,IFERROR(VLOOKUP(R1195,'Price Groups'!$A$13:$C$17,3,FALSE()),0))</f>
        <v>0.22</v>
      </c>
      <c r="T1195" s="41" t="n">
        <f aca="false">IF(OR(N1195="",R1195="-"),"",CEILING(ROUND(N1195*(1+S1195),2),IF(N1195*(1+S1195)&lt;100,0.5,IF(N1195*(1+S1195)&lt;1000,1,5))))</f>
        <v>488</v>
      </c>
      <c r="U1195" s="45" t="n">
        <f aca="false">IF(OR(T1195="",P1195=""),"",(T1195-P1195)/T1195)</f>
        <v>0.412141393442623</v>
      </c>
      <c r="V1195" s="45" t="n">
        <f aca="false">IF(T1195="",0,T1195/N1195-1)</f>
        <v>0.220030500762519</v>
      </c>
      <c r="W1195" s="38" t="s">
        <v>94</v>
      </c>
    </row>
    <row r="1196" customFormat="false" ht="15" hidden="false" customHeight="false" outlineLevel="0" collapsed="false">
      <c r="A1196" s="19" t="n">
        <v>1145</v>
      </c>
      <c r="B1196" s="19" t="s">
        <v>1378</v>
      </c>
      <c r="C1196" s="19" t="s">
        <v>57</v>
      </c>
      <c r="D1196" s="19"/>
      <c r="E1196" s="19" t="s">
        <v>58</v>
      </c>
      <c r="F1196" s="20" t="n">
        <v>1</v>
      </c>
      <c r="G1196" s="20" t="n">
        <v>1</v>
      </c>
      <c r="H1196" s="21" t="n">
        <v>110</v>
      </c>
      <c r="I1196" s="21" t="n">
        <v>0</v>
      </c>
      <c r="J1196" s="21" t="n">
        <v>0</v>
      </c>
      <c r="K1196" s="22" t="n">
        <f aca="false">H1196+I1196+J1196</f>
        <v>110</v>
      </c>
      <c r="L1196" s="23" t="n">
        <f aca="false">IF($K$1282=0,0,K1196/$K$1282)</f>
        <v>9.11222815025864E-006</v>
      </c>
      <c r="M1196" s="24" t="n">
        <f aca="false">IF(F1196&lt;=0,0,K1196/F1196)</f>
        <v>110</v>
      </c>
      <c r="N1196" s="21" t="n">
        <v>110</v>
      </c>
      <c r="O1196" s="49" t="n">
        <v>2.43</v>
      </c>
      <c r="P1196" s="24" t="n">
        <f aca="false">O1196*'Price Groups'!$B$5</f>
        <v>54.675</v>
      </c>
      <c r="Q1196" s="26" t="n">
        <f aca="false">IF(OR(N1196="",P1196=""),"",(N1196-P1196)/N1196)</f>
        <v>0.502954545454545</v>
      </c>
      <c r="R1196" s="27" t="n">
        <v>1</v>
      </c>
      <c r="S1196" s="28" t="n">
        <f aca="false">IF(R1196="-",0,IFERROR(VLOOKUP(R1196,'Price Groups'!$A$13:$C$17,3,FALSE()),0))</f>
        <v>0.22</v>
      </c>
      <c r="T1196" s="22" t="n">
        <f aca="false">IF(OR(N1196="",R1196="-"),"",CEILING(ROUND(N1196*(1+S1196),2),IF(N1196*(1+S1196)&lt;100,0.5,IF(N1196*(1+S1196)&lt;1000,1,5))))</f>
        <v>135</v>
      </c>
      <c r="U1196" s="26" t="n">
        <f aca="false">IF(OR(T1196="",P1196=""),"",(T1196-P1196)/T1196)</f>
        <v>0.595</v>
      </c>
      <c r="V1196" s="26" t="n">
        <f aca="false">IF(T1196="",0,T1196/N1196-1)</f>
        <v>0.227272727272727</v>
      </c>
      <c r="W1196" s="19" t="s">
        <v>94</v>
      </c>
    </row>
    <row r="1197" customFormat="false" ht="15" hidden="false" customHeight="false" outlineLevel="0" collapsed="false">
      <c r="A1197" s="38" t="n">
        <v>1146</v>
      </c>
      <c r="B1197" s="38" t="s">
        <v>1379</v>
      </c>
      <c r="C1197" s="38" t="s">
        <v>57</v>
      </c>
      <c r="D1197" s="38"/>
      <c r="E1197" s="38" t="s">
        <v>58</v>
      </c>
      <c r="F1197" s="39" t="n">
        <v>1</v>
      </c>
      <c r="G1197" s="39" t="n">
        <v>2</v>
      </c>
      <c r="H1197" s="40" t="n">
        <v>3199.96</v>
      </c>
      <c r="I1197" s="40" t="n">
        <v>0</v>
      </c>
      <c r="J1197" s="40" t="n">
        <v>-2599.96</v>
      </c>
      <c r="K1197" s="41" t="n">
        <f aca="false">H1197+I1197+J1197</f>
        <v>600</v>
      </c>
      <c r="L1197" s="42" t="n">
        <f aca="false">IF($K$1282=0,0,K1197/$K$1282)</f>
        <v>4.97030626377744E-005</v>
      </c>
      <c r="M1197" s="43" t="n">
        <f aca="false">IF(F1197&lt;=0,0,K1197/F1197)</f>
        <v>600</v>
      </c>
      <c r="N1197" s="40" t="n">
        <v>649.99</v>
      </c>
      <c r="O1197" s="44" t="n">
        <v>18.78</v>
      </c>
      <c r="P1197" s="43" t="n">
        <f aca="false">O1197*'Price Groups'!$B$5</f>
        <v>422.55</v>
      </c>
      <c r="Q1197" s="45" t="n">
        <f aca="false">IF(OR(N1197="",P1197=""),"",(N1197-P1197)/N1197)</f>
        <v>0.349913075585778</v>
      </c>
      <c r="R1197" s="46" t="n">
        <v>1</v>
      </c>
      <c r="S1197" s="47" t="n">
        <f aca="false">IF(R1197="-",0,IFERROR(VLOOKUP(R1197,'Price Groups'!$A$13:$C$17,3,FALSE()),0))</f>
        <v>0.22</v>
      </c>
      <c r="T1197" s="41" t="n">
        <f aca="false">IF(OR(N1197="",R1197="-"),"",CEILING(ROUND(N1197*(1+S1197),2),IF(N1197*(1+S1197)&lt;100,0.5,IF(N1197*(1+S1197)&lt;1000,1,5))))</f>
        <v>793</v>
      </c>
      <c r="U1197" s="45" t="n">
        <f aca="false">IF(OR(T1197="",P1197=""),"",(T1197-P1197)/T1197)</f>
        <v>0.467150063051702</v>
      </c>
      <c r="V1197" s="45" t="n">
        <f aca="false">IF(T1197="",0,T1197/N1197-1)</f>
        <v>0.220018769519531</v>
      </c>
      <c r="W1197" s="38" t="s">
        <v>94</v>
      </c>
    </row>
    <row r="1198" customFormat="false" ht="15" hidden="false" customHeight="false" outlineLevel="0" collapsed="false">
      <c r="A1198" s="19" t="n">
        <v>1147</v>
      </c>
      <c r="B1198" s="19" t="s">
        <v>1380</v>
      </c>
      <c r="C1198" s="19" t="s">
        <v>57</v>
      </c>
      <c r="D1198" s="19"/>
      <c r="E1198" s="19" t="s">
        <v>58</v>
      </c>
      <c r="F1198" s="20" t="n">
        <v>1</v>
      </c>
      <c r="G1198" s="20" t="n">
        <v>1</v>
      </c>
      <c r="H1198" s="21" t="n">
        <v>600</v>
      </c>
      <c r="I1198" s="21" t="n">
        <v>0</v>
      </c>
      <c r="J1198" s="21" t="n">
        <v>0</v>
      </c>
      <c r="K1198" s="22" t="n">
        <f aca="false">H1198+I1198+J1198</f>
        <v>600</v>
      </c>
      <c r="L1198" s="23" t="n">
        <f aca="false">IF($K$1282=0,0,K1198/$K$1282)</f>
        <v>4.97030626377744E-005</v>
      </c>
      <c r="M1198" s="24" t="n">
        <f aca="false">IF(F1198&lt;=0,0,K1198/F1198)</f>
        <v>600</v>
      </c>
      <c r="N1198" s="21" t="n">
        <v>600</v>
      </c>
      <c r="O1198" s="49" t="n">
        <v>19.22</v>
      </c>
      <c r="P1198" s="24" t="n">
        <f aca="false">O1198*'Price Groups'!$B$5</f>
        <v>432.45</v>
      </c>
      <c r="Q1198" s="26" t="n">
        <f aca="false">IF(OR(N1198="",P1198=""),"",(N1198-P1198)/N1198)</f>
        <v>0.27925</v>
      </c>
      <c r="R1198" s="27" t="n">
        <v>1</v>
      </c>
      <c r="S1198" s="28" t="n">
        <f aca="false">IF(R1198="-",0,IFERROR(VLOOKUP(R1198,'Price Groups'!$A$13:$C$17,3,FALSE()),0))</f>
        <v>0.22</v>
      </c>
      <c r="T1198" s="22" t="n">
        <f aca="false">IF(OR(N1198="",R1198="-"),"",CEILING(ROUND(N1198*(1+S1198),2),IF(N1198*(1+S1198)&lt;100,0.5,IF(N1198*(1+S1198)&lt;1000,1,5))))</f>
        <v>732</v>
      </c>
      <c r="U1198" s="26" t="n">
        <f aca="false">IF(OR(T1198="",P1198=""),"",(T1198-P1198)/T1198)</f>
        <v>0.40922131147541</v>
      </c>
      <c r="V1198" s="26" t="n">
        <f aca="false">IF(T1198="",0,T1198/N1198-1)</f>
        <v>0.22</v>
      </c>
      <c r="W1198" s="19" t="s">
        <v>94</v>
      </c>
    </row>
    <row r="1199" customFormat="false" ht="15" hidden="false" customHeight="false" outlineLevel="0" collapsed="false">
      <c r="A1199" s="38" t="n">
        <v>1148</v>
      </c>
      <c r="B1199" s="38" t="s">
        <v>1381</v>
      </c>
      <c r="C1199" s="38" t="s">
        <v>57</v>
      </c>
      <c r="D1199" s="38"/>
      <c r="E1199" s="38" t="s">
        <v>58</v>
      </c>
      <c r="F1199" s="39" t="n">
        <v>1</v>
      </c>
      <c r="G1199" s="39" t="n">
        <v>1</v>
      </c>
      <c r="H1199" s="40" t="n">
        <v>274.99</v>
      </c>
      <c r="I1199" s="40" t="n">
        <v>0</v>
      </c>
      <c r="J1199" s="40" t="n">
        <v>0</v>
      </c>
      <c r="K1199" s="41" t="n">
        <f aca="false">H1199+I1199+J1199</f>
        <v>274.99</v>
      </c>
      <c r="L1199" s="42" t="n">
        <f aca="false">IF($K$1282=0,0,K1199/$K$1282)</f>
        <v>2.27797419912693E-005</v>
      </c>
      <c r="M1199" s="43" t="n">
        <f aca="false">IF(F1199&lt;=0,0,K1199/F1199)</f>
        <v>274.99</v>
      </c>
      <c r="N1199" s="40" t="n">
        <v>199.99</v>
      </c>
      <c r="O1199" s="44" t="n">
        <v>6.3</v>
      </c>
      <c r="P1199" s="43" t="n">
        <f aca="false">O1199*'Price Groups'!$B$5</f>
        <v>141.75</v>
      </c>
      <c r="Q1199" s="45" t="n">
        <f aca="false">IF(OR(N1199="",P1199=""),"",(N1199-P1199)/N1199)</f>
        <v>0.291214560728036</v>
      </c>
      <c r="R1199" s="46" t="n">
        <v>1</v>
      </c>
      <c r="S1199" s="47" t="n">
        <f aca="false">IF(R1199="-",0,IFERROR(VLOOKUP(R1199,'Price Groups'!$A$13:$C$17,3,FALSE()),0))</f>
        <v>0.22</v>
      </c>
      <c r="T1199" s="41" t="n">
        <f aca="false">IF(OR(N1199="",R1199="-"),"",CEILING(ROUND(N1199*(1+S1199),2),IF(N1199*(1+S1199)&lt;100,0.5,IF(N1199*(1+S1199)&lt;1000,1,5))))</f>
        <v>244</v>
      </c>
      <c r="U1199" s="45" t="n">
        <f aca="false">IF(OR(T1199="",P1199=""),"",(T1199-P1199)/T1199)</f>
        <v>0.41905737704918</v>
      </c>
      <c r="V1199" s="45" t="n">
        <f aca="false">IF(T1199="",0,T1199/N1199-1)</f>
        <v>0.220061003050152</v>
      </c>
      <c r="W1199" s="38" t="s">
        <v>94</v>
      </c>
    </row>
    <row r="1200" customFormat="false" ht="15" hidden="false" customHeight="false" outlineLevel="0" collapsed="false">
      <c r="A1200" s="19" t="n">
        <v>1149</v>
      </c>
      <c r="B1200" s="19" t="s">
        <v>1382</v>
      </c>
      <c r="C1200" s="19" t="s">
        <v>57</v>
      </c>
      <c r="D1200" s="19"/>
      <c r="E1200" s="19" t="s">
        <v>58</v>
      </c>
      <c r="F1200" s="20" t="n">
        <v>1</v>
      </c>
      <c r="G1200" s="20" t="n">
        <v>1</v>
      </c>
      <c r="H1200" s="21" t="n">
        <v>149.99</v>
      </c>
      <c r="I1200" s="21" t="n">
        <v>0</v>
      </c>
      <c r="J1200" s="21" t="n">
        <v>0</v>
      </c>
      <c r="K1200" s="22" t="n">
        <f aca="false">H1200+I1200+J1200</f>
        <v>149.99</v>
      </c>
      <c r="L1200" s="23" t="n">
        <f aca="false">IF($K$1282=0,0,K1200/$K$1282)</f>
        <v>1.24249372750663E-005</v>
      </c>
      <c r="M1200" s="24" t="n">
        <f aca="false">IF(F1200&lt;=0,0,K1200/F1200)</f>
        <v>149.99</v>
      </c>
      <c r="N1200" s="21" t="n">
        <v>149.99</v>
      </c>
      <c r="O1200" s="49" t="n">
        <v>3.3</v>
      </c>
      <c r="P1200" s="24" t="n">
        <f aca="false">O1200*'Price Groups'!$B$5</f>
        <v>74.25</v>
      </c>
      <c r="Q1200" s="26" t="n">
        <f aca="false">IF(OR(N1200="",P1200=""),"",(N1200-P1200)/N1200)</f>
        <v>0.504966997799853</v>
      </c>
      <c r="R1200" s="27" t="n">
        <v>1</v>
      </c>
      <c r="S1200" s="28" t="n">
        <f aca="false">IF(R1200="-",0,IFERROR(VLOOKUP(R1200,'Price Groups'!$A$13:$C$17,3,FALSE()),0))</f>
        <v>0.22</v>
      </c>
      <c r="T1200" s="22" t="n">
        <f aca="false">IF(OR(N1200="",R1200="-"),"",CEILING(ROUND(N1200*(1+S1200),2),IF(N1200*(1+S1200)&lt;100,0.5,IF(N1200*(1+S1200)&lt;1000,1,5))))</f>
        <v>183</v>
      </c>
      <c r="U1200" s="26" t="n">
        <f aca="false">IF(OR(T1200="",P1200=""),"",(T1200-P1200)/T1200)</f>
        <v>0.594262295081967</v>
      </c>
      <c r="V1200" s="26" t="n">
        <f aca="false">IF(T1200="",0,T1200/N1200-1)</f>
        <v>0.220081338755917</v>
      </c>
      <c r="W1200" s="19" t="s">
        <v>94</v>
      </c>
    </row>
    <row r="1201" customFormat="false" ht="15" hidden="false" customHeight="false" outlineLevel="0" collapsed="false">
      <c r="A1201" s="38" t="n">
        <v>1150</v>
      </c>
      <c r="B1201" s="38" t="s">
        <v>1383</v>
      </c>
      <c r="C1201" s="38" t="s">
        <v>57</v>
      </c>
      <c r="D1201" s="38"/>
      <c r="E1201" s="38" t="s">
        <v>58</v>
      </c>
      <c r="F1201" s="39" t="n">
        <v>1</v>
      </c>
      <c r="G1201" s="39" t="n">
        <v>1</v>
      </c>
      <c r="H1201" s="40" t="n">
        <v>39.99</v>
      </c>
      <c r="I1201" s="40" t="n">
        <v>0</v>
      </c>
      <c r="J1201" s="40" t="n">
        <v>0</v>
      </c>
      <c r="K1201" s="41" t="n">
        <f aca="false">H1201+I1201+J1201</f>
        <v>39.99</v>
      </c>
      <c r="L1201" s="42" t="n">
        <f aca="false">IF($K$1282=0,0,K1201/$K$1282)</f>
        <v>3.31270912480766E-006</v>
      </c>
      <c r="M1201" s="43" t="n">
        <f aca="false">IF(F1201&lt;=0,0,K1201/F1201)</f>
        <v>39.99</v>
      </c>
      <c r="N1201" s="40" t="n">
        <v>39.99</v>
      </c>
      <c r="O1201" s="44" t="n">
        <v>0.78</v>
      </c>
      <c r="P1201" s="43" t="n">
        <f aca="false">O1201*'Price Groups'!$B$5</f>
        <v>17.55</v>
      </c>
      <c r="Q1201" s="45" t="n">
        <f aca="false">IF(OR(N1201="",P1201=""),"",(N1201-P1201)/N1201)</f>
        <v>0.561140285071268</v>
      </c>
      <c r="R1201" s="46" t="n">
        <v>1</v>
      </c>
      <c r="S1201" s="47" t="n">
        <f aca="false">IF(R1201="-",0,IFERROR(VLOOKUP(R1201,'Price Groups'!$A$13:$C$17,3,FALSE()),0))</f>
        <v>0.22</v>
      </c>
      <c r="T1201" s="41" t="n">
        <f aca="false">IF(OR(N1201="",R1201="-"),"",CEILING(ROUND(N1201*(1+S1201),2),IF(N1201*(1+S1201)&lt;100,0.5,IF(N1201*(1+S1201)&lt;1000,1,5))))</f>
        <v>49</v>
      </c>
      <c r="U1201" s="45" t="n">
        <f aca="false">IF(OR(T1201="",P1201=""),"",(T1201-P1201)/T1201)</f>
        <v>0.641836734693878</v>
      </c>
      <c r="V1201" s="45" t="n">
        <f aca="false">IF(T1201="",0,T1201/N1201-1)</f>
        <v>0.225306326581645</v>
      </c>
      <c r="W1201" s="38" t="s">
        <v>94</v>
      </c>
    </row>
    <row r="1202" customFormat="false" ht="15" hidden="false" customHeight="false" outlineLevel="0" collapsed="false">
      <c r="A1202" s="19" t="n">
        <v>1151</v>
      </c>
      <c r="B1202" s="19" t="s">
        <v>1384</v>
      </c>
      <c r="C1202" s="19" t="s">
        <v>57</v>
      </c>
      <c r="D1202" s="19"/>
      <c r="E1202" s="19" t="s">
        <v>58</v>
      </c>
      <c r="F1202" s="20" t="n">
        <v>1</v>
      </c>
      <c r="G1202" s="20" t="n">
        <v>2</v>
      </c>
      <c r="H1202" s="21" t="n">
        <v>559.98</v>
      </c>
      <c r="I1202" s="21" t="n">
        <v>0</v>
      </c>
      <c r="J1202" s="21" t="n">
        <v>-279.99</v>
      </c>
      <c r="K1202" s="22" t="n">
        <f aca="false">H1202+I1202+J1202</f>
        <v>279.99</v>
      </c>
      <c r="L1202" s="23" t="n">
        <f aca="false">IF($K$1282=0,0,K1202/$K$1282)</f>
        <v>2.31939341799174E-005</v>
      </c>
      <c r="M1202" s="24" t="n">
        <f aca="false">IF(F1202&lt;=0,0,K1202/F1202)</f>
        <v>279.99</v>
      </c>
      <c r="N1202" s="21" t="n">
        <v>279.99</v>
      </c>
      <c r="O1202" s="49" t="n">
        <v>6</v>
      </c>
      <c r="P1202" s="24" t="n">
        <f aca="false">O1202*'Price Groups'!$B$5</f>
        <v>135</v>
      </c>
      <c r="Q1202" s="26" t="n">
        <f aca="false">IF(OR(N1202="",P1202=""),"",(N1202-P1202)/N1202)</f>
        <v>0.517839922854388</v>
      </c>
      <c r="R1202" s="27" t="n">
        <v>1</v>
      </c>
      <c r="S1202" s="28" t="n">
        <f aca="false">IF(R1202="-",0,IFERROR(VLOOKUP(R1202,'Price Groups'!$A$13:$C$17,3,FALSE()),0))</f>
        <v>0.22</v>
      </c>
      <c r="T1202" s="22" t="n">
        <f aca="false">IF(OR(N1202="",R1202="-"),"",CEILING(ROUND(N1202*(1+S1202),2),IF(N1202*(1+S1202)&lt;100,0.5,IF(N1202*(1+S1202)&lt;1000,1,5))))</f>
        <v>342</v>
      </c>
      <c r="U1202" s="26" t="n">
        <f aca="false">IF(OR(T1202="",P1202=""),"",(T1202-P1202)/T1202)</f>
        <v>0.605263157894737</v>
      </c>
      <c r="V1202" s="26" t="n">
        <f aca="false">IF(T1202="",0,T1202/N1202-1)</f>
        <v>0.221472195435551</v>
      </c>
      <c r="W1202" s="19" t="s">
        <v>94</v>
      </c>
    </row>
    <row r="1203" customFormat="false" ht="15" hidden="false" customHeight="false" outlineLevel="0" collapsed="false">
      <c r="A1203" s="38" t="n">
        <v>1152</v>
      </c>
      <c r="B1203" s="38" t="s">
        <v>1385</v>
      </c>
      <c r="C1203" s="38" t="s">
        <v>57</v>
      </c>
      <c r="D1203" s="38"/>
      <c r="E1203" s="38" t="s">
        <v>58</v>
      </c>
      <c r="F1203" s="39" t="n">
        <v>1</v>
      </c>
      <c r="G1203" s="39" t="n">
        <v>1</v>
      </c>
      <c r="H1203" s="40" t="n">
        <v>159.99</v>
      </c>
      <c r="I1203" s="40" t="n">
        <v>0</v>
      </c>
      <c r="J1203" s="40" t="n">
        <v>0</v>
      </c>
      <c r="K1203" s="41" t="n">
        <f aca="false">H1203+I1203+J1203</f>
        <v>159.99</v>
      </c>
      <c r="L1203" s="42" t="n">
        <f aca="false">IF($K$1282=0,0,K1203/$K$1282)</f>
        <v>1.32533216523625E-005</v>
      </c>
      <c r="M1203" s="43" t="n">
        <f aca="false">IF(F1203&lt;=0,0,K1203/F1203)</f>
        <v>159.99</v>
      </c>
      <c r="N1203" s="40" t="n">
        <v>159.99</v>
      </c>
      <c r="O1203" s="44" t="n">
        <v>3.85</v>
      </c>
      <c r="P1203" s="43" t="n">
        <f aca="false">O1203*'Price Groups'!$B$5</f>
        <v>86.625</v>
      </c>
      <c r="Q1203" s="45" t="n">
        <f aca="false">IF(OR(N1203="",P1203=""),"",(N1203-P1203)/N1203)</f>
        <v>0.458559909994375</v>
      </c>
      <c r="R1203" s="46" t="n">
        <v>1</v>
      </c>
      <c r="S1203" s="47" t="n">
        <f aca="false">IF(R1203="-",0,IFERROR(VLOOKUP(R1203,'Price Groups'!$A$13:$C$17,3,FALSE()),0))</f>
        <v>0.22</v>
      </c>
      <c r="T1203" s="41" t="n">
        <f aca="false">IF(OR(N1203="",R1203="-"),"",CEILING(ROUND(N1203*(1+S1203),2),IF(N1203*(1+S1203)&lt;100,0.5,IF(N1203*(1+S1203)&lt;1000,1,5))))</f>
        <v>196</v>
      </c>
      <c r="U1203" s="45" t="n">
        <f aca="false">IF(OR(T1203="",P1203=""),"",(T1203-P1203)/T1203)</f>
        <v>0.558035714285714</v>
      </c>
      <c r="V1203" s="45" t="n">
        <f aca="false">IF(T1203="",0,T1203/N1203-1)</f>
        <v>0.225076567285455</v>
      </c>
      <c r="W1203" s="38" t="s">
        <v>94</v>
      </c>
    </row>
    <row r="1204" customFormat="false" ht="15" hidden="false" customHeight="false" outlineLevel="0" collapsed="false">
      <c r="A1204" s="19" t="n">
        <v>1153</v>
      </c>
      <c r="B1204" s="19" t="s">
        <v>345</v>
      </c>
      <c r="C1204" s="19" t="s">
        <v>307</v>
      </c>
      <c r="D1204" s="19" t="s">
        <v>344</v>
      </c>
      <c r="E1204" s="19" t="s">
        <v>58</v>
      </c>
      <c r="F1204" s="20" t="n">
        <v>1</v>
      </c>
      <c r="G1204" s="20" t="n">
        <v>1</v>
      </c>
      <c r="H1204" s="21" t="n">
        <v>349.99</v>
      </c>
      <c r="I1204" s="21" t="n">
        <v>0</v>
      </c>
      <c r="J1204" s="21" t="n">
        <v>0</v>
      </c>
      <c r="K1204" s="22" t="n">
        <f aca="false">H1204+I1204+J1204</f>
        <v>349.99</v>
      </c>
      <c r="L1204" s="23" t="n">
        <f aca="false">IF($K$1282=0,0,K1204/$K$1282)</f>
        <v>2.89926248209911E-005</v>
      </c>
      <c r="M1204" s="24" t="n">
        <f aca="false">IF(F1204&lt;=0,0,K1204/F1204)</f>
        <v>349.99</v>
      </c>
      <c r="N1204" s="21" t="n">
        <v>349.99</v>
      </c>
      <c r="O1204" s="49" t="n">
        <v>12.72</v>
      </c>
      <c r="P1204" s="24" t="n">
        <f aca="false">O1204*'Price Groups'!$B$5</f>
        <v>286.2</v>
      </c>
      <c r="Q1204" s="26" t="n">
        <f aca="false">IF(OR(N1204="",P1204=""),"",(N1204-P1204)/N1204)</f>
        <v>0.182262350352867</v>
      </c>
      <c r="R1204" s="27" t="n">
        <v>1</v>
      </c>
      <c r="S1204" s="28" t="n">
        <f aca="false">IF(R1204="-",0,IFERROR(VLOOKUP(R1204,'Price Groups'!$A$13:$C$17,3,FALSE()),0))</f>
        <v>0.22</v>
      </c>
      <c r="T1204" s="22" t="n">
        <f aca="false">IF(OR(N1204="",R1204="-"),"",CEILING(ROUND(N1204*(1+S1204),2),IF(N1204*(1+S1204)&lt;100,0.5,IF(N1204*(1+S1204)&lt;1000,1,5))))</f>
        <v>427</v>
      </c>
      <c r="U1204" s="26" t="n">
        <f aca="false">IF(OR(T1204="",P1204=""),"",(T1204-P1204)/T1204)</f>
        <v>0.329742388758782</v>
      </c>
      <c r="V1204" s="26" t="n">
        <f aca="false">IF(T1204="",0,T1204/N1204-1)</f>
        <v>0.220034858138804</v>
      </c>
      <c r="W1204" s="19" t="s">
        <v>1386</v>
      </c>
    </row>
    <row r="1205" customFormat="false" ht="15" hidden="false" customHeight="false" outlineLevel="0" collapsed="false">
      <c r="A1205" s="38" t="n">
        <v>1154</v>
      </c>
      <c r="B1205" s="38" t="s">
        <v>1387</v>
      </c>
      <c r="C1205" s="38" t="s">
        <v>57</v>
      </c>
      <c r="D1205" s="38"/>
      <c r="E1205" s="38" t="s">
        <v>58</v>
      </c>
      <c r="F1205" s="39" t="n">
        <v>1</v>
      </c>
      <c r="G1205" s="39" t="n">
        <v>1</v>
      </c>
      <c r="H1205" s="40" t="n">
        <v>219.99</v>
      </c>
      <c r="I1205" s="40" t="n">
        <v>0</v>
      </c>
      <c r="J1205" s="40" t="n">
        <v>0</v>
      </c>
      <c r="K1205" s="41" t="n">
        <f aca="false">H1205+I1205+J1205</f>
        <v>219.99</v>
      </c>
      <c r="L1205" s="42" t="n">
        <f aca="false">IF($K$1282=0,0,K1205/$K$1282)</f>
        <v>1.822362791614E-005</v>
      </c>
      <c r="M1205" s="43" t="n">
        <f aca="false">IF(F1205&lt;=0,0,K1205/F1205)</f>
        <v>219.99</v>
      </c>
      <c r="N1205" s="40" t="n">
        <v>219.99</v>
      </c>
      <c r="O1205" s="44" t="n">
        <v>4.86</v>
      </c>
      <c r="P1205" s="43" t="n">
        <f aca="false">O1205*'Price Groups'!$B$5</f>
        <v>109.35</v>
      </c>
      <c r="Q1205" s="45" t="n">
        <f aca="false">IF(OR(N1205="",P1205=""),"",(N1205-P1205)/N1205)</f>
        <v>0.502931951452339</v>
      </c>
      <c r="R1205" s="46" t="n">
        <v>1</v>
      </c>
      <c r="S1205" s="47" t="n">
        <f aca="false">IF(R1205="-",0,IFERROR(VLOOKUP(R1205,'Price Groups'!$A$13:$C$17,3,FALSE()),0))</f>
        <v>0.22</v>
      </c>
      <c r="T1205" s="41" t="n">
        <f aca="false">IF(OR(N1205="",R1205="-"),"",CEILING(ROUND(N1205*(1+S1205),2),IF(N1205*(1+S1205)&lt;100,0.5,IF(N1205*(1+S1205)&lt;1000,1,5))))</f>
        <v>269</v>
      </c>
      <c r="U1205" s="45" t="n">
        <f aca="false">IF(OR(T1205="",P1205=""),"",(T1205-P1205)/T1205)</f>
        <v>0.593494423791822</v>
      </c>
      <c r="V1205" s="45" t="n">
        <f aca="false">IF(T1205="",0,T1205/N1205-1)</f>
        <v>0.22278285376608</v>
      </c>
      <c r="W1205" s="38" t="s">
        <v>94</v>
      </c>
    </row>
    <row r="1206" customFormat="false" ht="15" hidden="false" customHeight="false" outlineLevel="0" collapsed="false">
      <c r="A1206" s="19" t="n">
        <v>1155</v>
      </c>
      <c r="B1206" s="19" t="s">
        <v>1388</v>
      </c>
      <c r="C1206" s="19" t="s">
        <v>57</v>
      </c>
      <c r="D1206" s="19"/>
      <c r="E1206" s="19" t="s">
        <v>58</v>
      </c>
      <c r="F1206" s="20" t="n">
        <v>1</v>
      </c>
      <c r="G1206" s="20" t="n">
        <v>5</v>
      </c>
      <c r="H1206" s="21" t="n">
        <v>12500</v>
      </c>
      <c r="I1206" s="21" t="n">
        <v>0</v>
      </c>
      <c r="J1206" s="21" t="n">
        <v>-10000</v>
      </c>
      <c r="K1206" s="22" t="n">
        <f aca="false">H1206+I1206+J1206</f>
        <v>2500</v>
      </c>
      <c r="L1206" s="23" t="n">
        <f aca="false">IF($K$1282=0,0,K1206/$K$1282)</f>
        <v>0.00020709609432406</v>
      </c>
      <c r="M1206" s="24" t="n">
        <f aca="false">IF(F1206&lt;=0,0,K1206/F1206)</f>
        <v>2500</v>
      </c>
      <c r="N1206" s="21" t="n">
        <v>2500</v>
      </c>
      <c r="O1206" s="25"/>
      <c r="P1206" s="24"/>
      <c r="Q1206" s="26" t="str">
        <f aca="false">IF(OR(N1206="",P1206=""),"",(N1206-P1206)/N1206)</f>
        <v/>
      </c>
      <c r="R1206" s="27" t="n">
        <v>2</v>
      </c>
      <c r="S1206" s="28" t="n">
        <f aca="false">IF(R1206="-",0,IFERROR(VLOOKUP(R1206,'Price Groups'!$A$13:$C$17,3,FALSE()),0))</f>
        <v>0.18</v>
      </c>
      <c r="T1206" s="22" t="n">
        <f aca="false">IF(OR(N1206="",R1206="-"),"",CEILING(ROUND(N1206*(1+S1206),2),IF(N1206*(1+S1206)&lt;100,0.5,IF(N1206*(1+S1206)&lt;1000,1,5))))</f>
        <v>2950</v>
      </c>
      <c r="U1206" s="26" t="str">
        <f aca="false">IF(OR(T1206="",P1206=""),"",(T1206-P1206)/T1206)</f>
        <v/>
      </c>
      <c r="V1206" s="26" t="n">
        <f aca="false">IF(T1206="",0,T1206/N1206-1)</f>
        <v>0.18</v>
      </c>
      <c r="W1206" s="19" t="s">
        <v>129</v>
      </c>
    </row>
    <row r="1207" customFormat="false" ht="15" hidden="false" customHeight="false" outlineLevel="0" collapsed="false">
      <c r="A1207" s="38" t="n">
        <v>1156</v>
      </c>
      <c r="B1207" s="38" t="s">
        <v>1389</v>
      </c>
      <c r="C1207" s="38" t="s">
        <v>57</v>
      </c>
      <c r="D1207" s="38"/>
      <c r="E1207" s="38" t="s">
        <v>58</v>
      </c>
      <c r="F1207" s="39" t="n">
        <v>1</v>
      </c>
      <c r="G1207" s="39" t="n">
        <v>3</v>
      </c>
      <c r="H1207" s="40" t="n">
        <v>674.91</v>
      </c>
      <c r="I1207" s="40" t="n">
        <v>0</v>
      </c>
      <c r="J1207" s="40" t="n">
        <v>-599.92</v>
      </c>
      <c r="K1207" s="41" t="n">
        <f aca="false">H1207+I1207+J1207</f>
        <v>74.99</v>
      </c>
      <c r="L1207" s="42" t="n">
        <f aca="false">IF($K$1282=0,0,K1207/$K$1282)</f>
        <v>6.2120544453445E-006</v>
      </c>
      <c r="M1207" s="43" t="n">
        <f aca="false">IF(F1207&lt;=0,0,K1207/F1207)</f>
        <v>74.99</v>
      </c>
      <c r="N1207" s="40" t="n">
        <v>74.99</v>
      </c>
      <c r="O1207" s="44" t="n">
        <v>1.21</v>
      </c>
      <c r="P1207" s="43" t="n">
        <f aca="false">O1207*'Price Groups'!$B$5</f>
        <v>27.225</v>
      </c>
      <c r="Q1207" s="45" t="n">
        <f aca="false">IF(OR(N1207="",P1207=""),"",(N1207-P1207)/N1207)</f>
        <v>0.636951593545806</v>
      </c>
      <c r="R1207" s="46" t="n">
        <v>1</v>
      </c>
      <c r="S1207" s="47" t="n">
        <f aca="false">IF(R1207="-",0,IFERROR(VLOOKUP(R1207,'Price Groups'!$A$13:$C$17,3,FALSE()),0))</f>
        <v>0.22</v>
      </c>
      <c r="T1207" s="41" t="n">
        <f aca="false">IF(OR(N1207="",R1207="-"),"",CEILING(ROUND(N1207*(1+S1207),2),IF(N1207*(1+S1207)&lt;100,0.5,IF(N1207*(1+S1207)&lt;1000,1,5))))</f>
        <v>91.5</v>
      </c>
      <c r="U1207" s="45" t="n">
        <f aca="false">IF(OR(T1207="",P1207=""),"",(T1207-P1207)/T1207)</f>
        <v>0.702459016393443</v>
      </c>
      <c r="V1207" s="45" t="n">
        <f aca="false">IF(T1207="",0,T1207/N1207-1)</f>
        <v>0.220162688358448</v>
      </c>
      <c r="W1207" s="38" t="s">
        <v>94</v>
      </c>
    </row>
    <row r="1208" customFormat="false" ht="15" hidden="false" customHeight="false" outlineLevel="0" collapsed="false">
      <c r="A1208" s="19" t="n">
        <v>1157</v>
      </c>
      <c r="B1208" s="19" t="s">
        <v>1390</v>
      </c>
      <c r="C1208" s="19" t="s">
        <v>57</v>
      </c>
      <c r="D1208" s="19"/>
      <c r="E1208" s="19" t="s">
        <v>58</v>
      </c>
      <c r="F1208" s="20" t="n">
        <v>1</v>
      </c>
      <c r="G1208" s="20" t="n">
        <v>2</v>
      </c>
      <c r="H1208" s="21" t="n">
        <v>170.82</v>
      </c>
      <c r="I1208" s="21" t="n">
        <v>-85.41</v>
      </c>
      <c r="J1208" s="21" t="n">
        <v>-85.41</v>
      </c>
      <c r="K1208" s="22" t="n">
        <f aca="false">H1208+I1208+J1208</f>
        <v>0</v>
      </c>
      <c r="L1208" s="23" t="n">
        <f aca="false">IF($K$1282=0,0,K1208/$K$1282)</f>
        <v>0</v>
      </c>
      <c r="M1208" s="24" t="n">
        <f aca="false">IF(F1208&lt;=0,0,K1208/F1208)</f>
        <v>0</v>
      </c>
      <c r="N1208" s="21" t="n">
        <v>85.41</v>
      </c>
      <c r="O1208" s="49" t="n">
        <v>3.3</v>
      </c>
      <c r="P1208" s="24" t="n">
        <f aca="false">O1208*'Price Groups'!$B$5</f>
        <v>74.25</v>
      </c>
      <c r="Q1208" s="26" t="n">
        <f aca="false">IF(OR(N1208="",P1208=""),"",(N1208-P1208)/N1208)</f>
        <v>0.130663856691254</v>
      </c>
      <c r="R1208" s="27" t="n">
        <v>1</v>
      </c>
      <c r="S1208" s="28" t="n">
        <f aca="false">IF(R1208="-",0,IFERROR(VLOOKUP(R1208,'Price Groups'!$A$13:$C$17,3,FALSE()),0))</f>
        <v>0.22</v>
      </c>
      <c r="T1208" s="22" t="n">
        <f aca="false">IF(OR(N1208="",R1208="-"),"",CEILING(ROUND(N1208*(1+S1208),2),IF(N1208*(1+S1208)&lt;100,0.5,IF(N1208*(1+S1208)&lt;1000,1,5))))</f>
        <v>105</v>
      </c>
      <c r="U1208" s="26" t="n">
        <f aca="false">IF(OR(T1208="",P1208=""),"",(T1208-P1208)/T1208)</f>
        <v>0.292857142857143</v>
      </c>
      <c r="V1208" s="26" t="n">
        <f aca="false">IF(T1208="",0,T1208/N1208-1)</f>
        <v>0.229364243062873</v>
      </c>
      <c r="W1208" s="19" t="s">
        <v>476</v>
      </c>
    </row>
    <row r="1209" customFormat="false" ht="15" hidden="false" customHeight="false" outlineLevel="0" collapsed="false">
      <c r="A1209" s="38" t="n">
        <v>1158</v>
      </c>
      <c r="B1209" s="38" t="s">
        <v>546</v>
      </c>
      <c r="C1209" s="38" t="s">
        <v>307</v>
      </c>
      <c r="D1209" s="38" t="s">
        <v>545</v>
      </c>
      <c r="E1209" s="38" t="s">
        <v>58</v>
      </c>
      <c r="F1209" s="39" t="n">
        <v>1</v>
      </c>
      <c r="G1209" s="39" t="n">
        <v>1</v>
      </c>
      <c r="H1209" s="40" t="n">
        <v>2600</v>
      </c>
      <c r="I1209" s="40" t="n">
        <v>0</v>
      </c>
      <c r="J1209" s="40" t="n">
        <v>0</v>
      </c>
      <c r="K1209" s="41" t="n">
        <f aca="false">H1209+I1209+J1209</f>
        <v>2600</v>
      </c>
      <c r="L1209" s="42" t="n">
        <f aca="false">IF($K$1282=0,0,K1209/$K$1282)</f>
        <v>0.000215379938097022</v>
      </c>
      <c r="M1209" s="43" t="n">
        <f aca="false">IF(F1209&lt;=0,0,K1209/F1209)</f>
        <v>2600</v>
      </c>
      <c r="N1209" s="40" t="n">
        <v>2600</v>
      </c>
      <c r="O1209" s="44" t="n">
        <v>25.5</v>
      </c>
      <c r="P1209" s="43" t="n">
        <f aca="false">O1209*'Price Groups'!$B$5</f>
        <v>573.75</v>
      </c>
      <c r="Q1209" s="45" t="n">
        <f aca="false">IF(OR(N1209="",P1209=""),"",(N1209-P1209)/N1209)</f>
        <v>0.779326923076923</v>
      </c>
      <c r="R1209" s="46" t="n">
        <v>3</v>
      </c>
      <c r="S1209" s="47" t="n">
        <f aca="false">IF(R1209="-",0,IFERROR(VLOOKUP(R1209,'Price Groups'!$A$13:$C$17,3,FALSE()),0))</f>
        <v>0.16</v>
      </c>
      <c r="T1209" s="41" t="n">
        <f aca="false">IF(OR(N1209="",R1209="-"),"",CEILING(ROUND(N1209*(1+S1209),2),IF(N1209*(1+S1209)&lt;100,0.5,IF(N1209*(1+S1209)&lt;1000,1,5))))</f>
        <v>3020</v>
      </c>
      <c r="U1209" s="45" t="n">
        <f aca="false">IF(OR(T1209="",P1209=""),"",(T1209-P1209)/T1209)</f>
        <v>0.810016556291391</v>
      </c>
      <c r="V1209" s="45" t="n">
        <f aca="false">IF(T1209="",0,T1209/N1209-1)</f>
        <v>0.161538461538462</v>
      </c>
      <c r="W1209" s="38" t="s">
        <v>1391</v>
      </c>
    </row>
    <row r="1210" customFormat="false" ht="15" hidden="false" customHeight="false" outlineLevel="0" collapsed="false">
      <c r="A1210" s="19" t="n">
        <v>1159</v>
      </c>
      <c r="B1210" s="19" t="s">
        <v>1392</v>
      </c>
      <c r="C1210" s="19" t="s">
        <v>57</v>
      </c>
      <c r="D1210" s="19"/>
      <c r="E1210" s="19" t="s">
        <v>58</v>
      </c>
      <c r="F1210" s="20" t="n">
        <v>1</v>
      </c>
      <c r="G1210" s="20" t="n">
        <v>2</v>
      </c>
      <c r="H1210" s="21" t="n">
        <v>700</v>
      </c>
      <c r="I1210" s="21" t="n">
        <v>0</v>
      </c>
      <c r="J1210" s="21" t="n">
        <v>-350</v>
      </c>
      <c r="K1210" s="22" t="n">
        <f aca="false">H1210+I1210+J1210</f>
        <v>350</v>
      </c>
      <c r="L1210" s="23" t="n">
        <f aca="false">IF($K$1282=0,0,K1210/$K$1282)</f>
        <v>2.89934532053684E-005</v>
      </c>
      <c r="M1210" s="24" t="n">
        <f aca="false">IF(F1210&lt;=0,0,K1210/F1210)</f>
        <v>350</v>
      </c>
      <c r="N1210" s="21" t="n">
        <v>350</v>
      </c>
      <c r="O1210" s="49" t="n">
        <v>10.34</v>
      </c>
      <c r="P1210" s="24" t="n">
        <f aca="false">O1210*'Price Groups'!$B$5</f>
        <v>232.65</v>
      </c>
      <c r="Q1210" s="26" t="n">
        <f aca="false">IF(OR(N1210="",P1210=""),"",(N1210-P1210)/N1210)</f>
        <v>0.335285714285714</v>
      </c>
      <c r="R1210" s="27" t="n">
        <v>1</v>
      </c>
      <c r="S1210" s="28" t="n">
        <f aca="false">IF(R1210="-",0,IFERROR(VLOOKUP(R1210,'Price Groups'!$A$13:$C$17,3,FALSE()),0))</f>
        <v>0.22</v>
      </c>
      <c r="T1210" s="22" t="n">
        <f aca="false">IF(OR(N1210="",R1210="-"),"",CEILING(ROUND(N1210*(1+S1210),2),IF(N1210*(1+S1210)&lt;100,0.5,IF(N1210*(1+S1210)&lt;1000,1,5))))</f>
        <v>427</v>
      </c>
      <c r="U1210" s="26" t="n">
        <f aca="false">IF(OR(T1210="",P1210=""),"",(T1210-P1210)/T1210)</f>
        <v>0.455152224824356</v>
      </c>
      <c r="V1210" s="26" t="n">
        <f aca="false">IF(T1210="",0,T1210/N1210-1)</f>
        <v>0.22</v>
      </c>
      <c r="W1210" s="19" t="s">
        <v>94</v>
      </c>
    </row>
    <row r="1211" customFormat="false" ht="15" hidden="false" customHeight="false" outlineLevel="0" collapsed="false">
      <c r="A1211" s="38" t="n">
        <v>1160</v>
      </c>
      <c r="B1211" s="38" t="s">
        <v>1393</v>
      </c>
      <c r="C1211" s="38" t="s">
        <v>57</v>
      </c>
      <c r="D1211" s="38"/>
      <c r="E1211" s="38" t="s">
        <v>58</v>
      </c>
      <c r="F1211" s="39" t="n">
        <v>1</v>
      </c>
      <c r="G1211" s="39" t="n">
        <v>1</v>
      </c>
      <c r="H1211" s="40" t="n">
        <v>599.99</v>
      </c>
      <c r="I1211" s="40" t="n">
        <v>0</v>
      </c>
      <c r="J1211" s="40" t="n">
        <v>0</v>
      </c>
      <c r="K1211" s="41" t="n">
        <f aca="false">H1211+I1211+J1211</f>
        <v>599.99</v>
      </c>
      <c r="L1211" s="42" t="n">
        <f aca="false">IF($K$1282=0,0,K1211/$K$1282)</f>
        <v>4.97022342533971E-005</v>
      </c>
      <c r="M1211" s="43" t="n">
        <f aca="false">IF(F1211&lt;=0,0,K1211/F1211)</f>
        <v>599.99</v>
      </c>
      <c r="N1211" s="40" t="n">
        <v>599.99</v>
      </c>
      <c r="O1211" s="44" t="n">
        <v>17</v>
      </c>
      <c r="P1211" s="43" t="n">
        <f aca="false">O1211*'Price Groups'!$B$5</f>
        <v>382.5</v>
      </c>
      <c r="Q1211" s="45" t="n">
        <f aca="false">IF(OR(N1211="",P1211=""),"",(N1211-P1211)/N1211)</f>
        <v>0.362489374822914</v>
      </c>
      <c r="R1211" s="46" t="n">
        <v>1</v>
      </c>
      <c r="S1211" s="47" t="n">
        <f aca="false">IF(R1211="-",0,IFERROR(VLOOKUP(R1211,'Price Groups'!$A$13:$C$17,3,FALSE()),0))</f>
        <v>0.22</v>
      </c>
      <c r="T1211" s="41" t="n">
        <f aca="false">IF(OR(N1211="",R1211="-"),"",CEILING(ROUND(N1211*(1+S1211),2),IF(N1211*(1+S1211)&lt;100,0.5,IF(N1211*(1+S1211)&lt;1000,1,5))))</f>
        <v>732</v>
      </c>
      <c r="U1211" s="45" t="n">
        <f aca="false">IF(OR(T1211="",P1211=""),"",(T1211-P1211)/T1211)</f>
        <v>0.477459016393443</v>
      </c>
      <c r="V1211" s="45" t="n">
        <f aca="false">IF(T1211="",0,T1211/N1211-1)</f>
        <v>0.220020333672228</v>
      </c>
      <c r="W1211" s="38" t="s">
        <v>94</v>
      </c>
    </row>
    <row r="1212" customFormat="false" ht="15" hidden="false" customHeight="false" outlineLevel="0" collapsed="false">
      <c r="A1212" s="19" t="n">
        <v>1161</v>
      </c>
      <c r="B1212" s="19" t="s">
        <v>1394</v>
      </c>
      <c r="C1212" s="19" t="s">
        <v>57</v>
      </c>
      <c r="D1212" s="19"/>
      <c r="E1212" s="19" t="s">
        <v>58</v>
      </c>
      <c r="F1212" s="20" t="n">
        <v>1</v>
      </c>
      <c r="G1212" s="20" t="n">
        <v>1</v>
      </c>
      <c r="H1212" s="21" t="n">
        <v>599.99</v>
      </c>
      <c r="I1212" s="21" t="n">
        <v>0</v>
      </c>
      <c r="J1212" s="21" t="n">
        <v>0</v>
      </c>
      <c r="K1212" s="22" t="n">
        <f aca="false">H1212+I1212+J1212</f>
        <v>599.99</v>
      </c>
      <c r="L1212" s="23" t="n">
        <f aca="false">IF($K$1282=0,0,K1212/$K$1282)</f>
        <v>4.97022342533971E-005</v>
      </c>
      <c r="M1212" s="24" t="n">
        <f aca="false">IF(F1212&lt;=0,0,K1212/F1212)</f>
        <v>599.99</v>
      </c>
      <c r="N1212" s="21" t="n">
        <v>599.99</v>
      </c>
      <c r="O1212" s="49" t="n">
        <v>17</v>
      </c>
      <c r="P1212" s="24" t="n">
        <f aca="false">O1212*'Price Groups'!$B$5</f>
        <v>382.5</v>
      </c>
      <c r="Q1212" s="26" t="n">
        <f aca="false">IF(OR(N1212="",P1212=""),"",(N1212-P1212)/N1212)</f>
        <v>0.362489374822914</v>
      </c>
      <c r="R1212" s="27" t="n">
        <v>1</v>
      </c>
      <c r="S1212" s="28" t="n">
        <f aca="false">IF(R1212="-",0,IFERROR(VLOOKUP(R1212,'Price Groups'!$A$13:$C$17,3,FALSE()),0))</f>
        <v>0.22</v>
      </c>
      <c r="T1212" s="22" t="n">
        <f aca="false">IF(OR(N1212="",R1212="-"),"",CEILING(ROUND(N1212*(1+S1212),2),IF(N1212*(1+S1212)&lt;100,0.5,IF(N1212*(1+S1212)&lt;1000,1,5))))</f>
        <v>732</v>
      </c>
      <c r="U1212" s="26" t="n">
        <f aca="false">IF(OR(T1212="",P1212=""),"",(T1212-P1212)/T1212)</f>
        <v>0.477459016393443</v>
      </c>
      <c r="V1212" s="26" t="n">
        <f aca="false">IF(T1212="",0,T1212/N1212-1)</f>
        <v>0.220020333672228</v>
      </c>
      <c r="W1212" s="19" t="s">
        <v>94</v>
      </c>
    </row>
    <row r="1213" customFormat="false" ht="15" hidden="false" customHeight="false" outlineLevel="0" collapsed="false">
      <c r="A1213" s="38" t="n">
        <v>1162</v>
      </c>
      <c r="B1213" s="38" t="s">
        <v>1395</v>
      </c>
      <c r="C1213" s="38" t="s">
        <v>57</v>
      </c>
      <c r="D1213" s="38"/>
      <c r="E1213" s="38" t="s">
        <v>58</v>
      </c>
      <c r="F1213" s="39" t="n">
        <v>1</v>
      </c>
      <c r="G1213" s="39" t="n">
        <v>1</v>
      </c>
      <c r="H1213" s="40" t="n">
        <v>599.99</v>
      </c>
      <c r="I1213" s="40" t="n">
        <v>0</v>
      </c>
      <c r="J1213" s="40" t="n">
        <v>0</v>
      </c>
      <c r="K1213" s="41" t="n">
        <f aca="false">H1213+I1213+J1213</f>
        <v>599.99</v>
      </c>
      <c r="L1213" s="42" t="n">
        <f aca="false">IF($K$1282=0,0,K1213/$K$1282)</f>
        <v>4.97022342533971E-005</v>
      </c>
      <c r="M1213" s="43" t="n">
        <f aca="false">IF(F1213&lt;=0,0,K1213/F1213)</f>
        <v>599.99</v>
      </c>
      <c r="N1213" s="40" t="n">
        <v>599.99</v>
      </c>
      <c r="O1213" s="44" t="n">
        <v>17</v>
      </c>
      <c r="P1213" s="43" t="n">
        <f aca="false">O1213*'Price Groups'!$B$5</f>
        <v>382.5</v>
      </c>
      <c r="Q1213" s="45" t="n">
        <f aca="false">IF(OR(N1213="",P1213=""),"",(N1213-P1213)/N1213)</f>
        <v>0.362489374822914</v>
      </c>
      <c r="R1213" s="46" t="n">
        <v>1</v>
      </c>
      <c r="S1213" s="47" t="n">
        <f aca="false">IF(R1213="-",0,IFERROR(VLOOKUP(R1213,'Price Groups'!$A$13:$C$17,3,FALSE()),0))</f>
        <v>0.22</v>
      </c>
      <c r="T1213" s="41" t="n">
        <f aca="false">IF(OR(N1213="",R1213="-"),"",CEILING(ROUND(N1213*(1+S1213),2),IF(N1213*(1+S1213)&lt;100,0.5,IF(N1213*(1+S1213)&lt;1000,1,5))))</f>
        <v>732</v>
      </c>
      <c r="U1213" s="45" t="n">
        <f aca="false">IF(OR(T1213="",P1213=""),"",(T1213-P1213)/T1213)</f>
        <v>0.477459016393443</v>
      </c>
      <c r="V1213" s="45" t="n">
        <f aca="false">IF(T1213="",0,T1213/N1213-1)</f>
        <v>0.220020333672228</v>
      </c>
      <c r="W1213" s="38" t="s">
        <v>94</v>
      </c>
    </row>
    <row r="1214" customFormat="false" ht="15" hidden="false" customHeight="false" outlineLevel="0" collapsed="false">
      <c r="A1214" s="19" t="n">
        <v>1163</v>
      </c>
      <c r="B1214" s="19" t="s">
        <v>1396</v>
      </c>
      <c r="C1214" s="19" t="s">
        <v>57</v>
      </c>
      <c r="D1214" s="19"/>
      <c r="E1214" s="19" t="s">
        <v>58</v>
      </c>
      <c r="F1214" s="20" t="n">
        <v>1</v>
      </c>
      <c r="G1214" s="20" t="n">
        <v>1</v>
      </c>
      <c r="H1214" s="21" t="n">
        <v>499.99</v>
      </c>
      <c r="I1214" s="21" t="n">
        <v>0</v>
      </c>
      <c r="J1214" s="21" t="n">
        <v>0</v>
      </c>
      <c r="K1214" s="22" t="n">
        <f aca="false">H1214+I1214+J1214</f>
        <v>499.99</v>
      </c>
      <c r="L1214" s="23" t="n">
        <f aca="false">IF($K$1282=0,0,K1214/$K$1282)</f>
        <v>4.14183904804347E-005</v>
      </c>
      <c r="M1214" s="24" t="n">
        <f aca="false">IF(F1214&lt;=0,0,K1214/F1214)</f>
        <v>499.99</v>
      </c>
      <c r="N1214" s="21" t="n">
        <v>649.99</v>
      </c>
      <c r="O1214" s="49" t="n">
        <v>20</v>
      </c>
      <c r="P1214" s="24" t="n">
        <f aca="false">O1214*'Price Groups'!$B$5</f>
        <v>450</v>
      </c>
      <c r="Q1214" s="26" t="n">
        <f aca="false">IF(OR(N1214="",P1214=""),"",(N1214-P1214)/N1214)</f>
        <v>0.307681656640871</v>
      </c>
      <c r="R1214" s="27" t="n">
        <v>1</v>
      </c>
      <c r="S1214" s="28" t="n">
        <f aca="false">IF(R1214="-",0,IFERROR(VLOOKUP(R1214,'Price Groups'!$A$13:$C$17,3,FALSE()),0))</f>
        <v>0.22</v>
      </c>
      <c r="T1214" s="22" t="n">
        <f aca="false">IF(OR(N1214="",R1214="-"),"",CEILING(ROUND(N1214*(1+S1214),2),IF(N1214*(1+S1214)&lt;100,0.5,IF(N1214*(1+S1214)&lt;1000,1,5))))</f>
        <v>793</v>
      </c>
      <c r="U1214" s="26" t="n">
        <f aca="false">IF(OR(T1214="",P1214=""),"",(T1214-P1214)/T1214)</f>
        <v>0.432534678436318</v>
      </c>
      <c r="V1214" s="26" t="n">
        <f aca="false">IF(T1214="",0,T1214/N1214-1)</f>
        <v>0.220018769519531</v>
      </c>
      <c r="W1214" s="19" t="s">
        <v>94</v>
      </c>
    </row>
    <row r="1215" customFormat="false" ht="15" hidden="false" customHeight="false" outlineLevel="0" collapsed="false">
      <c r="A1215" s="38" t="n">
        <v>1164</v>
      </c>
      <c r="B1215" s="38" t="s">
        <v>1397</v>
      </c>
      <c r="C1215" s="38" t="s">
        <v>57</v>
      </c>
      <c r="D1215" s="38"/>
      <c r="E1215" s="38" t="s">
        <v>58</v>
      </c>
      <c r="F1215" s="39" t="n">
        <v>1</v>
      </c>
      <c r="G1215" s="39" t="n">
        <v>1</v>
      </c>
      <c r="H1215" s="40" t="n">
        <v>575</v>
      </c>
      <c r="I1215" s="40" t="n">
        <v>0</v>
      </c>
      <c r="J1215" s="40" t="n">
        <v>0</v>
      </c>
      <c r="K1215" s="41" t="n">
        <f aca="false">H1215+I1215+J1215</f>
        <v>575</v>
      </c>
      <c r="L1215" s="42" t="n">
        <f aca="false">IF($K$1282=0,0,K1215/$K$1282)</f>
        <v>4.76321016945338E-005</v>
      </c>
      <c r="M1215" s="43" t="n">
        <f aca="false">IF(F1215&lt;=0,0,K1215/F1215)</f>
        <v>575</v>
      </c>
      <c r="N1215" s="40" t="n">
        <v>649.99</v>
      </c>
      <c r="O1215" s="44" t="n">
        <v>18.78</v>
      </c>
      <c r="P1215" s="43" t="n">
        <f aca="false">O1215*'Price Groups'!$B$5</f>
        <v>422.55</v>
      </c>
      <c r="Q1215" s="45" t="n">
        <f aca="false">IF(OR(N1215="",P1215=""),"",(N1215-P1215)/N1215)</f>
        <v>0.349913075585778</v>
      </c>
      <c r="R1215" s="46" t="n">
        <v>1</v>
      </c>
      <c r="S1215" s="47" t="n">
        <f aca="false">IF(R1215="-",0,IFERROR(VLOOKUP(R1215,'Price Groups'!$A$13:$C$17,3,FALSE()),0))</f>
        <v>0.22</v>
      </c>
      <c r="T1215" s="41" t="n">
        <f aca="false">IF(OR(N1215="",R1215="-"),"",CEILING(ROUND(N1215*(1+S1215),2),IF(N1215*(1+S1215)&lt;100,0.5,IF(N1215*(1+S1215)&lt;1000,1,5))))</f>
        <v>793</v>
      </c>
      <c r="U1215" s="45" t="n">
        <f aca="false">IF(OR(T1215="",P1215=""),"",(T1215-P1215)/T1215)</f>
        <v>0.467150063051702</v>
      </c>
      <c r="V1215" s="45" t="n">
        <f aca="false">IF(T1215="",0,T1215/N1215-1)</f>
        <v>0.220018769519531</v>
      </c>
      <c r="W1215" s="38" t="s">
        <v>94</v>
      </c>
    </row>
    <row r="1216" customFormat="false" ht="15" hidden="false" customHeight="false" outlineLevel="0" collapsed="false">
      <c r="A1216" s="19" t="n">
        <v>1165</v>
      </c>
      <c r="B1216" s="19" t="s">
        <v>1398</v>
      </c>
      <c r="C1216" s="19" t="s">
        <v>57</v>
      </c>
      <c r="D1216" s="19"/>
      <c r="E1216" s="19" t="s">
        <v>58</v>
      </c>
      <c r="F1216" s="20" t="n">
        <v>1</v>
      </c>
      <c r="G1216" s="20" t="n">
        <v>2</v>
      </c>
      <c r="H1216" s="21" t="n">
        <v>239.08</v>
      </c>
      <c r="I1216" s="21" t="n">
        <v>0</v>
      </c>
      <c r="J1216" s="21" t="n">
        <v>-89.09</v>
      </c>
      <c r="K1216" s="22" t="n">
        <f aca="false">H1216+I1216+J1216</f>
        <v>149.99</v>
      </c>
      <c r="L1216" s="23" t="n">
        <f aca="false">IF($K$1282=0,0,K1216/$K$1282)</f>
        <v>1.24249372750663E-005</v>
      </c>
      <c r="M1216" s="24" t="n">
        <f aca="false">IF(F1216&lt;=0,0,K1216/F1216)</f>
        <v>149.99</v>
      </c>
      <c r="N1216" s="21" t="n">
        <v>89.09</v>
      </c>
      <c r="O1216" s="49" t="n">
        <v>2.78</v>
      </c>
      <c r="P1216" s="24" t="n">
        <f aca="false">O1216*'Price Groups'!$B$5</f>
        <v>62.55</v>
      </c>
      <c r="Q1216" s="26" t="n">
        <f aca="false">IF(OR(N1216="",P1216=""),"",(N1216-P1216)/N1216)</f>
        <v>0.297900998989786</v>
      </c>
      <c r="R1216" s="27" t="n">
        <v>1</v>
      </c>
      <c r="S1216" s="28" t="n">
        <f aca="false">IF(R1216="-",0,IFERROR(VLOOKUP(R1216,'Price Groups'!$A$13:$C$17,3,FALSE()),0))</f>
        <v>0.22</v>
      </c>
      <c r="T1216" s="22" t="n">
        <f aca="false">IF(OR(N1216="",R1216="-"),"",CEILING(ROUND(N1216*(1+S1216),2),IF(N1216*(1+S1216)&lt;100,0.5,IF(N1216*(1+S1216)&lt;1000,1,5))))</f>
        <v>109</v>
      </c>
      <c r="U1216" s="26" t="n">
        <f aca="false">IF(OR(T1216="",P1216=""),"",(T1216-P1216)/T1216)</f>
        <v>0.426146788990826</v>
      </c>
      <c r="V1216" s="26" t="n">
        <f aca="false">IF(T1216="",0,T1216/N1216-1)</f>
        <v>0.223481872264003</v>
      </c>
      <c r="W1216" s="19" t="s">
        <v>94</v>
      </c>
    </row>
    <row r="1217" customFormat="false" ht="15" hidden="false" customHeight="false" outlineLevel="0" collapsed="false">
      <c r="A1217" s="38" t="n">
        <v>1166</v>
      </c>
      <c r="B1217" s="38" t="s">
        <v>1399</v>
      </c>
      <c r="C1217" s="38" t="s">
        <v>57</v>
      </c>
      <c r="D1217" s="38"/>
      <c r="E1217" s="38" t="s">
        <v>58</v>
      </c>
      <c r="F1217" s="39" t="n">
        <v>1</v>
      </c>
      <c r="G1217" s="39" t="n">
        <v>2</v>
      </c>
      <c r="H1217" s="40" t="n">
        <v>259.98</v>
      </c>
      <c r="I1217" s="40" t="n">
        <v>0</v>
      </c>
      <c r="J1217" s="40" t="n">
        <v>-129.99</v>
      </c>
      <c r="K1217" s="41" t="n">
        <f aca="false">H1217+I1217+J1217</f>
        <v>129.99</v>
      </c>
      <c r="L1217" s="42" t="n">
        <f aca="false">IF($K$1282=0,0,K1217/$K$1282)</f>
        <v>1.07681685204738E-005</v>
      </c>
      <c r="M1217" s="43" t="n">
        <f aca="false">IF(F1217&lt;=0,0,K1217/F1217)</f>
        <v>129.99</v>
      </c>
      <c r="N1217" s="40" t="n">
        <v>99.99</v>
      </c>
      <c r="O1217" s="44" t="n">
        <v>2.4</v>
      </c>
      <c r="P1217" s="43" t="n">
        <f aca="false">O1217*'Price Groups'!$B$5</f>
        <v>54</v>
      </c>
      <c r="Q1217" s="45" t="n">
        <f aca="false">IF(OR(N1217="",P1217=""),"",(N1217-P1217)/N1217)</f>
        <v>0.45994599459946</v>
      </c>
      <c r="R1217" s="46" t="n">
        <v>1</v>
      </c>
      <c r="S1217" s="47" t="n">
        <f aca="false">IF(R1217="-",0,IFERROR(VLOOKUP(R1217,'Price Groups'!$A$13:$C$17,3,FALSE()),0))</f>
        <v>0.22</v>
      </c>
      <c r="T1217" s="41" t="n">
        <f aca="false">IF(OR(N1217="",R1217="-"),"",CEILING(ROUND(N1217*(1+S1217),2),IF(N1217*(1+S1217)&lt;100,0.5,IF(N1217*(1+S1217)&lt;1000,1,5))))</f>
        <v>122</v>
      </c>
      <c r="U1217" s="45" t="n">
        <f aca="false">IF(OR(T1217="",P1217=""),"",(T1217-P1217)/T1217)</f>
        <v>0.557377049180328</v>
      </c>
      <c r="V1217" s="45" t="n">
        <f aca="false">IF(T1217="",0,T1217/N1217-1)</f>
        <v>0.22012201220122</v>
      </c>
      <c r="W1217" s="38" t="s">
        <v>94</v>
      </c>
    </row>
    <row r="1218" customFormat="false" ht="15" hidden="false" customHeight="false" outlineLevel="0" collapsed="false">
      <c r="A1218" s="19" t="n">
        <v>1167</v>
      </c>
      <c r="B1218" s="19" t="s">
        <v>1400</v>
      </c>
      <c r="C1218" s="19" t="s">
        <v>57</v>
      </c>
      <c r="D1218" s="19"/>
      <c r="E1218" s="19" t="s">
        <v>58</v>
      </c>
      <c r="F1218" s="20" t="n">
        <v>1</v>
      </c>
      <c r="G1218" s="20" t="n">
        <v>1</v>
      </c>
      <c r="H1218" s="21" t="n">
        <v>24.99</v>
      </c>
      <c r="I1218" s="21" t="n">
        <v>0</v>
      </c>
      <c r="J1218" s="21" t="n">
        <v>0</v>
      </c>
      <c r="K1218" s="22" t="n">
        <f aca="false">H1218+I1218+J1218</f>
        <v>24.99</v>
      </c>
      <c r="L1218" s="23" t="n">
        <f aca="false">IF($K$1282=0,0,K1218/$K$1282)</f>
        <v>2.0701325588633E-006</v>
      </c>
      <c r="M1218" s="24" t="n">
        <f aca="false">IF(F1218&lt;=0,0,K1218/F1218)</f>
        <v>24.99</v>
      </c>
      <c r="N1218" s="21" t="n">
        <v>24.99</v>
      </c>
      <c r="O1218" s="49" t="n">
        <v>0.44</v>
      </c>
      <c r="P1218" s="24" t="n">
        <f aca="false">O1218*'Price Groups'!$B$5</f>
        <v>9.9</v>
      </c>
      <c r="Q1218" s="26" t="n">
        <f aca="false">IF(OR(N1218="",P1218=""),"",(N1218-P1218)/N1218)</f>
        <v>0.603841536614646</v>
      </c>
      <c r="R1218" s="27" t="n">
        <v>1</v>
      </c>
      <c r="S1218" s="28" t="n">
        <f aca="false">IF(R1218="-",0,IFERROR(VLOOKUP(R1218,'Price Groups'!$A$13:$C$17,3,FALSE()),0))</f>
        <v>0.22</v>
      </c>
      <c r="T1218" s="22" t="n">
        <f aca="false">IF(OR(N1218="",R1218="-"),"",CEILING(ROUND(N1218*(1+S1218),2),IF(N1218*(1+S1218)&lt;100,0.5,IF(N1218*(1+S1218)&lt;1000,1,5))))</f>
        <v>30.5</v>
      </c>
      <c r="U1218" s="26" t="n">
        <f aca="false">IF(OR(T1218="",P1218=""),"",(T1218-P1218)/T1218)</f>
        <v>0.675409836065574</v>
      </c>
      <c r="V1218" s="26" t="n">
        <f aca="false">IF(T1218="",0,T1218/N1218-1)</f>
        <v>0.220488195278111</v>
      </c>
      <c r="W1218" s="19" t="s">
        <v>94</v>
      </c>
    </row>
    <row r="1219" customFormat="false" ht="15" hidden="false" customHeight="false" outlineLevel="0" collapsed="false">
      <c r="A1219" s="38" t="n">
        <v>1168</v>
      </c>
      <c r="B1219" s="38" t="s">
        <v>1401</v>
      </c>
      <c r="C1219" s="38" t="s">
        <v>57</v>
      </c>
      <c r="D1219" s="38"/>
      <c r="E1219" s="38" t="s">
        <v>1273</v>
      </c>
      <c r="F1219" s="39" t="n">
        <v>0</v>
      </c>
      <c r="G1219" s="39" t="n">
        <v>1</v>
      </c>
      <c r="H1219" s="40" t="n">
        <v>1299.98</v>
      </c>
      <c r="I1219" s="40" t="n">
        <v>0</v>
      </c>
      <c r="J1219" s="40" t="n">
        <v>-1299.98</v>
      </c>
      <c r="K1219" s="41" t="n">
        <f aca="false">H1219+I1219+J1219</f>
        <v>0</v>
      </c>
      <c r="L1219" s="42" t="n">
        <f aca="false">IF($K$1282=0,0,K1219/$K$1282)</f>
        <v>0</v>
      </c>
      <c r="M1219" s="43" t="n">
        <f aca="false">IF(F1219&lt;=0,0,K1219/F1219)</f>
        <v>0</v>
      </c>
      <c r="N1219" s="40" t="n">
        <v>649.99</v>
      </c>
      <c r="O1219" s="44" t="n">
        <v>21.21</v>
      </c>
      <c r="P1219" s="43" t="n">
        <f aca="false">O1219*'Price Groups'!$B$5</f>
        <v>477.225</v>
      </c>
      <c r="Q1219" s="45" t="n">
        <f aca="false">IF(OR(N1219="",P1219=""),"",(N1219-P1219)/N1219)</f>
        <v>0.265796396867644</v>
      </c>
      <c r="R1219" s="46" t="n">
        <v>1</v>
      </c>
      <c r="S1219" s="47" t="n">
        <f aca="false">IF(R1219="-",0,IFERROR(VLOOKUP(R1219,'Price Groups'!$A$13:$C$17,3,FALSE()),0))</f>
        <v>0.22</v>
      </c>
      <c r="T1219" s="41" t="n">
        <f aca="false">IF(OR(N1219="",R1219="-"),"",CEILING(ROUND(N1219*(1+S1219),2),IF(N1219*(1+S1219)&lt;100,0.5,IF(N1219*(1+S1219)&lt;1000,1,5))))</f>
        <v>793</v>
      </c>
      <c r="U1219" s="45" t="n">
        <f aca="false">IF(OR(T1219="",P1219=""),"",(T1219-P1219)/T1219)</f>
        <v>0.398203026481715</v>
      </c>
      <c r="V1219" s="45" t="n">
        <f aca="false">IF(T1219="",0,T1219/N1219-1)</f>
        <v>0.220018769519531</v>
      </c>
      <c r="W1219" s="38" t="s">
        <v>94</v>
      </c>
    </row>
    <row r="1220" customFormat="false" ht="15" hidden="false" customHeight="false" outlineLevel="0" collapsed="false">
      <c r="A1220" s="19" t="n">
        <v>1169</v>
      </c>
      <c r="B1220" s="19" t="s">
        <v>1402</v>
      </c>
      <c r="C1220" s="19" t="s">
        <v>57</v>
      </c>
      <c r="D1220" s="19"/>
      <c r="E1220" s="19" t="s">
        <v>58</v>
      </c>
      <c r="F1220" s="20" t="n">
        <v>0</v>
      </c>
      <c r="G1220" s="20" t="n">
        <v>2</v>
      </c>
      <c r="H1220" s="21" t="n">
        <v>182.4</v>
      </c>
      <c r="I1220" s="21" t="n">
        <v>0</v>
      </c>
      <c r="J1220" s="21" t="n">
        <v>-182.4</v>
      </c>
      <c r="K1220" s="22" t="n">
        <f aca="false">H1220+I1220+J1220</f>
        <v>0</v>
      </c>
      <c r="L1220" s="23" t="n">
        <f aca="false">IF($K$1282=0,0,K1220/$K$1282)</f>
        <v>0</v>
      </c>
      <c r="M1220" s="24" t="n">
        <f aca="false">IF(F1220&lt;=0,0,K1220/F1220)</f>
        <v>0</v>
      </c>
      <c r="N1220" s="21" t="n">
        <v>22.8</v>
      </c>
      <c r="O1220" s="49" t="n">
        <v>1.41</v>
      </c>
      <c r="P1220" s="24" t="n">
        <f aca="false">O1220*'Price Groups'!$B$5</f>
        <v>31.725</v>
      </c>
      <c r="Q1220" s="26" t="n">
        <f aca="false">IF(OR(N1220="",P1220=""),"",(N1220-P1220)/N1220)</f>
        <v>-0.391447368421053</v>
      </c>
      <c r="R1220" s="27" t="n">
        <v>1</v>
      </c>
      <c r="S1220" s="28" t="n">
        <f aca="false">IF(R1220="-",0,IFERROR(VLOOKUP(R1220,'Price Groups'!$A$13:$C$17,3,FALSE()),0))</f>
        <v>0.22</v>
      </c>
      <c r="T1220" s="22" t="n">
        <f aca="false">IF(OR(N1220="",R1220="-"),"",CEILING(ROUND(N1220*(1+S1220),2),IF(N1220*(1+S1220)&lt;100,0.5,IF(N1220*(1+S1220)&lt;1000,1,5))))</f>
        <v>28</v>
      </c>
      <c r="U1220" s="26" t="n">
        <f aca="false">IF(OR(T1220="",P1220=""),"",(T1220-P1220)/T1220)</f>
        <v>-0.133035714285714</v>
      </c>
      <c r="V1220" s="26" t="n">
        <f aca="false">IF(T1220="",0,T1220/N1220-1)</f>
        <v>0.228070175438597</v>
      </c>
      <c r="W1220" s="19" t="s">
        <v>1403</v>
      </c>
    </row>
    <row r="1221" customFormat="false" ht="15" hidden="false" customHeight="false" outlineLevel="0" collapsed="false">
      <c r="A1221" s="38" t="n">
        <v>1170</v>
      </c>
      <c r="B1221" s="38" t="s">
        <v>1404</v>
      </c>
      <c r="C1221" s="38" t="s">
        <v>57</v>
      </c>
      <c r="D1221" s="38"/>
      <c r="E1221" s="38" t="s">
        <v>58</v>
      </c>
      <c r="F1221" s="39" t="n">
        <v>0</v>
      </c>
      <c r="G1221" s="39" t="n">
        <v>1</v>
      </c>
      <c r="H1221" s="40" t="n">
        <v>149.99</v>
      </c>
      <c r="I1221" s="40" t="n">
        <v>0</v>
      </c>
      <c r="J1221" s="40" t="n">
        <v>-149.99</v>
      </c>
      <c r="K1221" s="41" t="n">
        <f aca="false">H1221+I1221+J1221</f>
        <v>0</v>
      </c>
      <c r="L1221" s="42" t="n">
        <f aca="false">IF($K$1282=0,0,K1221/$K$1282)</f>
        <v>0</v>
      </c>
      <c r="M1221" s="43" t="n">
        <f aca="false">IF(F1221&lt;=0,0,K1221/F1221)</f>
        <v>0</v>
      </c>
      <c r="N1221" s="40" t="n">
        <v>149.99</v>
      </c>
      <c r="O1221" s="44" t="n">
        <v>5</v>
      </c>
      <c r="P1221" s="43" t="n">
        <f aca="false">O1221*'Price Groups'!$B$5</f>
        <v>112.5</v>
      </c>
      <c r="Q1221" s="45" t="n">
        <f aca="false">IF(OR(N1221="",P1221=""),"",(N1221-P1221)/N1221)</f>
        <v>0.249949996666444</v>
      </c>
      <c r="R1221" s="46" t="n">
        <v>1</v>
      </c>
      <c r="S1221" s="47" t="n">
        <f aca="false">IF(R1221="-",0,IFERROR(VLOOKUP(R1221,'Price Groups'!$A$13:$C$17,3,FALSE()),0))</f>
        <v>0.22</v>
      </c>
      <c r="T1221" s="41" t="n">
        <f aca="false">IF(OR(N1221="",R1221="-"),"",CEILING(ROUND(N1221*(1+S1221),2),IF(N1221*(1+S1221)&lt;100,0.5,IF(N1221*(1+S1221)&lt;1000,1,5))))</f>
        <v>183</v>
      </c>
      <c r="U1221" s="45" t="n">
        <f aca="false">IF(OR(T1221="",P1221=""),"",(T1221-P1221)/T1221)</f>
        <v>0.385245901639344</v>
      </c>
      <c r="V1221" s="45" t="n">
        <f aca="false">IF(T1221="",0,T1221/N1221-1)</f>
        <v>0.220081338755917</v>
      </c>
      <c r="W1221" s="38" t="s">
        <v>267</v>
      </c>
    </row>
    <row r="1222" customFormat="false" ht="15" hidden="false" customHeight="false" outlineLevel="0" collapsed="false">
      <c r="A1222" s="19" t="n">
        <v>1171</v>
      </c>
      <c r="B1222" s="19" t="s">
        <v>1405</v>
      </c>
      <c r="C1222" s="19" t="s">
        <v>57</v>
      </c>
      <c r="D1222" s="19"/>
      <c r="E1222" s="19" t="s">
        <v>58</v>
      </c>
      <c r="F1222" s="20" t="n">
        <v>0</v>
      </c>
      <c r="G1222" s="20" t="n">
        <v>1</v>
      </c>
      <c r="H1222" s="21" t="n">
        <v>119.99</v>
      </c>
      <c r="I1222" s="21" t="n">
        <v>0</v>
      </c>
      <c r="J1222" s="21" t="n">
        <v>-119.99</v>
      </c>
      <c r="K1222" s="22" t="n">
        <f aca="false">H1222+I1222+J1222</f>
        <v>0</v>
      </c>
      <c r="L1222" s="23" t="n">
        <f aca="false">IF($K$1282=0,0,K1222/$K$1282)</f>
        <v>0</v>
      </c>
      <c r="M1222" s="24" t="n">
        <f aca="false">IF(F1222&lt;=0,0,K1222/F1222)</f>
        <v>0</v>
      </c>
      <c r="N1222" s="21" t="n">
        <v>119.99</v>
      </c>
      <c r="O1222" s="49" t="n">
        <v>2.43</v>
      </c>
      <c r="P1222" s="24" t="n">
        <f aca="false">O1222*'Price Groups'!$B$5</f>
        <v>54.675</v>
      </c>
      <c r="Q1222" s="26" t="n">
        <f aca="false">IF(OR(N1222="",P1222=""),"",(N1222-P1222)/N1222)</f>
        <v>0.544337028085674</v>
      </c>
      <c r="R1222" s="27" t="n">
        <v>1</v>
      </c>
      <c r="S1222" s="28" t="n">
        <f aca="false">IF(R1222="-",0,IFERROR(VLOOKUP(R1222,'Price Groups'!$A$13:$C$17,3,FALSE()),0))</f>
        <v>0.22</v>
      </c>
      <c r="T1222" s="22" t="n">
        <f aca="false">IF(OR(N1222="",R1222="-"),"",CEILING(ROUND(N1222*(1+S1222),2),IF(N1222*(1+S1222)&lt;100,0.5,IF(N1222*(1+S1222)&lt;1000,1,5))))</f>
        <v>147</v>
      </c>
      <c r="U1222" s="26" t="n">
        <f aca="false">IF(OR(T1222="",P1222=""),"",(T1222-P1222)/T1222)</f>
        <v>0.628061224489796</v>
      </c>
      <c r="V1222" s="26" t="n">
        <f aca="false">IF(T1222="",0,T1222/N1222-1)</f>
        <v>0.225102091840987</v>
      </c>
      <c r="W1222" s="19" t="s">
        <v>94</v>
      </c>
    </row>
    <row r="1223" customFormat="false" ht="15" hidden="false" customHeight="false" outlineLevel="0" collapsed="false">
      <c r="A1223" s="38" t="n">
        <v>1172</v>
      </c>
      <c r="B1223" s="38" t="s">
        <v>1406</v>
      </c>
      <c r="C1223" s="38" t="s">
        <v>57</v>
      </c>
      <c r="D1223" s="38"/>
      <c r="E1223" s="38" t="s">
        <v>58</v>
      </c>
      <c r="F1223" s="39" t="n">
        <v>0</v>
      </c>
      <c r="G1223" s="39" t="n">
        <v>1</v>
      </c>
      <c r="H1223" s="40" t="n">
        <v>149.99</v>
      </c>
      <c r="I1223" s="40" t="n">
        <v>0</v>
      </c>
      <c r="J1223" s="40" t="n">
        <v>-149.99</v>
      </c>
      <c r="K1223" s="41" t="n">
        <f aca="false">H1223+I1223+J1223</f>
        <v>0</v>
      </c>
      <c r="L1223" s="42" t="n">
        <f aca="false">IF($K$1282=0,0,K1223/$K$1282)</f>
        <v>0</v>
      </c>
      <c r="M1223" s="43" t="n">
        <f aca="false">IF(F1223&lt;=0,0,K1223/F1223)</f>
        <v>0</v>
      </c>
      <c r="N1223" s="40" t="n">
        <v>149.99</v>
      </c>
      <c r="O1223" s="44" t="n">
        <v>3.3</v>
      </c>
      <c r="P1223" s="43" t="n">
        <f aca="false">O1223*'Price Groups'!$B$5</f>
        <v>74.25</v>
      </c>
      <c r="Q1223" s="45" t="n">
        <f aca="false">IF(OR(N1223="",P1223=""),"",(N1223-P1223)/N1223)</f>
        <v>0.504966997799853</v>
      </c>
      <c r="R1223" s="46" t="n">
        <v>1</v>
      </c>
      <c r="S1223" s="47" t="n">
        <f aca="false">IF(R1223="-",0,IFERROR(VLOOKUP(R1223,'Price Groups'!$A$13:$C$17,3,FALSE()),0))</f>
        <v>0.22</v>
      </c>
      <c r="T1223" s="41" t="n">
        <f aca="false">IF(OR(N1223="",R1223="-"),"",CEILING(ROUND(N1223*(1+S1223),2),IF(N1223*(1+S1223)&lt;100,0.5,IF(N1223*(1+S1223)&lt;1000,1,5))))</f>
        <v>183</v>
      </c>
      <c r="U1223" s="45" t="n">
        <f aca="false">IF(OR(T1223="",P1223=""),"",(T1223-P1223)/T1223)</f>
        <v>0.594262295081967</v>
      </c>
      <c r="V1223" s="45" t="n">
        <f aca="false">IF(T1223="",0,T1223/N1223-1)</f>
        <v>0.220081338755917</v>
      </c>
      <c r="W1223" s="38" t="s">
        <v>94</v>
      </c>
    </row>
    <row r="1224" customFormat="false" ht="15" hidden="false" customHeight="false" outlineLevel="0" collapsed="false">
      <c r="A1224" s="19" t="n">
        <v>1173</v>
      </c>
      <c r="B1224" s="19" t="s">
        <v>1407</v>
      </c>
      <c r="C1224" s="19" t="s">
        <v>57</v>
      </c>
      <c r="D1224" s="19"/>
      <c r="E1224" s="19" t="s">
        <v>58</v>
      </c>
      <c r="F1224" s="20" t="n">
        <v>0</v>
      </c>
      <c r="G1224" s="20" t="n">
        <v>1</v>
      </c>
      <c r="H1224" s="21" t="n">
        <v>79.99</v>
      </c>
      <c r="I1224" s="21" t="n">
        <v>0</v>
      </c>
      <c r="J1224" s="21" t="n">
        <v>-79.99</v>
      </c>
      <c r="K1224" s="22" t="n">
        <f aca="false">H1224+I1224+J1224</f>
        <v>0</v>
      </c>
      <c r="L1224" s="23" t="n">
        <f aca="false">IF($K$1282=0,0,K1224/$K$1282)</f>
        <v>0</v>
      </c>
      <c r="M1224" s="24" t="n">
        <f aca="false">IF(F1224&lt;=0,0,K1224/F1224)</f>
        <v>0</v>
      </c>
      <c r="N1224" s="21" t="n">
        <v>74.99</v>
      </c>
      <c r="O1224" s="49" t="n">
        <v>1.21</v>
      </c>
      <c r="P1224" s="24" t="n">
        <f aca="false">O1224*'Price Groups'!$B$5</f>
        <v>27.225</v>
      </c>
      <c r="Q1224" s="26" t="n">
        <f aca="false">IF(OR(N1224="",P1224=""),"",(N1224-P1224)/N1224)</f>
        <v>0.636951593545806</v>
      </c>
      <c r="R1224" s="27" t="n">
        <v>1</v>
      </c>
      <c r="S1224" s="28" t="n">
        <f aca="false">IF(R1224="-",0,IFERROR(VLOOKUP(R1224,'Price Groups'!$A$13:$C$17,3,FALSE()),0))</f>
        <v>0.22</v>
      </c>
      <c r="T1224" s="22" t="n">
        <f aca="false">IF(OR(N1224="",R1224="-"),"",CEILING(ROUND(N1224*(1+S1224),2),IF(N1224*(1+S1224)&lt;100,0.5,IF(N1224*(1+S1224)&lt;1000,1,5))))</f>
        <v>91.5</v>
      </c>
      <c r="U1224" s="26" t="n">
        <f aca="false">IF(OR(T1224="",P1224=""),"",(T1224-P1224)/T1224)</f>
        <v>0.702459016393443</v>
      </c>
      <c r="V1224" s="26" t="n">
        <f aca="false">IF(T1224="",0,T1224/N1224-1)</f>
        <v>0.220162688358448</v>
      </c>
      <c r="W1224" s="19" t="s">
        <v>94</v>
      </c>
    </row>
    <row r="1225" customFormat="false" ht="15" hidden="false" customHeight="false" outlineLevel="0" collapsed="false">
      <c r="A1225" s="38" t="n">
        <v>1174</v>
      </c>
      <c r="B1225" s="38" t="s">
        <v>1408</v>
      </c>
      <c r="C1225" s="38" t="s">
        <v>57</v>
      </c>
      <c r="D1225" s="38"/>
      <c r="E1225" s="38" t="s">
        <v>58</v>
      </c>
      <c r="F1225" s="39" t="n">
        <v>0</v>
      </c>
      <c r="G1225" s="39" t="n">
        <v>2</v>
      </c>
      <c r="H1225" s="40" t="n">
        <v>449.94</v>
      </c>
      <c r="I1225" s="40" t="n">
        <v>0</v>
      </c>
      <c r="J1225" s="40" t="n">
        <v>-449.94</v>
      </c>
      <c r="K1225" s="41" t="n">
        <f aca="false">H1225+I1225+J1225</f>
        <v>0</v>
      </c>
      <c r="L1225" s="42" t="n">
        <f aca="false">IF($K$1282=0,0,K1225/$K$1282)</f>
        <v>0</v>
      </c>
      <c r="M1225" s="43" t="n">
        <f aca="false">IF(F1225&lt;=0,0,K1225/F1225)</f>
        <v>0</v>
      </c>
      <c r="N1225" s="40" t="n">
        <v>74.99</v>
      </c>
      <c r="O1225" s="44" t="n">
        <v>1.21</v>
      </c>
      <c r="P1225" s="43" t="n">
        <f aca="false">O1225*'Price Groups'!$B$5</f>
        <v>27.225</v>
      </c>
      <c r="Q1225" s="45" t="n">
        <f aca="false">IF(OR(N1225="",P1225=""),"",(N1225-P1225)/N1225)</f>
        <v>0.636951593545806</v>
      </c>
      <c r="R1225" s="46" t="n">
        <v>1</v>
      </c>
      <c r="S1225" s="47" t="n">
        <f aca="false">IF(R1225="-",0,IFERROR(VLOOKUP(R1225,'Price Groups'!$A$13:$C$17,3,FALSE()),0))</f>
        <v>0.22</v>
      </c>
      <c r="T1225" s="41" t="n">
        <f aca="false">IF(OR(N1225="",R1225="-"),"",CEILING(ROUND(N1225*(1+S1225),2),IF(N1225*(1+S1225)&lt;100,0.5,IF(N1225*(1+S1225)&lt;1000,1,5))))</f>
        <v>91.5</v>
      </c>
      <c r="U1225" s="45" t="n">
        <f aca="false">IF(OR(T1225="",P1225=""),"",(T1225-P1225)/T1225)</f>
        <v>0.702459016393443</v>
      </c>
      <c r="V1225" s="45" t="n">
        <f aca="false">IF(T1225="",0,T1225/N1225-1)</f>
        <v>0.220162688358448</v>
      </c>
      <c r="W1225" s="38" t="s">
        <v>94</v>
      </c>
    </row>
    <row r="1226" customFormat="false" ht="15" hidden="false" customHeight="false" outlineLevel="0" collapsed="false">
      <c r="A1226" s="19" t="n">
        <v>1175</v>
      </c>
      <c r="B1226" s="19" t="s">
        <v>1409</v>
      </c>
      <c r="C1226" s="19" t="s">
        <v>57</v>
      </c>
      <c r="D1226" s="19"/>
      <c r="E1226" s="19" t="s">
        <v>58</v>
      </c>
      <c r="F1226" s="20" t="n">
        <v>0</v>
      </c>
      <c r="G1226" s="20" t="n">
        <v>1</v>
      </c>
      <c r="H1226" s="21" t="n">
        <v>149.99</v>
      </c>
      <c r="I1226" s="21" t="n">
        <v>0</v>
      </c>
      <c r="J1226" s="21" t="n">
        <v>-149.99</v>
      </c>
      <c r="K1226" s="22" t="n">
        <f aca="false">H1226+I1226+J1226</f>
        <v>0</v>
      </c>
      <c r="L1226" s="23" t="n">
        <f aca="false">IF($K$1282=0,0,K1226/$K$1282)</f>
        <v>0</v>
      </c>
      <c r="M1226" s="24" t="n">
        <f aca="false">IF(F1226&lt;=0,0,K1226/F1226)</f>
        <v>0</v>
      </c>
      <c r="N1226" s="21" t="n">
        <v>85.41</v>
      </c>
      <c r="O1226" s="49" t="n">
        <v>3.3</v>
      </c>
      <c r="P1226" s="24" t="n">
        <f aca="false">O1226*'Price Groups'!$B$5</f>
        <v>74.25</v>
      </c>
      <c r="Q1226" s="26" t="n">
        <f aca="false">IF(OR(N1226="",P1226=""),"",(N1226-P1226)/N1226)</f>
        <v>0.130663856691254</v>
      </c>
      <c r="R1226" s="27" t="n">
        <v>1</v>
      </c>
      <c r="S1226" s="28" t="n">
        <f aca="false">IF(R1226="-",0,IFERROR(VLOOKUP(R1226,'Price Groups'!$A$13:$C$17,3,FALSE()),0))</f>
        <v>0.22</v>
      </c>
      <c r="T1226" s="22" t="n">
        <f aca="false">IF(OR(N1226="",R1226="-"),"",CEILING(ROUND(N1226*(1+S1226),2),IF(N1226*(1+S1226)&lt;100,0.5,IF(N1226*(1+S1226)&lt;1000,1,5))))</f>
        <v>105</v>
      </c>
      <c r="U1226" s="26" t="n">
        <f aca="false">IF(OR(T1226="",P1226=""),"",(T1226-P1226)/T1226)</f>
        <v>0.292857142857143</v>
      </c>
      <c r="V1226" s="26" t="n">
        <f aca="false">IF(T1226="",0,T1226/N1226-1)</f>
        <v>0.229364243062873</v>
      </c>
      <c r="W1226" s="19" t="s">
        <v>476</v>
      </c>
    </row>
    <row r="1227" customFormat="false" ht="15" hidden="false" customHeight="false" outlineLevel="0" collapsed="false">
      <c r="A1227" s="38" t="n">
        <v>1176</v>
      </c>
      <c r="B1227" s="38" t="s">
        <v>1410</v>
      </c>
      <c r="C1227" s="38" t="s">
        <v>57</v>
      </c>
      <c r="D1227" s="38"/>
      <c r="E1227" s="38" t="s">
        <v>58</v>
      </c>
      <c r="F1227" s="39" t="n">
        <v>0</v>
      </c>
      <c r="G1227" s="39" t="n">
        <v>1</v>
      </c>
      <c r="H1227" s="40" t="n">
        <v>499.99</v>
      </c>
      <c r="I1227" s="40" t="n">
        <v>0</v>
      </c>
      <c r="J1227" s="40" t="n">
        <v>-499.99</v>
      </c>
      <c r="K1227" s="41" t="n">
        <f aca="false">H1227+I1227+J1227</f>
        <v>0</v>
      </c>
      <c r="L1227" s="42" t="n">
        <f aca="false">IF($K$1282=0,0,K1227/$K$1282)</f>
        <v>0</v>
      </c>
      <c r="M1227" s="43" t="n">
        <f aca="false">IF(F1227&lt;=0,0,K1227/F1227)</f>
        <v>0</v>
      </c>
      <c r="N1227" s="40" t="n">
        <v>499.99</v>
      </c>
      <c r="O1227" s="44" t="n">
        <v>12</v>
      </c>
      <c r="P1227" s="43" t="n">
        <f aca="false">O1227*'Price Groups'!$B$5</f>
        <v>270</v>
      </c>
      <c r="Q1227" s="45" t="n">
        <f aca="false">IF(OR(N1227="",P1227=""),"",(N1227-P1227)/N1227)</f>
        <v>0.459989199783996</v>
      </c>
      <c r="R1227" s="46" t="n">
        <v>1</v>
      </c>
      <c r="S1227" s="47" t="n">
        <f aca="false">IF(R1227="-",0,IFERROR(VLOOKUP(R1227,'Price Groups'!$A$13:$C$17,3,FALSE()),0))</f>
        <v>0.22</v>
      </c>
      <c r="T1227" s="41" t="n">
        <f aca="false">IF(OR(N1227="",R1227="-"),"",CEILING(ROUND(N1227*(1+S1227),2),IF(N1227*(1+S1227)&lt;100,0.5,IF(N1227*(1+S1227)&lt;1000,1,5))))</f>
        <v>610</v>
      </c>
      <c r="U1227" s="45" t="n">
        <f aca="false">IF(OR(T1227="",P1227=""),"",(T1227-P1227)/T1227)</f>
        <v>0.557377049180328</v>
      </c>
      <c r="V1227" s="45" t="n">
        <f aca="false">IF(T1227="",0,T1227/N1227-1)</f>
        <v>0.22002440048801</v>
      </c>
      <c r="W1227" s="38" t="s">
        <v>94</v>
      </c>
    </row>
    <row r="1228" customFormat="false" ht="15" hidden="false" customHeight="false" outlineLevel="0" collapsed="false">
      <c r="A1228" s="19" t="n">
        <v>1177</v>
      </c>
      <c r="B1228" s="19" t="s">
        <v>1411</v>
      </c>
      <c r="C1228" s="19" t="s">
        <v>57</v>
      </c>
      <c r="D1228" s="19"/>
      <c r="E1228" s="19" t="s">
        <v>58</v>
      </c>
      <c r="F1228" s="20" t="n">
        <v>-2</v>
      </c>
      <c r="G1228" s="20" t="n">
        <v>3</v>
      </c>
      <c r="H1228" s="21" t="n">
        <v>160</v>
      </c>
      <c r="I1228" s="21" t="n">
        <v>0</v>
      </c>
      <c r="J1228" s="21" t="n">
        <v>-224</v>
      </c>
      <c r="K1228" s="22" t="n">
        <f aca="false">H1228+I1228+J1228</f>
        <v>-64</v>
      </c>
      <c r="L1228" s="23" t="n">
        <f aca="false">IF($K$1282=0,0,K1228/$K$1282)</f>
        <v>-5.30166001469594E-006</v>
      </c>
      <c r="M1228" s="24" t="n">
        <f aca="false">IF(F1228&lt;=0,0,K1228/F1228)</f>
        <v>0</v>
      </c>
      <c r="N1228" s="21" t="n">
        <v>32</v>
      </c>
      <c r="O1228" s="49" t="n">
        <v>0.73</v>
      </c>
      <c r="P1228" s="24" t="n">
        <f aca="false">O1228*'Price Groups'!$B$5</f>
        <v>16.425</v>
      </c>
      <c r="Q1228" s="26" t="n">
        <f aca="false">IF(OR(N1228="",P1228=""),"",(N1228-P1228)/N1228)</f>
        <v>0.48671875</v>
      </c>
      <c r="R1228" s="27" t="n">
        <v>1</v>
      </c>
      <c r="S1228" s="28" t="n">
        <f aca="false">IF(R1228="-",0,IFERROR(VLOOKUP(R1228,'Price Groups'!$A$13:$C$17,3,FALSE()),0))</f>
        <v>0.22</v>
      </c>
      <c r="T1228" s="22" t="n">
        <f aca="false">IF(OR(N1228="",R1228="-"),"",CEILING(ROUND(N1228*(1+S1228),2),IF(N1228*(1+S1228)&lt;100,0.5,IF(N1228*(1+S1228)&lt;1000,1,5))))</f>
        <v>39.5</v>
      </c>
      <c r="U1228" s="26" t="n">
        <f aca="false">IF(OR(T1228="",P1228=""),"",(T1228-P1228)/T1228)</f>
        <v>0.584177215189873</v>
      </c>
      <c r="V1228" s="26" t="n">
        <f aca="false">IF(T1228="",0,T1228/N1228-1)</f>
        <v>0.234375</v>
      </c>
      <c r="W1228" s="19" t="s">
        <v>94</v>
      </c>
    </row>
    <row r="1229" customFormat="false" ht="15" hidden="false" customHeight="false" outlineLevel="0" collapsed="false">
      <c r="A1229" s="38"/>
      <c r="B1229" s="38" t="s">
        <v>1412</v>
      </c>
      <c r="C1229" s="38" t="s">
        <v>57</v>
      </c>
      <c r="D1229" s="38"/>
      <c r="E1229" s="38" t="s">
        <v>1273</v>
      </c>
      <c r="F1229" s="39" t="n">
        <v>0</v>
      </c>
      <c r="G1229" s="39" t="n">
        <v>0</v>
      </c>
      <c r="H1229" s="40" t="n">
        <v>0</v>
      </c>
      <c r="I1229" s="40" t="n">
        <v>0</v>
      </c>
      <c r="J1229" s="40" t="n">
        <v>0</v>
      </c>
      <c r="K1229" s="41" t="n">
        <f aca="false">H1229+I1229+J1229</f>
        <v>0</v>
      </c>
      <c r="L1229" s="42" t="n">
        <f aca="false">IF($K$1282=0,0,K1229/$K$1282)</f>
        <v>0</v>
      </c>
      <c r="M1229" s="43" t="n">
        <f aca="false">IF(F1229&lt;=0,0,K1229/F1229)</f>
        <v>0</v>
      </c>
      <c r="N1229" s="40" t="n">
        <v>600</v>
      </c>
      <c r="O1229" s="44" t="n">
        <v>19.22</v>
      </c>
      <c r="P1229" s="43" t="n">
        <f aca="false">O1229*'Price Groups'!$B$5</f>
        <v>432.45</v>
      </c>
      <c r="Q1229" s="45" t="n">
        <f aca="false">IF(OR(N1229="",P1229=""),"",(N1229-P1229)/N1229)</f>
        <v>0.27925</v>
      </c>
      <c r="R1229" s="46" t="n">
        <v>1</v>
      </c>
      <c r="S1229" s="47" t="n">
        <f aca="false">IF(R1229="-",0,IFERROR(VLOOKUP(R1229,'Price Groups'!$A$13:$C$17,3,FALSE()),0))</f>
        <v>0.22</v>
      </c>
      <c r="T1229" s="41" t="n">
        <f aca="false">IF(OR(N1229="",R1229="-"),"",CEILING(ROUND(N1229*(1+S1229),2),IF(N1229*(1+S1229)&lt;100,0.5,IF(N1229*(1+S1229)&lt;1000,1,5))))</f>
        <v>732</v>
      </c>
      <c r="U1229" s="45" t="n">
        <f aca="false">IF(OR(T1229="",P1229=""),"",(T1229-P1229)/T1229)</f>
        <v>0.40922131147541</v>
      </c>
      <c r="V1229" s="45" t="n">
        <f aca="false">IF(T1229="",0,T1229/N1229-1)</f>
        <v>0.22</v>
      </c>
      <c r="W1229" s="38" t="s">
        <v>94</v>
      </c>
    </row>
    <row r="1230" customFormat="false" ht="15" hidden="false" customHeight="false" outlineLevel="0" collapsed="false">
      <c r="A1230" s="19"/>
      <c r="B1230" s="19" t="s">
        <v>1413</v>
      </c>
      <c r="C1230" s="19" t="s">
        <v>57</v>
      </c>
      <c r="D1230" s="19"/>
      <c r="E1230" s="19" t="s">
        <v>1273</v>
      </c>
      <c r="F1230" s="20" t="n">
        <v>0</v>
      </c>
      <c r="G1230" s="20" t="n">
        <v>0</v>
      </c>
      <c r="H1230" s="21" t="n">
        <v>0</v>
      </c>
      <c r="I1230" s="21" t="n">
        <v>0</v>
      </c>
      <c r="J1230" s="21" t="n">
        <v>0</v>
      </c>
      <c r="K1230" s="22" t="n">
        <f aca="false">H1230+I1230+J1230</f>
        <v>0</v>
      </c>
      <c r="L1230" s="23" t="n">
        <f aca="false">IF($K$1282=0,0,K1230/$K$1282)</f>
        <v>0</v>
      </c>
      <c r="M1230" s="24" t="n">
        <f aca="false">IF(F1230&lt;=0,0,K1230/F1230)</f>
        <v>0</v>
      </c>
      <c r="N1230" s="21" t="n">
        <v>599.99</v>
      </c>
      <c r="O1230" s="49" t="n">
        <v>19.22</v>
      </c>
      <c r="P1230" s="24" t="n">
        <f aca="false">O1230*'Price Groups'!$B$5</f>
        <v>432.45</v>
      </c>
      <c r="Q1230" s="26" t="n">
        <f aca="false">IF(OR(N1230="",P1230=""),"",(N1230-P1230)/N1230)</f>
        <v>0.279237987299788</v>
      </c>
      <c r="R1230" s="27" t="n">
        <v>1</v>
      </c>
      <c r="S1230" s="28" t="n">
        <f aca="false">IF(R1230="-",0,IFERROR(VLOOKUP(R1230,'Price Groups'!$A$13:$C$17,3,FALSE()),0))</f>
        <v>0.22</v>
      </c>
      <c r="T1230" s="22" t="n">
        <f aca="false">IF(OR(N1230="",R1230="-"),"",CEILING(ROUND(N1230*(1+S1230),2),IF(N1230*(1+S1230)&lt;100,0.5,IF(N1230*(1+S1230)&lt;1000,1,5))))</f>
        <v>732</v>
      </c>
      <c r="U1230" s="26" t="n">
        <f aca="false">IF(OR(T1230="",P1230=""),"",(T1230-P1230)/T1230)</f>
        <v>0.40922131147541</v>
      </c>
      <c r="V1230" s="26" t="n">
        <f aca="false">IF(T1230="",0,T1230/N1230-1)</f>
        <v>0.220020333672228</v>
      </c>
      <c r="W1230" s="19" t="s">
        <v>94</v>
      </c>
    </row>
    <row r="1231" customFormat="false" ht="15" hidden="false" customHeight="false" outlineLevel="0" collapsed="false">
      <c r="A1231" s="38"/>
      <c r="B1231" s="38" t="s">
        <v>1414</v>
      </c>
      <c r="C1231" s="38" t="s">
        <v>57</v>
      </c>
      <c r="D1231" s="38"/>
      <c r="E1231" s="38" t="s">
        <v>58</v>
      </c>
      <c r="F1231" s="39" t="n">
        <v>0</v>
      </c>
      <c r="G1231" s="39" t="n">
        <v>0</v>
      </c>
      <c r="H1231" s="40" t="n">
        <v>0</v>
      </c>
      <c r="I1231" s="40" t="n">
        <v>0</v>
      </c>
      <c r="J1231" s="40" t="n">
        <v>0</v>
      </c>
      <c r="K1231" s="41" t="n">
        <f aca="false">H1231+I1231+J1231</f>
        <v>0</v>
      </c>
      <c r="L1231" s="42" t="n">
        <f aca="false">IF($K$1282=0,0,K1231/$K$1282)</f>
        <v>0</v>
      </c>
      <c r="M1231" s="43" t="n">
        <f aca="false">IF(F1231&lt;=0,0,K1231/F1231)</f>
        <v>0</v>
      </c>
      <c r="N1231" s="40" t="n">
        <v>774.99</v>
      </c>
      <c r="O1231" s="44" t="n">
        <v>17.16</v>
      </c>
      <c r="P1231" s="43" t="n">
        <f aca="false">O1231*'Price Groups'!$B$5</f>
        <v>386.1</v>
      </c>
      <c r="Q1231" s="45" t="n">
        <f aca="false">IF(OR(N1231="",P1231=""),"",(N1231-P1231)/N1231)</f>
        <v>0.501800023226106</v>
      </c>
      <c r="R1231" s="46" t="n">
        <v>1</v>
      </c>
      <c r="S1231" s="47" t="n">
        <f aca="false">IF(R1231="-",0,IFERROR(VLOOKUP(R1231,'Price Groups'!$A$13:$C$17,3,FALSE()),0))</f>
        <v>0.22</v>
      </c>
      <c r="T1231" s="41" t="n">
        <f aca="false">IF(OR(N1231="",R1231="-"),"",CEILING(ROUND(N1231*(1+S1231),2),IF(N1231*(1+S1231)&lt;100,0.5,IF(N1231*(1+S1231)&lt;1000,1,5))))</f>
        <v>946</v>
      </c>
      <c r="U1231" s="45" t="n">
        <f aca="false">IF(OR(T1231="",P1231=""),"",(T1231-P1231)/T1231)</f>
        <v>0.591860465116279</v>
      </c>
      <c r="V1231" s="45" t="n">
        <f aca="false">IF(T1231="",0,T1231/N1231-1)</f>
        <v>0.2206609117537</v>
      </c>
      <c r="W1231" s="38" t="s">
        <v>94</v>
      </c>
    </row>
    <row r="1232" customFormat="false" ht="15" hidden="false" customHeight="false" outlineLevel="0" collapsed="false">
      <c r="A1232" s="19"/>
      <c r="B1232" s="19" t="s">
        <v>1415</v>
      </c>
      <c r="C1232" s="19" t="s">
        <v>57</v>
      </c>
      <c r="D1232" s="19"/>
      <c r="E1232" s="19" t="s">
        <v>58</v>
      </c>
      <c r="F1232" s="20" t="n">
        <v>0</v>
      </c>
      <c r="G1232" s="20" t="n">
        <v>0</v>
      </c>
      <c r="H1232" s="21" t="n">
        <v>0</v>
      </c>
      <c r="I1232" s="21" t="n">
        <v>0</v>
      </c>
      <c r="J1232" s="21" t="n">
        <v>0</v>
      </c>
      <c r="K1232" s="22" t="n">
        <f aca="false">H1232+I1232+J1232</f>
        <v>0</v>
      </c>
      <c r="L1232" s="23" t="n">
        <f aca="false">IF($K$1282=0,0,K1232/$K$1282)</f>
        <v>0</v>
      </c>
      <c r="M1232" s="24" t="n">
        <f aca="false">IF(F1232&lt;=0,0,K1232/F1232)</f>
        <v>0</v>
      </c>
      <c r="N1232" s="21" t="n">
        <v>799</v>
      </c>
      <c r="O1232" s="49" t="n">
        <v>18.41</v>
      </c>
      <c r="P1232" s="24" t="n">
        <f aca="false">O1232*'Price Groups'!$B$5</f>
        <v>414.225</v>
      </c>
      <c r="Q1232" s="26" t="n">
        <f aca="false">IF(OR(N1232="",P1232=""),"",(N1232-P1232)/N1232)</f>
        <v>0.48157071339174</v>
      </c>
      <c r="R1232" s="27" t="n">
        <v>1</v>
      </c>
      <c r="S1232" s="28" t="n">
        <f aca="false">IF(R1232="-",0,IFERROR(VLOOKUP(R1232,'Price Groups'!$A$13:$C$17,3,FALSE()),0))</f>
        <v>0.22</v>
      </c>
      <c r="T1232" s="22" t="n">
        <f aca="false">IF(OR(N1232="",R1232="-"),"",CEILING(ROUND(N1232*(1+S1232),2),IF(N1232*(1+S1232)&lt;100,0.5,IF(N1232*(1+S1232)&lt;1000,1,5))))</f>
        <v>975</v>
      </c>
      <c r="U1232" s="26" t="n">
        <f aca="false">IF(OR(T1232="",P1232=""),"",(T1232-P1232)/T1232)</f>
        <v>0.575153846153846</v>
      </c>
      <c r="V1232" s="26" t="n">
        <f aca="false">IF(T1232="",0,T1232/N1232-1)</f>
        <v>0.220275344180225</v>
      </c>
      <c r="W1232" s="19" t="s">
        <v>94</v>
      </c>
    </row>
    <row r="1233" customFormat="false" ht="15" hidden="false" customHeight="false" outlineLevel="0" collapsed="false">
      <c r="A1233" s="38"/>
      <c r="B1233" s="38" t="s">
        <v>1416</v>
      </c>
      <c r="C1233" s="38" t="s">
        <v>57</v>
      </c>
      <c r="D1233" s="38"/>
      <c r="E1233" s="38" t="s">
        <v>58</v>
      </c>
      <c r="F1233" s="39" t="n">
        <v>0</v>
      </c>
      <c r="G1233" s="39" t="n">
        <v>0</v>
      </c>
      <c r="H1233" s="40" t="n">
        <v>0</v>
      </c>
      <c r="I1233" s="40" t="n">
        <v>0</v>
      </c>
      <c r="J1233" s="40" t="n">
        <v>0</v>
      </c>
      <c r="K1233" s="41" t="n">
        <f aca="false">H1233+I1233+J1233</f>
        <v>0</v>
      </c>
      <c r="L1233" s="42" t="n">
        <f aca="false">IF($K$1282=0,0,K1233/$K$1282)</f>
        <v>0</v>
      </c>
      <c r="M1233" s="43" t="n">
        <f aca="false">IF(F1233&lt;=0,0,K1233/F1233)</f>
        <v>0</v>
      </c>
      <c r="N1233" s="40" t="n">
        <v>63</v>
      </c>
      <c r="O1233" s="44" t="n">
        <v>1.6</v>
      </c>
      <c r="P1233" s="43" t="n">
        <f aca="false">O1233*'Price Groups'!$B$5</f>
        <v>36</v>
      </c>
      <c r="Q1233" s="45" t="n">
        <f aca="false">IF(OR(N1233="",P1233=""),"",(N1233-P1233)/N1233)</f>
        <v>0.428571428571429</v>
      </c>
      <c r="R1233" s="46" t="n">
        <v>1</v>
      </c>
      <c r="S1233" s="47" t="n">
        <f aca="false">IF(R1233="-",0,IFERROR(VLOOKUP(R1233,'Price Groups'!$A$13:$C$17,3,FALSE()),0))</f>
        <v>0.22</v>
      </c>
      <c r="T1233" s="41" t="n">
        <f aca="false">IF(OR(N1233="",R1233="-"),"",CEILING(ROUND(N1233*(1+S1233),2),IF(N1233*(1+S1233)&lt;100,0.5,IF(N1233*(1+S1233)&lt;1000,1,5))))</f>
        <v>77</v>
      </c>
      <c r="U1233" s="45" t="n">
        <f aca="false">IF(OR(T1233="",P1233=""),"",(T1233-P1233)/T1233)</f>
        <v>0.532467532467532</v>
      </c>
      <c r="V1233" s="45" t="n">
        <f aca="false">IF(T1233="",0,T1233/N1233-1)</f>
        <v>0.222222222222222</v>
      </c>
      <c r="W1233" s="38" t="s">
        <v>94</v>
      </c>
    </row>
    <row r="1234" customFormat="false" ht="15" hidden="false" customHeight="false" outlineLevel="0" collapsed="false">
      <c r="A1234" s="19"/>
      <c r="B1234" s="19" t="s">
        <v>1417</v>
      </c>
      <c r="C1234" s="19" t="s">
        <v>57</v>
      </c>
      <c r="D1234" s="19"/>
      <c r="E1234" s="19" t="s">
        <v>58</v>
      </c>
      <c r="F1234" s="20" t="n">
        <v>0</v>
      </c>
      <c r="G1234" s="20" t="n">
        <v>0</v>
      </c>
      <c r="H1234" s="21" t="n">
        <v>0</v>
      </c>
      <c r="I1234" s="21" t="n">
        <v>0</v>
      </c>
      <c r="J1234" s="21" t="n">
        <v>0</v>
      </c>
      <c r="K1234" s="22" t="n">
        <f aca="false">H1234+I1234+J1234</f>
        <v>0</v>
      </c>
      <c r="L1234" s="23" t="n">
        <f aca="false">IF($K$1282=0,0,K1234/$K$1282)</f>
        <v>0</v>
      </c>
      <c r="M1234" s="24" t="n">
        <f aca="false">IF(F1234&lt;=0,0,K1234/F1234)</f>
        <v>0</v>
      </c>
      <c r="N1234" s="21" t="n">
        <v>224.99</v>
      </c>
      <c r="O1234" s="49" t="n">
        <v>5</v>
      </c>
      <c r="P1234" s="24" t="n">
        <f aca="false">O1234*'Price Groups'!$B$5</f>
        <v>112.5</v>
      </c>
      <c r="Q1234" s="26" t="n">
        <f aca="false">IF(OR(N1234="",P1234=""),"",(N1234-P1234)/N1234)</f>
        <v>0.49997777679008</v>
      </c>
      <c r="R1234" s="27" t="n">
        <v>1</v>
      </c>
      <c r="S1234" s="28" t="n">
        <f aca="false">IF(R1234="-",0,IFERROR(VLOOKUP(R1234,'Price Groups'!$A$13:$C$17,3,FALSE()),0))</f>
        <v>0.22</v>
      </c>
      <c r="T1234" s="22" t="n">
        <f aca="false">IF(OR(N1234="",R1234="-"),"",CEILING(ROUND(N1234*(1+S1234),2),IF(N1234*(1+S1234)&lt;100,0.5,IF(N1234*(1+S1234)&lt;1000,1,5))))</f>
        <v>275</v>
      </c>
      <c r="U1234" s="26" t="n">
        <f aca="false">IF(OR(T1234="",P1234=""),"",(T1234-P1234)/T1234)</f>
        <v>0.590909090909091</v>
      </c>
      <c r="V1234" s="26" t="n">
        <f aca="false">IF(T1234="",0,T1234/N1234-1)</f>
        <v>0.22227654562425</v>
      </c>
      <c r="W1234" s="19" t="s">
        <v>94</v>
      </c>
    </row>
    <row r="1235" customFormat="false" ht="15" hidden="false" customHeight="false" outlineLevel="0" collapsed="false">
      <c r="A1235" s="38"/>
      <c r="B1235" s="38" t="s">
        <v>1418</v>
      </c>
      <c r="C1235" s="38" t="s">
        <v>57</v>
      </c>
      <c r="D1235" s="38"/>
      <c r="E1235" s="38" t="s">
        <v>58</v>
      </c>
      <c r="F1235" s="39" t="n">
        <v>0</v>
      </c>
      <c r="G1235" s="39" t="n">
        <v>0</v>
      </c>
      <c r="H1235" s="40" t="n">
        <v>0</v>
      </c>
      <c r="I1235" s="40" t="n">
        <v>0</v>
      </c>
      <c r="J1235" s="40" t="n">
        <v>0</v>
      </c>
      <c r="K1235" s="41" t="n">
        <f aca="false">H1235+I1235+J1235</f>
        <v>0</v>
      </c>
      <c r="L1235" s="42" t="n">
        <f aca="false">IF($K$1282=0,0,K1235/$K$1282)</f>
        <v>0</v>
      </c>
      <c r="M1235" s="43" t="n">
        <f aca="false">IF(F1235&lt;=0,0,K1235/F1235)</f>
        <v>0</v>
      </c>
      <c r="N1235" s="40" t="n">
        <v>224.99</v>
      </c>
      <c r="O1235" s="44" t="n">
        <v>5</v>
      </c>
      <c r="P1235" s="43" t="n">
        <f aca="false">O1235*'Price Groups'!$B$5</f>
        <v>112.5</v>
      </c>
      <c r="Q1235" s="45" t="n">
        <f aca="false">IF(OR(N1235="",P1235=""),"",(N1235-P1235)/N1235)</f>
        <v>0.49997777679008</v>
      </c>
      <c r="R1235" s="46" t="n">
        <v>1</v>
      </c>
      <c r="S1235" s="47" t="n">
        <f aca="false">IF(R1235="-",0,IFERROR(VLOOKUP(R1235,'Price Groups'!$A$13:$C$17,3,FALSE()),0))</f>
        <v>0.22</v>
      </c>
      <c r="T1235" s="41" t="n">
        <f aca="false">IF(OR(N1235="",R1235="-"),"",CEILING(ROUND(N1235*(1+S1235),2),IF(N1235*(1+S1235)&lt;100,0.5,IF(N1235*(1+S1235)&lt;1000,1,5))))</f>
        <v>275</v>
      </c>
      <c r="U1235" s="45" t="n">
        <f aca="false">IF(OR(T1235="",P1235=""),"",(T1235-P1235)/T1235)</f>
        <v>0.590909090909091</v>
      </c>
      <c r="V1235" s="45" t="n">
        <f aca="false">IF(T1235="",0,T1235/N1235-1)</f>
        <v>0.22227654562425</v>
      </c>
      <c r="W1235" s="38" t="s">
        <v>94</v>
      </c>
    </row>
    <row r="1236" customFormat="false" ht="15" hidden="false" customHeight="false" outlineLevel="0" collapsed="false">
      <c r="A1236" s="19"/>
      <c r="B1236" s="19" t="s">
        <v>1419</v>
      </c>
      <c r="C1236" s="19" t="s">
        <v>57</v>
      </c>
      <c r="D1236" s="19"/>
      <c r="E1236" s="19" t="s">
        <v>58</v>
      </c>
      <c r="F1236" s="20" t="n">
        <v>0</v>
      </c>
      <c r="G1236" s="20" t="n">
        <v>0</v>
      </c>
      <c r="H1236" s="21" t="n">
        <v>0</v>
      </c>
      <c r="I1236" s="21" t="n">
        <v>0</v>
      </c>
      <c r="J1236" s="21" t="n">
        <v>0</v>
      </c>
      <c r="K1236" s="22" t="n">
        <f aca="false">H1236+I1236+J1236</f>
        <v>0</v>
      </c>
      <c r="L1236" s="23" t="n">
        <f aca="false">IF($K$1282=0,0,K1236/$K$1282)</f>
        <v>0</v>
      </c>
      <c r="M1236" s="24" t="n">
        <f aca="false">IF(F1236&lt;=0,0,K1236/F1236)</f>
        <v>0</v>
      </c>
      <c r="N1236" s="21" t="n">
        <v>319.99</v>
      </c>
      <c r="O1236" s="49" t="n">
        <v>6.5</v>
      </c>
      <c r="P1236" s="24" t="n">
        <f aca="false">O1236*'Price Groups'!$B$5</f>
        <v>146.25</v>
      </c>
      <c r="Q1236" s="26" t="n">
        <f aca="false">IF(OR(N1236="",P1236=""),"",(N1236-P1236)/N1236)</f>
        <v>0.542954467327104</v>
      </c>
      <c r="R1236" s="27" t="n">
        <v>1</v>
      </c>
      <c r="S1236" s="28" t="n">
        <f aca="false">IF(R1236="-",0,IFERROR(VLOOKUP(R1236,'Price Groups'!$A$13:$C$17,3,FALSE()),0))</f>
        <v>0.22</v>
      </c>
      <c r="T1236" s="22" t="n">
        <f aca="false">IF(OR(N1236="",R1236="-"),"",CEILING(ROUND(N1236*(1+S1236),2),IF(N1236*(1+S1236)&lt;100,0.5,IF(N1236*(1+S1236)&lt;1000,1,5))))</f>
        <v>391</v>
      </c>
      <c r="U1236" s="26" t="n">
        <f aca="false">IF(OR(T1236="",P1236=""),"",(T1236-P1236)/T1236)</f>
        <v>0.625959079283888</v>
      </c>
      <c r="V1236" s="26" t="n">
        <f aca="false">IF(T1236="",0,T1236/N1236-1)</f>
        <v>0.221913184787025</v>
      </c>
      <c r="W1236" s="19" t="s">
        <v>94</v>
      </c>
    </row>
    <row r="1237" customFormat="false" ht="15" hidden="false" customHeight="false" outlineLevel="0" collapsed="false">
      <c r="A1237" s="38"/>
      <c r="B1237" s="38" t="s">
        <v>1420</v>
      </c>
      <c r="C1237" s="38" t="s">
        <v>57</v>
      </c>
      <c r="D1237" s="38"/>
      <c r="E1237" s="38" t="s">
        <v>58</v>
      </c>
      <c r="F1237" s="39" t="n">
        <v>0</v>
      </c>
      <c r="G1237" s="39" t="n">
        <v>0</v>
      </c>
      <c r="H1237" s="40" t="n">
        <v>0</v>
      </c>
      <c r="I1237" s="40" t="n">
        <v>0</v>
      </c>
      <c r="J1237" s="40" t="n">
        <v>0</v>
      </c>
      <c r="K1237" s="41" t="n">
        <f aca="false">H1237+I1237+J1237</f>
        <v>0</v>
      </c>
      <c r="L1237" s="42" t="n">
        <f aca="false">IF($K$1282=0,0,K1237/$K$1282)</f>
        <v>0</v>
      </c>
      <c r="M1237" s="43" t="n">
        <f aca="false">IF(F1237&lt;=0,0,K1237/F1237)</f>
        <v>0</v>
      </c>
      <c r="N1237" s="40" t="n">
        <v>3000</v>
      </c>
      <c r="O1237" s="50"/>
      <c r="P1237" s="43"/>
      <c r="Q1237" s="45" t="str">
        <f aca="false">IF(OR(N1237="",P1237=""),"",(N1237-P1237)/N1237)</f>
        <v/>
      </c>
      <c r="R1237" s="46" t="n">
        <v>2</v>
      </c>
      <c r="S1237" s="47" t="n">
        <f aca="false">IF(R1237="-",0,IFERROR(VLOOKUP(R1237,'Price Groups'!$A$13:$C$17,3,FALSE()),0))</f>
        <v>0.18</v>
      </c>
      <c r="T1237" s="41" t="n">
        <f aca="false">IF(OR(N1237="",R1237="-"),"",CEILING(ROUND(N1237*(1+S1237),2),IF(N1237*(1+S1237)&lt;100,0.5,IF(N1237*(1+S1237)&lt;1000,1,5))))</f>
        <v>3540</v>
      </c>
      <c r="U1237" s="45" t="str">
        <f aca="false">IF(OR(T1237="",P1237=""),"",(T1237-P1237)/T1237)</f>
        <v/>
      </c>
      <c r="V1237" s="45" t="n">
        <f aca="false">IF(T1237="",0,T1237/N1237-1)</f>
        <v>0.18</v>
      </c>
      <c r="W1237" s="38" t="s">
        <v>129</v>
      </c>
    </row>
    <row r="1238" customFormat="false" ht="15" hidden="false" customHeight="false" outlineLevel="0" collapsed="false">
      <c r="A1238" s="19"/>
      <c r="B1238" s="19" t="s">
        <v>1421</v>
      </c>
      <c r="C1238" s="19" t="s">
        <v>57</v>
      </c>
      <c r="D1238" s="19"/>
      <c r="E1238" s="19" t="s">
        <v>58</v>
      </c>
      <c r="F1238" s="20" t="n">
        <v>0</v>
      </c>
      <c r="G1238" s="20" t="n">
        <v>0</v>
      </c>
      <c r="H1238" s="21" t="n">
        <v>0</v>
      </c>
      <c r="I1238" s="21" t="n">
        <v>0</v>
      </c>
      <c r="J1238" s="21" t="n">
        <v>0</v>
      </c>
      <c r="K1238" s="22" t="n">
        <f aca="false">H1238+I1238+J1238</f>
        <v>0</v>
      </c>
      <c r="L1238" s="23" t="n">
        <f aca="false">IF($K$1282=0,0,K1238/$K$1282)</f>
        <v>0</v>
      </c>
      <c r="M1238" s="24" t="n">
        <f aca="false">IF(F1238&lt;=0,0,K1238/F1238)</f>
        <v>0</v>
      </c>
      <c r="N1238" s="21" t="n">
        <v>570</v>
      </c>
      <c r="O1238" s="49" t="n">
        <v>10</v>
      </c>
      <c r="P1238" s="24" t="n">
        <f aca="false">O1238*'Price Groups'!$B$5</f>
        <v>225</v>
      </c>
      <c r="Q1238" s="26" t="n">
        <f aca="false">IF(OR(N1238="",P1238=""),"",(N1238-P1238)/N1238)</f>
        <v>0.605263157894737</v>
      </c>
      <c r="R1238" s="27" t="n">
        <v>1</v>
      </c>
      <c r="S1238" s="28" t="n">
        <f aca="false">IF(R1238="-",0,IFERROR(VLOOKUP(R1238,'Price Groups'!$A$13:$C$17,3,FALSE()),0))</f>
        <v>0.22</v>
      </c>
      <c r="T1238" s="22" t="n">
        <f aca="false">IF(OR(N1238="",R1238="-"),"",CEILING(ROUND(N1238*(1+S1238),2),IF(N1238*(1+S1238)&lt;100,0.5,IF(N1238*(1+S1238)&lt;1000,1,5))))</f>
        <v>696</v>
      </c>
      <c r="U1238" s="26" t="n">
        <f aca="false">IF(OR(T1238="",P1238=""),"",(T1238-P1238)/T1238)</f>
        <v>0.676724137931035</v>
      </c>
      <c r="V1238" s="26" t="n">
        <f aca="false">IF(T1238="",0,T1238/N1238-1)</f>
        <v>0.221052631578947</v>
      </c>
      <c r="W1238" s="19" t="s">
        <v>94</v>
      </c>
    </row>
    <row r="1239" customFormat="false" ht="15" hidden="false" customHeight="false" outlineLevel="0" collapsed="false">
      <c r="A1239" s="38"/>
      <c r="B1239" s="38" t="s">
        <v>1422</v>
      </c>
      <c r="C1239" s="38" t="s">
        <v>57</v>
      </c>
      <c r="D1239" s="38"/>
      <c r="E1239" s="38" t="s">
        <v>58</v>
      </c>
      <c r="F1239" s="39" t="n">
        <v>0</v>
      </c>
      <c r="G1239" s="39" t="n">
        <v>0</v>
      </c>
      <c r="H1239" s="40" t="n">
        <v>0</v>
      </c>
      <c r="I1239" s="40" t="n">
        <v>0</v>
      </c>
      <c r="J1239" s="40" t="n">
        <v>0</v>
      </c>
      <c r="K1239" s="41" t="n">
        <f aca="false">H1239+I1239+J1239</f>
        <v>0</v>
      </c>
      <c r="L1239" s="42" t="n">
        <f aca="false">IF($K$1282=0,0,K1239/$K$1282)</f>
        <v>0</v>
      </c>
      <c r="M1239" s="43" t="n">
        <f aca="false">IF(F1239&lt;=0,0,K1239/F1239)</f>
        <v>0</v>
      </c>
      <c r="N1239" s="40" t="n">
        <v>1900</v>
      </c>
      <c r="O1239" s="50"/>
      <c r="P1239" s="43"/>
      <c r="Q1239" s="45" t="str">
        <f aca="false">IF(OR(N1239="",P1239=""),"",(N1239-P1239)/N1239)</f>
        <v/>
      </c>
      <c r="R1239" s="46" t="n">
        <v>2</v>
      </c>
      <c r="S1239" s="47" t="n">
        <f aca="false">IF(R1239="-",0,IFERROR(VLOOKUP(R1239,'Price Groups'!$A$13:$C$17,3,FALSE()),0))</f>
        <v>0.18</v>
      </c>
      <c r="T1239" s="41" t="n">
        <f aca="false">IF(OR(N1239="",R1239="-"),"",CEILING(ROUND(N1239*(1+S1239),2),IF(N1239*(1+S1239)&lt;100,0.5,IF(N1239*(1+S1239)&lt;1000,1,5))))</f>
        <v>2245</v>
      </c>
      <c r="U1239" s="45" t="str">
        <f aca="false">IF(OR(T1239="",P1239=""),"",(T1239-P1239)/T1239)</f>
        <v/>
      </c>
      <c r="V1239" s="45" t="n">
        <f aca="false">IF(T1239="",0,T1239/N1239-1)</f>
        <v>0.181578947368421</v>
      </c>
      <c r="W1239" s="38" t="s">
        <v>129</v>
      </c>
    </row>
    <row r="1240" customFormat="false" ht="15" hidden="false" customHeight="false" outlineLevel="0" collapsed="false">
      <c r="A1240" s="19"/>
      <c r="B1240" s="19" t="s">
        <v>1423</v>
      </c>
      <c r="C1240" s="19" t="s">
        <v>57</v>
      </c>
      <c r="D1240" s="19"/>
      <c r="E1240" s="19" t="s">
        <v>58</v>
      </c>
      <c r="F1240" s="20" t="n">
        <v>0</v>
      </c>
      <c r="G1240" s="20" t="n">
        <v>0</v>
      </c>
      <c r="H1240" s="21" t="n">
        <v>0</v>
      </c>
      <c r="I1240" s="21" t="n">
        <v>0</v>
      </c>
      <c r="J1240" s="21" t="n">
        <v>0</v>
      </c>
      <c r="K1240" s="22" t="n">
        <f aca="false">H1240+I1240+J1240</f>
        <v>0</v>
      </c>
      <c r="L1240" s="23" t="n">
        <f aca="false">IF($K$1282=0,0,K1240/$K$1282)</f>
        <v>0</v>
      </c>
      <c r="M1240" s="24" t="n">
        <f aca="false">IF(F1240&lt;=0,0,K1240/F1240)</f>
        <v>0</v>
      </c>
      <c r="N1240" s="21" t="n">
        <v>129.99</v>
      </c>
      <c r="O1240" s="49" t="n">
        <v>4.06</v>
      </c>
      <c r="P1240" s="24" t="n">
        <f aca="false">O1240*'Price Groups'!$B$5</f>
        <v>91.35</v>
      </c>
      <c r="Q1240" s="26" t="n">
        <f aca="false">IF(OR(N1240="",P1240=""),"",(N1240-P1240)/N1240)</f>
        <v>0.297253634894992</v>
      </c>
      <c r="R1240" s="27" t="n">
        <v>1</v>
      </c>
      <c r="S1240" s="28" t="n">
        <f aca="false">IF(R1240="-",0,IFERROR(VLOOKUP(R1240,'Price Groups'!$A$13:$C$17,3,FALSE()),0))</f>
        <v>0.22</v>
      </c>
      <c r="T1240" s="22" t="n">
        <f aca="false">IF(OR(N1240="",R1240="-"),"",CEILING(ROUND(N1240*(1+S1240),2),IF(N1240*(1+S1240)&lt;100,0.5,IF(N1240*(1+S1240)&lt;1000,1,5))))</f>
        <v>159</v>
      </c>
      <c r="U1240" s="26" t="n">
        <f aca="false">IF(OR(T1240="",P1240=""),"",(T1240-P1240)/T1240)</f>
        <v>0.425471698113208</v>
      </c>
      <c r="V1240" s="26" t="n">
        <f aca="false">IF(T1240="",0,T1240/N1240-1)</f>
        <v>0.223171013154858</v>
      </c>
      <c r="W1240" s="19" t="s">
        <v>94</v>
      </c>
    </row>
    <row r="1241" customFormat="false" ht="15" hidden="false" customHeight="false" outlineLevel="0" collapsed="false">
      <c r="A1241" s="38"/>
      <c r="B1241" s="38" t="s">
        <v>1424</v>
      </c>
      <c r="C1241" s="38" t="s">
        <v>57</v>
      </c>
      <c r="D1241" s="38"/>
      <c r="E1241" s="38" t="s">
        <v>58</v>
      </c>
      <c r="F1241" s="39" t="n">
        <v>0</v>
      </c>
      <c r="G1241" s="39" t="n">
        <v>0</v>
      </c>
      <c r="H1241" s="40" t="n">
        <v>0</v>
      </c>
      <c r="I1241" s="40" t="n">
        <v>0</v>
      </c>
      <c r="J1241" s="40" t="n">
        <v>0</v>
      </c>
      <c r="K1241" s="41" t="n">
        <f aca="false">H1241+I1241+J1241</f>
        <v>0</v>
      </c>
      <c r="L1241" s="42" t="n">
        <f aca="false">IF($K$1282=0,0,K1241/$K$1282)</f>
        <v>0</v>
      </c>
      <c r="M1241" s="43" t="n">
        <f aca="false">IF(F1241&lt;=0,0,K1241/F1241)</f>
        <v>0</v>
      </c>
      <c r="N1241" s="40" t="n">
        <v>19.99</v>
      </c>
      <c r="O1241" s="44" t="n">
        <v>0.34</v>
      </c>
      <c r="P1241" s="43" t="n">
        <f aca="false">O1241*'Price Groups'!$B$5</f>
        <v>7.65</v>
      </c>
      <c r="Q1241" s="45" t="n">
        <f aca="false">IF(OR(N1241="",P1241=""),"",(N1241-P1241)/N1241)</f>
        <v>0.617308654327164</v>
      </c>
      <c r="R1241" s="46" t="n">
        <v>1</v>
      </c>
      <c r="S1241" s="47" t="n">
        <f aca="false">IF(R1241="-",0,IFERROR(VLOOKUP(R1241,'Price Groups'!$A$13:$C$17,3,FALSE()),0))</f>
        <v>0.22</v>
      </c>
      <c r="T1241" s="41" t="n">
        <f aca="false">IF(OR(N1241="",R1241="-"),"",CEILING(ROUND(N1241*(1+S1241),2),IF(N1241*(1+S1241)&lt;100,0.5,IF(N1241*(1+S1241)&lt;1000,1,5))))</f>
        <v>24.5</v>
      </c>
      <c r="U1241" s="45" t="n">
        <f aca="false">IF(OR(T1241="",P1241=""),"",(T1241-P1241)/T1241)</f>
        <v>0.687755102040816</v>
      </c>
      <c r="V1241" s="45" t="n">
        <f aca="false">IF(T1241="",0,T1241/N1241-1)</f>
        <v>0.225612806403202</v>
      </c>
      <c r="W1241" s="38" t="s">
        <v>94</v>
      </c>
    </row>
    <row r="1242" customFormat="false" ht="15" hidden="false" customHeight="false" outlineLevel="0" collapsed="false">
      <c r="A1242" s="19"/>
      <c r="B1242" s="19" t="s">
        <v>1425</v>
      </c>
      <c r="C1242" s="19" t="s">
        <v>57</v>
      </c>
      <c r="D1242" s="19"/>
      <c r="E1242" s="19" t="s">
        <v>58</v>
      </c>
      <c r="F1242" s="20" t="n">
        <v>0</v>
      </c>
      <c r="G1242" s="20" t="n">
        <v>0</v>
      </c>
      <c r="H1242" s="21" t="n">
        <v>0</v>
      </c>
      <c r="I1242" s="21" t="n">
        <v>0</v>
      </c>
      <c r="J1242" s="21" t="n">
        <v>0</v>
      </c>
      <c r="K1242" s="22" t="n">
        <f aca="false">H1242+I1242+J1242</f>
        <v>0</v>
      </c>
      <c r="L1242" s="23" t="n">
        <f aca="false">IF($K$1282=0,0,K1242/$K$1282)</f>
        <v>0</v>
      </c>
      <c r="M1242" s="24" t="n">
        <f aca="false">IF(F1242&lt;=0,0,K1242/F1242)</f>
        <v>0</v>
      </c>
      <c r="N1242" s="21" t="n">
        <v>99.99</v>
      </c>
      <c r="O1242" s="49" t="n">
        <v>2.36</v>
      </c>
      <c r="P1242" s="24" t="n">
        <f aca="false">O1242*'Price Groups'!$B$5</f>
        <v>53.1</v>
      </c>
      <c r="Q1242" s="26" t="n">
        <f aca="false">IF(OR(N1242="",P1242=""),"",(N1242-P1242)/N1242)</f>
        <v>0.468946894689469</v>
      </c>
      <c r="R1242" s="27" t="n">
        <v>1</v>
      </c>
      <c r="S1242" s="28" t="n">
        <f aca="false">IF(R1242="-",0,IFERROR(VLOOKUP(R1242,'Price Groups'!$A$13:$C$17,3,FALSE()),0))</f>
        <v>0.22</v>
      </c>
      <c r="T1242" s="22" t="n">
        <f aca="false">IF(OR(N1242="",R1242="-"),"",CEILING(ROUND(N1242*(1+S1242),2),IF(N1242*(1+S1242)&lt;100,0.5,IF(N1242*(1+S1242)&lt;1000,1,5))))</f>
        <v>122</v>
      </c>
      <c r="U1242" s="26" t="n">
        <f aca="false">IF(OR(T1242="",P1242=""),"",(T1242-P1242)/T1242)</f>
        <v>0.564754098360656</v>
      </c>
      <c r="V1242" s="26" t="n">
        <f aca="false">IF(T1242="",0,T1242/N1242-1)</f>
        <v>0.22012201220122</v>
      </c>
      <c r="W1242" s="19" t="s">
        <v>94</v>
      </c>
    </row>
    <row r="1243" customFormat="false" ht="15" hidden="false" customHeight="false" outlineLevel="0" collapsed="false">
      <c r="A1243" s="38"/>
      <c r="B1243" s="38" t="s">
        <v>1426</v>
      </c>
      <c r="C1243" s="38" t="s">
        <v>57</v>
      </c>
      <c r="D1243" s="38"/>
      <c r="E1243" s="38" t="s">
        <v>58</v>
      </c>
      <c r="F1243" s="39" t="n">
        <v>0</v>
      </c>
      <c r="G1243" s="39" t="n">
        <v>0</v>
      </c>
      <c r="H1243" s="40" t="n">
        <v>0</v>
      </c>
      <c r="I1243" s="40" t="n">
        <v>0</v>
      </c>
      <c r="J1243" s="40" t="n">
        <v>0</v>
      </c>
      <c r="K1243" s="41" t="n">
        <f aca="false">H1243+I1243+J1243</f>
        <v>0</v>
      </c>
      <c r="L1243" s="42" t="n">
        <f aca="false">IF($K$1282=0,0,K1243/$K$1282)</f>
        <v>0</v>
      </c>
      <c r="M1243" s="43" t="n">
        <f aca="false">IF(F1243&lt;=0,0,K1243/F1243)</f>
        <v>0</v>
      </c>
      <c r="N1243" s="40" t="n">
        <v>141.74</v>
      </c>
      <c r="O1243" s="44" t="n">
        <v>5</v>
      </c>
      <c r="P1243" s="43" t="n">
        <f aca="false">O1243*'Price Groups'!$B$5</f>
        <v>112.5</v>
      </c>
      <c r="Q1243" s="45" t="n">
        <f aca="false">IF(OR(N1243="",P1243=""),"",(N1243-P1243)/N1243)</f>
        <v>0.206293212925074</v>
      </c>
      <c r="R1243" s="46" t="n">
        <v>1</v>
      </c>
      <c r="S1243" s="47" t="n">
        <f aca="false">IF(R1243="-",0,IFERROR(VLOOKUP(R1243,'Price Groups'!$A$13:$C$17,3,FALSE()),0))</f>
        <v>0.22</v>
      </c>
      <c r="T1243" s="41" t="n">
        <f aca="false">IF(OR(N1243="",R1243="-"),"",CEILING(ROUND(N1243*(1+S1243),2),IF(N1243*(1+S1243)&lt;100,0.5,IF(N1243*(1+S1243)&lt;1000,1,5))))</f>
        <v>173</v>
      </c>
      <c r="U1243" s="45" t="n">
        <f aca="false">IF(OR(T1243="",P1243=""),"",(T1243-P1243)/T1243)</f>
        <v>0.34971098265896</v>
      </c>
      <c r="V1243" s="45" t="n">
        <f aca="false">IF(T1243="",0,T1243/N1243-1)</f>
        <v>0.220544659235219</v>
      </c>
      <c r="W1243" s="38" t="s">
        <v>333</v>
      </c>
    </row>
    <row r="1244" customFormat="false" ht="15" hidden="false" customHeight="false" outlineLevel="0" collapsed="false">
      <c r="A1244" s="19"/>
      <c r="B1244" s="19" t="s">
        <v>1427</v>
      </c>
      <c r="C1244" s="19" t="s">
        <v>57</v>
      </c>
      <c r="D1244" s="19" t="s">
        <v>1428</v>
      </c>
      <c r="E1244" s="19" t="s">
        <v>58</v>
      </c>
      <c r="F1244" s="20" t="n">
        <v>0</v>
      </c>
      <c r="G1244" s="20" t="n">
        <v>0</v>
      </c>
      <c r="H1244" s="21" t="n">
        <v>0</v>
      </c>
      <c r="I1244" s="21" t="n">
        <v>0</v>
      </c>
      <c r="J1244" s="21" t="n">
        <v>0</v>
      </c>
      <c r="K1244" s="22" t="n">
        <f aca="false">H1244+I1244+J1244</f>
        <v>0</v>
      </c>
      <c r="L1244" s="23" t="n">
        <f aca="false">IF($K$1282=0,0,K1244/$K$1282)</f>
        <v>0</v>
      </c>
      <c r="M1244" s="24" t="n">
        <f aca="false">IF(F1244&lt;=0,0,K1244/F1244)</f>
        <v>0</v>
      </c>
      <c r="N1244" s="21" t="n">
        <v>39</v>
      </c>
      <c r="O1244" s="49" t="n">
        <v>0.8</v>
      </c>
      <c r="P1244" s="24" t="n">
        <f aca="false">O1244*'Price Groups'!$B$5</f>
        <v>18</v>
      </c>
      <c r="Q1244" s="26" t="n">
        <f aca="false">IF(OR(N1244="",P1244=""),"",(N1244-P1244)/N1244)</f>
        <v>0.538461538461538</v>
      </c>
      <c r="R1244" s="27" t="n">
        <v>1</v>
      </c>
      <c r="S1244" s="28" t="n">
        <f aca="false">IF(R1244="-",0,IFERROR(VLOOKUP(R1244,'Price Groups'!$A$13:$C$17,3,FALSE()),0))</f>
        <v>0.22</v>
      </c>
      <c r="T1244" s="22" t="n">
        <f aca="false">IF(OR(N1244="",R1244="-"),"",CEILING(ROUND(N1244*(1+S1244),2),IF(N1244*(1+S1244)&lt;100,0.5,IF(N1244*(1+S1244)&lt;1000,1,5))))</f>
        <v>48</v>
      </c>
      <c r="U1244" s="26" t="n">
        <f aca="false">IF(OR(T1244="",P1244=""),"",(T1244-P1244)/T1244)</f>
        <v>0.625</v>
      </c>
      <c r="V1244" s="26" t="n">
        <f aca="false">IF(T1244="",0,T1244/N1244-1)</f>
        <v>0.230769230769231</v>
      </c>
      <c r="W1244" s="19" t="s">
        <v>94</v>
      </c>
    </row>
    <row r="1245" customFormat="false" ht="15" hidden="false" customHeight="false" outlineLevel="0" collapsed="false">
      <c r="A1245" s="38"/>
      <c r="B1245" s="38" t="s">
        <v>1428</v>
      </c>
      <c r="C1245" s="38" t="s">
        <v>307</v>
      </c>
      <c r="D1245" s="38" t="s">
        <v>1427</v>
      </c>
      <c r="E1245" s="38" t="s">
        <v>58</v>
      </c>
      <c r="F1245" s="39" t="n">
        <v>0</v>
      </c>
      <c r="G1245" s="39" t="n">
        <v>0</v>
      </c>
      <c r="H1245" s="40" t="n">
        <v>0</v>
      </c>
      <c r="I1245" s="40" t="n">
        <v>0</v>
      </c>
      <c r="J1245" s="40" t="n">
        <v>0</v>
      </c>
      <c r="K1245" s="41" t="n">
        <f aca="false">H1245+I1245+J1245</f>
        <v>0</v>
      </c>
      <c r="L1245" s="42" t="n">
        <f aca="false">IF($K$1282=0,0,K1245/$K$1282)</f>
        <v>0</v>
      </c>
      <c r="M1245" s="43" t="n">
        <f aca="false">IF(F1245&lt;=0,0,K1245/F1245)</f>
        <v>0</v>
      </c>
      <c r="N1245" s="40" t="n">
        <v>1330</v>
      </c>
      <c r="O1245" s="44" t="n">
        <v>30.96</v>
      </c>
      <c r="P1245" s="43" t="n">
        <f aca="false">O1245*'Price Groups'!$B$5</f>
        <v>696.6</v>
      </c>
      <c r="Q1245" s="45" t="n">
        <f aca="false">IF(OR(N1245="",P1245=""),"",(N1245-P1245)/N1245)</f>
        <v>0.476240601503759</v>
      </c>
      <c r="R1245" s="46" t="n">
        <v>1</v>
      </c>
      <c r="S1245" s="47" t="n">
        <f aca="false">IF(R1245="-",0,IFERROR(VLOOKUP(R1245,'Price Groups'!$A$13:$C$17,3,FALSE()),0))</f>
        <v>0.22</v>
      </c>
      <c r="T1245" s="41" t="n">
        <f aca="false">IF(OR(N1245="",R1245="-"),"",CEILING(ROUND(N1245*(1+S1245),2),IF(N1245*(1+S1245)&lt;100,0.5,IF(N1245*(1+S1245)&lt;1000,1,5))))</f>
        <v>1625</v>
      </c>
      <c r="U1245" s="45" t="n">
        <f aca="false">IF(OR(T1245="",P1245=""),"",(T1245-P1245)/T1245)</f>
        <v>0.571323076923077</v>
      </c>
      <c r="V1245" s="45" t="n">
        <f aca="false">IF(T1245="",0,T1245/N1245-1)</f>
        <v>0.221804511278195</v>
      </c>
      <c r="W1245" s="38" t="s">
        <v>1429</v>
      </c>
    </row>
    <row r="1246" customFormat="false" ht="15" hidden="false" customHeight="false" outlineLevel="0" collapsed="false">
      <c r="A1246" s="19"/>
      <c r="B1246" s="19" t="s">
        <v>1430</v>
      </c>
      <c r="C1246" s="19" t="s">
        <v>57</v>
      </c>
      <c r="D1246" s="19"/>
      <c r="E1246" s="19" t="s">
        <v>58</v>
      </c>
      <c r="F1246" s="20" t="n">
        <v>0</v>
      </c>
      <c r="G1246" s="20" t="n">
        <v>0</v>
      </c>
      <c r="H1246" s="21" t="n">
        <v>0</v>
      </c>
      <c r="I1246" s="21" t="n">
        <v>0</v>
      </c>
      <c r="J1246" s="21" t="n">
        <v>0</v>
      </c>
      <c r="K1246" s="22" t="n">
        <f aca="false">H1246+I1246+J1246</f>
        <v>0</v>
      </c>
      <c r="L1246" s="23" t="n">
        <f aca="false">IF($K$1282=0,0,K1246/$K$1282)</f>
        <v>0</v>
      </c>
      <c r="M1246" s="24" t="n">
        <f aca="false">IF(F1246&lt;=0,0,K1246/F1246)</f>
        <v>0</v>
      </c>
      <c r="N1246" s="21" t="n">
        <v>18.58</v>
      </c>
      <c r="O1246" s="25"/>
      <c r="P1246" s="24"/>
      <c r="Q1246" s="26" t="str">
        <f aca="false">IF(OR(N1246="",P1246=""),"",(N1246-P1246)/N1246)</f>
        <v/>
      </c>
      <c r="R1246" s="27" t="n">
        <v>2</v>
      </c>
      <c r="S1246" s="28" t="n">
        <f aca="false">IF(R1246="-",0,IFERROR(VLOOKUP(R1246,'Price Groups'!$A$13:$C$17,3,FALSE()),0))</f>
        <v>0.18</v>
      </c>
      <c r="T1246" s="22" t="n">
        <f aca="false">IF(OR(N1246="",R1246="-"),"",CEILING(ROUND(N1246*(1+S1246),2),IF(N1246*(1+S1246)&lt;100,0.5,IF(N1246*(1+S1246)&lt;1000,1,5))))</f>
        <v>22</v>
      </c>
      <c r="U1246" s="26" t="str">
        <f aca="false">IF(OR(T1246="",P1246=""),"",(T1246-P1246)/T1246)</f>
        <v/>
      </c>
      <c r="V1246" s="26" t="n">
        <f aca="false">IF(T1246="",0,T1246/N1246-1)</f>
        <v>0.184068891280947</v>
      </c>
      <c r="W1246" s="19" t="s">
        <v>129</v>
      </c>
    </row>
    <row r="1247" customFormat="false" ht="15" hidden="false" customHeight="false" outlineLevel="0" collapsed="false">
      <c r="A1247" s="38"/>
      <c r="B1247" s="38" t="s">
        <v>1431</v>
      </c>
      <c r="C1247" s="38" t="s">
        <v>57</v>
      </c>
      <c r="D1247" s="38"/>
      <c r="E1247" s="38" t="s">
        <v>58</v>
      </c>
      <c r="F1247" s="39" t="n">
        <v>0</v>
      </c>
      <c r="G1247" s="39" t="n">
        <v>0</v>
      </c>
      <c r="H1247" s="40" t="n">
        <v>0</v>
      </c>
      <c r="I1247" s="40" t="n">
        <v>0</v>
      </c>
      <c r="J1247" s="40" t="n">
        <v>0</v>
      </c>
      <c r="K1247" s="41" t="n">
        <f aca="false">H1247+I1247+J1247</f>
        <v>0</v>
      </c>
      <c r="L1247" s="42" t="n">
        <f aca="false">IF($K$1282=0,0,K1247/$K$1282)</f>
        <v>0</v>
      </c>
      <c r="M1247" s="43" t="n">
        <f aca="false">IF(F1247&lt;=0,0,K1247/F1247)</f>
        <v>0</v>
      </c>
      <c r="N1247" s="40" t="n">
        <v>9.99</v>
      </c>
      <c r="O1247" s="44" t="n">
        <v>0.31</v>
      </c>
      <c r="P1247" s="43" t="n">
        <f aca="false">O1247*'Price Groups'!$B$5</f>
        <v>6.975</v>
      </c>
      <c r="Q1247" s="45" t="n">
        <f aca="false">IF(OR(N1247="",P1247=""),"",(N1247-P1247)/N1247)</f>
        <v>0.301801801801802</v>
      </c>
      <c r="R1247" s="46" t="n">
        <v>1</v>
      </c>
      <c r="S1247" s="47" t="n">
        <f aca="false">IF(R1247="-",0,IFERROR(VLOOKUP(R1247,'Price Groups'!$A$13:$C$17,3,FALSE()),0))</f>
        <v>0.22</v>
      </c>
      <c r="T1247" s="41" t="n">
        <f aca="false">IF(OR(N1247="",R1247="-"),"",CEILING(ROUND(N1247*(1+S1247),2),IF(N1247*(1+S1247)&lt;100,0.5,IF(N1247*(1+S1247)&lt;1000,1,5))))</f>
        <v>12.5</v>
      </c>
      <c r="U1247" s="45" t="n">
        <f aca="false">IF(OR(T1247="",P1247=""),"",(T1247-P1247)/T1247)</f>
        <v>0.442</v>
      </c>
      <c r="V1247" s="45" t="n">
        <f aca="false">IF(T1247="",0,T1247/N1247-1)</f>
        <v>0.251251251251251</v>
      </c>
      <c r="W1247" s="38" t="s">
        <v>94</v>
      </c>
    </row>
    <row r="1248" customFormat="false" ht="15" hidden="false" customHeight="false" outlineLevel="0" collapsed="false">
      <c r="A1248" s="19"/>
      <c r="B1248" s="19" t="s">
        <v>1432</v>
      </c>
      <c r="C1248" s="19" t="s">
        <v>57</v>
      </c>
      <c r="D1248" s="19"/>
      <c r="E1248" s="19" t="s">
        <v>58</v>
      </c>
      <c r="F1248" s="20" t="n">
        <v>0</v>
      </c>
      <c r="G1248" s="20" t="n">
        <v>0</v>
      </c>
      <c r="H1248" s="21" t="n">
        <v>0</v>
      </c>
      <c r="I1248" s="21" t="n">
        <v>0</v>
      </c>
      <c r="J1248" s="21" t="n">
        <v>0</v>
      </c>
      <c r="K1248" s="22" t="n">
        <f aca="false">H1248+I1248+J1248</f>
        <v>0</v>
      </c>
      <c r="L1248" s="23" t="n">
        <f aca="false">IF($K$1282=0,0,K1248/$K$1282)</f>
        <v>0</v>
      </c>
      <c r="M1248" s="24" t="n">
        <f aca="false">IF(F1248&lt;=0,0,K1248/F1248)</f>
        <v>0</v>
      </c>
      <c r="N1248" s="21" t="n">
        <v>249.99</v>
      </c>
      <c r="O1248" s="49" t="n">
        <v>1.91</v>
      </c>
      <c r="P1248" s="24" t="n">
        <f aca="false">O1248*'Price Groups'!$B$5</f>
        <v>42.975</v>
      </c>
      <c r="Q1248" s="26" t="n">
        <f aca="false">IF(OR(N1248="",P1248=""),"",(N1248-P1248)/N1248)</f>
        <v>0.828093123724949</v>
      </c>
      <c r="R1248" s="27" t="n">
        <v>1</v>
      </c>
      <c r="S1248" s="28" t="n">
        <f aca="false">IF(R1248="-",0,IFERROR(VLOOKUP(R1248,'Price Groups'!$A$13:$C$17,3,FALSE()),0))</f>
        <v>0.22</v>
      </c>
      <c r="T1248" s="22" t="n">
        <f aca="false">IF(OR(N1248="",R1248="-"),"",CEILING(ROUND(N1248*(1+S1248),2),IF(N1248*(1+S1248)&lt;100,0.5,IF(N1248*(1+S1248)&lt;1000,1,5))))</f>
        <v>305</v>
      </c>
      <c r="U1248" s="26" t="n">
        <f aca="false">IF(OR(T1248="",P1248=""),"",(T1248-P1248)/T1248)</f>
        <v>0.859098360655738</v>
      </c>
      <c r="V1248" s="26" t="n">
        <f aca="false">IF(T1248="",0,T1248/N1248-1)</f>
        <v>0.220048801952078</v>
      </c>
      <c r="W1248" s="19" t="s">
        <v>94</v>
      </c>
    </row>
    <row r="1249" customFormat="false" ht="15" hidden="false" customHeight="false" outlineLevel="0" collapsed="false">
      <c r="A1249" s="38"/>
      <c r="B1249" s="38" t="s">
        <v>266</v>
      </c>
      <c r="C1249" s="38" t="s">
        <v>307</v>
      </c>
      <c r="D1249" s="38" t="s">
        <v>265</v>
      </c>
      <c r="E1249" s="38" t="s">
        <v>58</v>
      </c>
      <c r="F1249" s="39" t="n">
        <v>0</v>
      </c>
      <c r="G1249" s="39" t="n">
        <v>0</v>
      </c>
      <c r="H1249" s="40" t="n">
        <v>0</v>
      </c>
      <c r="I1249" s="40" t="n">
        <v>0</v>
      </c>
      <c r="J1249" s="40" t="n">
        <v>0</v>
      </c>
      <c r="K1249" s="41" t="n">
        <f aca="false">H1249+I1249+J1249</f>
        <v>0</v>
      </c>
      <c r="L1249" s="42" t="n">
        <f aca="false">IF($K$1282=0,0,K1249/$K$1282)</f>
        <v>0</v>
      </c>
      <c r="M1249" s="43" t="n">
        <f aca="false">IF(F1249&lt;=0,0,K1249/F1249)</f>
        <v>0</v>
      </c>
      <c r="N1249" s="40" t="n">
        <v>1200</v>
      </c>
      <c r="O1249" s="44" t="n">
        <v>40.2</v>
      </c>
      <c r="P1249" s="43" t="n">
        <f aca="false">O1249*'Price Groups'!$B$5</f>
        <v>904.5</v>
      </c>
      <c r="Q1249" s="45" t="n">
        <f aca="false">IF(OR(N1249="",P1249=""),"",(N1249-P1249)/N1249)</f>
        <v>0.24625</v>
      </c>
      <c r="R1249" s="46" t="n">
        <v>1</v>
      </c>
      <c r="S1249" s="47" t="n">
        <f aca="false">IF(R1249="-",0,IFERROR(VLOOKUP(R1249,'Price Groups'!$A$13:$C$17,3,FALSE()),0))</f>
        <v>0.22</v>
      </c>
      <c r="T1249" s="41" t="n">
        <f aca="false">IF(OR(N1249="",R1249="-"),"",CEILING(ROUND(N1249*(1+S1249),2),IF(N1249*(1+S1249)&lt;100,0.5,IF(N1249*(1+S1249)&lt;1000,1,5))))</f>
        <v>1465</v>
      </c>
      <c r="U1249" s="45" t="n">
        <f aca="false">IF(OR(T1249="",P1249=""),"",(T1249-P1249)/T1249)</f>
        <v>0.38259385665529</v>
      </c>
      <c r="V1249" s="45" t="n">
        <f aca="false">IF(T1249="",0,T1249/N1249-1)</f>
        <v>0.220833333333333</v>
      </c>
      <c r="W1249" s="38" t="s">
        <v>1433</v>
      </c>
    </row>
    <row r="1250" customFormat="false" ht="15" hidden="false" customHeight="false" outlineLevel="0" collapsed="false">
      <c r="A1250" s="19"/>
      <c r="B1250" s="19" t="s">
        <v>1434</v>
      </c>
      <c r="C1250" s="19" t="s">
        <v>57</v>
      </c>
      <c r="D1250" s="19"/>
      <c r="E1250" s="19" t="s">
        <v>58</v>
      </c>
      <c r="F1250" s="20" t="n">
        <v>0</v>
      </c>
      <c r="G1250" s="20" t="n">
        <v>0</v>
      </c>
      <c r="H1250" s="21" t="n">
        <v>0</v>
      </c>
      <c r="I1250" s="21" t="n">
        <v>0</v>
      </c>
      <c r="J1250" s="21" t="n">
        <v>0</v>
      </c>
      <c r="K1250" s="22" t="n">
        <f aca="false">H1250+I1250+J1250</f>
        <v>0</v>
      </c>
      <c r="L1250" s="23" t="n">
        <f aca="false">IF($K$1282=0,0,K1250/$K$1282)</f>
        <v>0</v>
      </c>
      <c r="M1250" s="24" t="n">
        <f aca="false">IF(F1250&lt;=0,0,K1250/F1250)</f>
        <v>0</v>
      </c>
      <c r="N1250" s="21" t="n">
        <v>219.99</v>
      </c>
      <c r="O1250" s="49" t="n">
        <v>4.86</v>
      </c>
      <c r="P1250" s="24" t="n">
        <f aca="false">O1250*'Price Groups'!$B$5</f>
        <v>109.35</v>
      </c>
      <c r="Q1250" s="26" t="n">
        <f aca="false">IF(OR(N1250="",P1250=""),"",(N1250-P1250)/N1250)</f>
        <v>0.502931951452339</v>
      </c>
      <c r="R1250" s="27" t="n">
        <v>1</v>
      </c>
      <c r="S1250" s="28" t="n">
        <f aca="false">IF(R1250="-",0,IFERROR(VLOOKUP(R1250,'Price Groups'!$A$13:$C$17,3,FALSE()),0))</f>
        <v>0.22</v>
      </c>
      <c r="T1250" s="22" t="n">
        <f aca="false">IF(OR(N1250="",R1250="-"),"",CEILING(ROUND(N1250*(1+S1250),2),IF(N1250*(1+S1250)&lt;100,0.5,IF(N1250*(1+S1250)&lt;1000,1,5))))</f>
        <v>269</v>
      </c>
      <c r="U1250" s="26" t="n">
        <f aca="false">IF(OR(T1250="",P1250=""),"",(T1250-P1250)/T1250)</f>
        <v>0.593494423791822</v>
      </c>
      <c r="V1250" s="26" t="n">
        <f aca="false">IF(T1250="",0,T1250/N1250-1)</f>
        <v>0.22278285376608</v>
      </c>
      <c r="W1250" s="19" t="s">
        <v>94</v>
      </c>
    </row>
    <row r="1251" customFormat="false" ht="15" hidden="false" customHeight="false" outlineLevel="0" collapsed="false">
      <c r="A1251" s="38"/>
      <c r="B1251" s="38" t="s">
        <v>1435</v>
      </c>
      <c r="C1251" s="38" t="s">
        <v>57</v>
      </c>
      <c r="D1251" s="38"/>
      <c r="E1251" s="38" t="s">
        <v>58</v>
      </c>
      <c r="F1251" s="39" t="n">
        <v>0</v>
      </c>
      <c r="G1251" s="39" t="n">
        <v>0</v>
      </c>
      <c r="H1251" s="40" t="n">
        <v>0</v>
      </c>
      <c r="I1251" s="40" t="n">
        <v>0</v>
      </c>
      <c r="J1251" s="40" t="n">
        <v>0</v>
      </c>
      <c r="K1251" s="41" t="n">
        <f aca="false">H1251+I1251+J1251</f>
        <v>0</v>
      </c>
      <c r="L1251" s="42" t="n">
        <f aca="false">IF($K$1282=0,0,K1251/$K$1282)</f>
        <v>0</v>
      </c>
      <c r="M1251" s="43" t="n">
        <f aca="false">IF(F1251&lt;=0,0,K1251/F1251)</f>
        <v>0</v>
      </c>
      <c r="N1251" s="40" t="n">
        <v>219.99</v>
      </c>
      <c r="O1251" s="44" t="n">
        <v>4.86</v>
      </c>
      <c r="P1251" s="43" t="n">
        <f aca="false">O1251*'Price Groups'!$B$5</f>
        <v>109.35</v>
      </c>
      <c r="Q1251" s="45" t="n">
        <f aca="false">IF(OR(N1251="",P1251=""),"",(N1251-P1251)/N1251)</f>
        <v>0.502931951452339</v>
      </c>
      <c r="R1251" s="46" t="n">
        <v>1</v>
      </c>
      <c r="S1251" s="47" t="n">
        <f aca="false">IF(R1251="-",0,IFERROR(VLOOKUP(R1251,'Price Groups'!$A$13:$C$17,3,FALSE()),0))</f>
        <v>0.22</v>
      </c>
      <c r="T1251" s="41" t="n">
        <f aca="false">IF(OR(N1251="",R1251="-"),"",CEILING(ROUND(N1251*(1+S1251),2),IF(N1251*(1+S1251)&lt;100,0.5,IF(N1251*(1+S1251)&lt;1000,1,5))))</f>
        <v>269</v>
      </c>
      <c r="U1251" s="45" t="n">
        <f aca="false">IF(OR(T1251="",P1251=""),"",(T1251-P1251)/T1251)</f>
        <v>0.593494423791822</v>
      </c>
      <c r="V1251" s="45" t="n">
        <f aca="false">IF(T1251="",0,T1251/N1251-1)</f>
        <v>0.22278285376608</v>
      </c>
      <c r="W1251" s="38" t="s">
        <v>94</v>
      </c>
    </row>
    <row r="1252" customFormat="false" ht="15" hidden="false" customHeight="false" outlineLevel="0" collapsed="false">
      <c r="A1252" s="19"/>
      <c r="B1252" s="19" t="s">
        <v>1436</v>
      </c>
      <c r="C1252" s="19" t="s">
        <v>57</v>
      </c>
      <c r="D1252" s="19"/>
      <c r="E1252" s="19" t="s">
        <v>58</v>
      </c>
      <c r="F1252" s="20" t="n">
        <v>0</v>
      </c>
      <c r="G1252" s="20" t="n">
        <v>0</v>
      </c>
      <c r="H1252" s="21" t="n">
        <v>0</v>
      </c>
      <c r="I1252" s="21" t="n">
        <v>0</v>
      </c>
      <c r="J1252" s="21" t="n">
        <v>0</v>
      </c>
      <c r="K1252" s="22" t="n">
        <f aca="false">H1252+I1252+J1252</f>
        <v>0</v>
      </c>
      <c r="L1252" s="23" t="n">
        <f aca="false">IF($K$1282=0,0,K1252/$K$1282)</f>
        <v>0</v>
      </c>
      <c r="M1252" s="24" t="n">
        <f aca="false">IF(F1252&lt;=0,0,K1252/F1252)</f>
        <v>0</v>
      </c>
      <c r="N1252" s="21" t="n">
        <v>62.08</v>
      </c>
      <c r="O1252" s="49" t="n">
        <v>2.19</v>
      </c>
      <c r="P1252" s="24" t="n">
        <f aca="false">O1252*'Price Groups'!$B$5</f>
        <v>49.275</v>
      </c>
      <c r="Q1252" s="26" t="n">
        <f aca="false">IF(OR(N1252="",P1252=""),"",(N1252-P1252)/N1252)</f>
        <v>0.206266108247423</v>
      </c>
      <c r="R1252" s="27" t="n">
        <v>1</v>
      </c>
      <c r="S1252" s="28" t="n">
        <f aca="false">IF(R1252="-",0,IFERROR(VLOOKUP(R1252,'Price Groups'!$A$13:$C$17,3,FALSE()),0))</f>
        <v>0.22</v>
      </c>
      <c r="T1252" s="22" t="n">
        <f aca="false">IF(OR(N1252="",R1252="-"),"",CEILING(ROUND(N1252*(1+S1252),2),IF(N1252*(1+S1252)&lt;100,0.5,IF(N1252*(1+S1252)&lt;1000,1,5))))</f>
        <v>76</v>
      </c>
      <c r="U1252" s="26" t="n">
        <f aca="false">IF(OR(T1252="",P1252=""),"",(T1252-P1252)/T1252)</f>
        <v>0.351644736842105</v>
      </c>
      <c r="V1252" s="26" t="n">
        <f aca="false">IF(T1252="",0,T1252/N1252-1)</f>
        <v>0.224226804123711</v>
      </c>
      <c r="W1252" s="19" t="s">
        <v>333</v>
      </c>
    </row>
    <row r="1253" customFormat="false" ht="15" hidden="false" customHeight="false" outlineLevel="0" collapsed="false">
      <c r="A1253" s="38"/>
      <c r="B1253" s="38" t="s">
        <v>1437</v>
      </c>
      <c r="C1253" s="38" t="s">
        <v>57</v>
      </c>
      <c r="D1253" s="38"/>
      <c r="E1253" s="38" t="s">
        <v>58</v>
      </c>
      <c r="F1253" s="39" t="n">
        <v>0</v>
      </c>
      <c r="G1253" s="39" t="n">
        <v>0</v>
      </c>
      <c r="H1253" s="40" t="n">
        <v>0</v>
      </c>
      <c r="I1253" s="40" t="n">
        <v>0</v>
      </c>
      <c r="J1253" s="40" t="n">
        <v>0</v>
      </c>
      <c r="K1253" s="41" t="n">
        <f aca="false">H1253+I1253+J1253</f>
        <v>0</v>
      </c>
      <c r="L1253" s="42" t="n">
        <f aca="false">IF($K$1282=0,0,K1253/$K$1282)</f>
        <v>0</v>
      </c>
      <c r="M1253" s="43" t="n">
        <f aca="false">IF(F1253&lt;=0,0,K1253/F1253)</f>
        <v>0</v>
      </c>
      <c r="N1253" s="40" t="n">
        <v>85.41</v>
      </c>
      <c r="O1253" s="44" t="n">
        <v>3.3</v>
      </c>
      <c r="P1253" s="43" t="n">
        <f aca="false">O1253*'Price Groups'!$B$5</f>
        <v>74.25</v>
      </c>
      <c r="Q1253" s="45" t="n">
        <f aca="false">IF(OR(N1253="",P1253=""),"",(N1253-P1253)/N1253)</f>
        <v>0.130663856691254</v>
      </c>
      <c r="R1253" s="46" t="n">
        <v>1</v>
      </c>
      <c r="S1253" s="47" t="n">
        <f aca="false">IF(R1253="-",0,IFERROR(VLOOKUP(R1253,'Price Groups'!$A$13:$C$17,3,FALSE()),0))</f>
        <v>0.22</v>
      </c>
      <c r="T1253" s="41" t="n">
        <f aca="false">IF(OR(N1253="",R1253="-"),"",CEILING(ROUND(N1253*(1+S1253),2),IF(N1253*(1+S1253)&lt;100,0.5,IF(N1253*(1+S1253)&lt;1000,1,5))))</f>
        <v>105</v>
      </c>
      <c r="U1253" s="45" t="n">
        <f aca="false">IF(OR(T1253="",P1253=""),"",(T1253-P1253)/T1253)</f>
        <v>0.292857142857143</v>
      </c>
      <c r="V1253" s="45" t="n">
        <f aca="false">IF(T1253="",0,T1253/N1253-1)</f>
        <v>0.229364243062873</v>
      </c>
      <c r="W1253" s="38" t="s">
        <v>476</v>
      </c>
    </row>
    <row r="1254" customFormat="false" ht="15" hidden="false" customHeight="false" outlineLevel="0" collapsed="false">
      <c r="A1254" s="19"/>
      <c r="B1254" s="19" t="s">
        <v>206</v>
      </c>
      <c r="C1254" s="19" t="s">
        <v>307</v>
      </c>
      <c r="D1254" s="19" t="s">
        <v>205</v>
      </c>
      <c r="E1254" s="19" t="s">
        <v>58</v>
      </c>
      <c r="F1254" s="20" t="n">
        <v>0</v>
      </c>
      <c r="G1254" s="20" t="n">
        <v>0</v>
      </c>
      <c r="H1254" s="21" t="n">
        <v>0</v>
      </c>
      <c r="I1254" s="21" t="n">
        <v>0</v>
      </c>
      <c r="J1254" s="21" t="n">
        <v>0</v>
      </c>
      <c r="K1254" s="22" t="n">
        <f aca="false">H1254+I1254+J1254</f>
        <v>0</v>
      </c>
      <c r="L1254" s="23" t="n">
        <f aca="false">IF($K$1282=0,0,K1254/$K$1282)</f>
        <v>0</v>
      </c>
      <c r="M1254" s="24" t="n">
        <f aca="false">IF(F1254&lt;=0,0,K1254/F1254)</f>
        <v>0</v>
      </c>
      <c r="N1254" s="21" t="n">
        <v>900</v>
      </c>
      <c r="O1254" s="49" t="n">
        <v>32</v>
      </c>
      <c r="P1254" s="24" t="n">
        <f aca="false">O1254*'Price Groups'!$B$5</f>
        <v>720</v>
      </c>
      <c r="Q1254" s="26" t="n">
        <f aca="false">IF(OR(N1254="",P1254=""),"",(N1254-P1254)/N1254)</f>
        <v>0.2</v>
      </c>
      <c r="R1254" s="27" t="n">
        <v>1</v>
      </c>
      <c r="S1254" s="28" t="n">
        <f aca="false">IF(R1254="-",0,IFERROR(VLOOKUP(R1254,'Price Groups'!$A$13:$C$17,3,FALSE()),0))</f>
        <v>0.22</v>
      </c>
      <c r="T1254" s="22" t="n">
        <f aca="false">IF(OR(N1254="",R1254="-"),"",CEILING(ROUND(N1254*(1+S1254),2),IF(N1254*(1+S1254)&lt;100,0.5,IF(N1254*(1+S1254)&lt;1000,1,5))))</f>
        <v>1100</v>
      </c>
      <c r="U1254" s="26" t="n">
        <f aca="false">IF(OR(T1254="",P1254=""),"",(T1254-P1254)/T1254)</f>
        <v>0.345454545454545</v>
      </c>
      <c r="V1254" s="26" t="n">
        <f aca="false">IF(T1254="",0,T1254/N1254-1)</f>
        <v>0.222222222222222</v>
      </c>
      <c r="W1254" s="19" t="s">
        <v>1438</v>
      </c>
    </row>
    <row r="1255" customFormat="false" ht="15" hidden="false" customHeight="false" outlineLevel="0" collapsed="false">
      <c r="A1255" s="38"/>
      <c r="B1255" s="38" t="s">
        <v>1439</v>
      </c>
      <c r="C1255" s="38" t="s">
        <v>57</v>
      </c>
      <c r="D1255" s="38"/>
      <c r="E1255" s="38" t="s">
        <v>58</v>
      </c>
      <c r="F1255" s="39" t="n">
        <v>0</v>
      </c>
      <c r="G1255" s="39" t="n">
        <v>0</v>
      </c>
      <c r="H1255" s="40" t="n">
        <v>0</v>
      </c>
      <c r="I1255" s="40" t="n">
        <v>0</v>
      </c>
      <c r="J1255" s="40" t="n">
        <v>0</v>
      </c>
      <c r="K1255" s="41" t="n">
        <f aca="false">H1255+I1255+J1255</f>
        <v>0</v>
      </c>
      <c r="L1255" s="42" t="n">
        <f aca="false">IF($K$1282=0,0,K1255/$K$1282)</f>
        <v>0</v>
      </c>
      <c r="M1255" s="43" t="n">
        <f aca="false">IF(F1255&lt;=0,0,K1255/F1255)</f>
        <v>0</v>
      </c>
      <c r="N1255" s="40" t="n">
        <v>799.99</v>
      </c>
      <c r="O1255" s="44" t="n">
        <v>19.47</v>
      </c>
      <c r="P1255" s="43" t="n">
        <f aca="false">O1255*'Price Groups'!$B$5</f>
        <v>438.075</v>
      </c>
      <c r="Q1255" s="45" t="n">
        <f aca="false">IF(OR(N1255="",P1255=""),"",(N1255-P1255)/N1255)</f>
        <v>0.452399404992562</v>
      </c>
      <c r="R1255" s="46" t="n">
        <v>1</v>
      </c>
      <c r="S1255" s="47" t="n">
        <f aca="false">IF(R1255="-",0,IFERROR(VLOOKUP(R1255,'Price Groups'!$A$13:$C$17,3,FALSE()),0))</f>
        <v>0.22</v>
      </c>
      <c r="T1255" s="41" t="n">
        <f aca="false">IF(OR(N1255="",R1255="-"),"",CEILING(ROUND(N1255*(1+S1255),2),IF(N1255*(1+S1255)&lt;100,0.5,IF(N1255*(1+S1255)&lt;1000,1,5))))</f>
        <v>976</v>
      </c>
      <c r="U1255" s="45" t="n">
        <f aca="false">IF(OR(T1255="",P1255=""),"",(T1255-P1255)/T1255)</f>
        <v>0.551152663934426</v>
      </c>
      <c r="V1255" s="45" t="n">
        <f aca="false">IF(T1255="",0,T1255/N1255-1)</f>
        <v>0.220015250190627</v>
      </c>
      <c r="W1255" s="38" t="s">
        <v>94</v>
      </c>
    </row>
    <row r="1256" customFormat="false" ht="15" hidden="false" customHeight="false" outlineLevel="0" collapsed="false">
      <c r="A1256" s="19"/>
      <c r="B1256" s="19" t="s">
        <v>1440</v>
      </c>
      <c r="C1256" s="19" t="s">
        <v>57</v>
      </c>
      <c r="D1256" s="19"/>
      <c r="E1256" s="19" t="s">
        <v>58</v>
      </c>
      <c r="F1256" s="20" t="n">
        <v>0</v>
      </c>
      <c r="G1256" s="20" t="n">
        <v>0</v>
      </c>
      <c r="H1256" s="21" t="n">
        <v>0</v>
      </c>
      <c r="I1256" s="21" t="n">
        <v>0</v>
      </c>
      <c r="J1256" s="21" t="n">
        <v>0</v>
      </c>
      <c r="K1256" s="22" t="n">
        <f aca="false">H1256+I1256+J1256</f>
        <v>0</v>
      </c>
      <c r="L1256" s="23" t="n">
        <f aca="false">IF($K$1282=0,0,K1256/$K$1282)</f>
        <v>0</v>
      </c>
      <c r="M1256" s="24" t="n">
        <f aca="false">IF(F1256&lt;=0,0,K1256/F1256)</f>
        <v>0</v>
      </c>
      <c r="N1256" s="21" t="n">
        <v>3200</v>
      </c>
      <c r="O1256" s="49" t="n">
        <v>125</v>
      </c>
      <c r="P1256" s="24" t="n">
        <f aca="false">O1256*'Price Groups'!$B$5</f>
        <v>2812.5</v>
      </c>
      <c r="Q1256" s="26" t="n">
        <f aca="false">IF(OR(N1256="",P1256=""),"",(N1256-P1256)/N1256)</f>
        <v>0.12109375</v>
      </c>
      <c r="R1256" s="27" t="n">
        <v>1</v>
      </c>
      <c r="S1256" s="28" t="n">
        <f aca="false">IF(R1256="-",0,IFERROR(VLOOKUP(R1256,'Price Groups'!$A$13:$C$17,3,FALSE()),0))</f>
        <v>0.22</v>
      </c>
      <c r="T1256" s="22" t="n">
        <f aca="false">IF(OR(N1256="",R1256="-"),"",CEILING(ROUND(N1256*(1+S1256),2),IF(N1256*(1+S1256)&lt;100,0.5,IF(N1256*(1+S1256)&lt;1000,1,5))))</f>
        <v>3905</v>
      </c>
      <c r="U1256" s="26" t="n">
        <f aca="false">IF(OR(T1256="",P1256=""),"",(T1256-P1256)/T1256)</f>
        <v>0.2797695262484</v>
      </c>
      <c r="V1256" s="26" t="n">
        <f aca="false">IF(T1256="",0,T1256/N1256-1)</f>
        <v>0.2203125</v>
      </c>
      <c r="W1256" s="19" t="s">
        <v>473</v>
      </c>
    </row>
    <row r="1257" customFormat="false" ht="15" hidden="false" customHeight="false" outlineLevel="0" collapsed="false">
      <c r="A1257" s="38"/>
      <c r="B1257" s="38" t="s">
        <v>1441</v>
      </c>
      <c r="C1257" s="38" t="s">
        <v>57</v>
      </c>
      <c r="D1257" s="38"/>
      <c r="E1257" s="38" t="s">
        <v>58</v>
      </c>
      <c r="F1257" s="39" t="n">
        <v>0</v>
      </c>
      <c r="G1257" s="39" t="n">
        <v>0</v>
      </c>
      <c r="H1257" s="40" t="n">
        <v>0</v>
      </c>
      <c r="I1257" s="40" t="n">
        <v>0</v>
      </c>
      <c r="J1257" s="40" t="n">
        <v>0</v>
      </c>
      <c r="K1257" s="41" t="n">
        <f aca="false">H1257+I1257+J1257</f>
        <v>0</v>
      </c>
      <c r="L1257" s="42" t="n">
        <f aca="false">IF($K$1282=0,0,K1257/$K$1282)</f>
        <v>0</v>
      </c>
      <c r="M1257" s="43" t="n">
        <f aca="false">IF(F1257&lt;=0,0,K1257/F1257)</f>
        <v>0</v>
      </c>
      <c r="N1257" s="40" t="n">
        <v>32</v>
      </c>
      <c r="O1257" s="44" t="n">
        <v>0.79</v>
      </c>
      <c r="P1257" s="43" t="n">
        <f aca="false">O1257*'Price Groups'!$B$5</f>
        <v>17.775</v>
      </c>
      <c r="Q1257" s="45" t="n">
        <f aca="false">IF(OR(N1257="",P1257=""),"",(N1257-P1257)/N1257)</f>
        <v>0.44453125</v>
      </c>
      <c r="R1257" s="46" t="n">
        <v>1</v>
      </c>
      <c r="S1257" s="47" t="n">
        <f aca="false">IF(R1257="-",0,IFERROR(VLOOKUP(R1257,'Price Groups'!$A$13:$C$17,3,FALSE()),0))</f>
        <v>0.22</v>
      </c>
      <c r="T1257" s="41" t="n">
        <f aca="false">IF(OR(N1257="",R1257="-"),"",CEILING(ROUND(N1257*(1+S1257),2),IF(N1257*(1+S1257)&lt;100,0.5,IF(N1257*(1+S1257)&lt;1000,1,5))))</f>
        <v>39.5</v>
      </c>
      <c r="U1257" s="45" t="n">
        <f aca="false">IF(OR(T1257="",P1257=""),"",(T1257-P1257)/T1257)</f>
        <v>0.55</v>
      </c>
      <c r="V1257" s="45" t="n">
        <f aca="false">IF(T1257="",0,T1257/N1257-1)</f>
        <v>0.234375</v>
      </c>
      <c r="W1257" s="38" t="s">
        <v>94</v>
      </c>
    </row>
    <row r="1258" customFormat="false" ht="15" hidden="false" customHeight="false" outlineLevel="0" collapsed="false">
      <c r="A1258" s="19"/>
      <c r="B1258" s="19" t="s">
        <v>1442</v>
      </c>
      <c r="C1258" s="19" t="s">
        <v>57</v>
      </c>
      <c r="D1258" s="19"/>
      <c r="E1258" s="19" t="s">
        <v>58</v>
      </c>
      <c r="F1258" s="20" t="n">
        <v>0</v>
      </c>
      <c r="G1258" s="20" t="n">
        <v>0</v>
      </c>
      <c r="H1258" s="21" t="n">
        <v>0</v>
      </c>
      <c r="I1258" s="21" t="n">
        <v>0</v>
      </c>
      <c r="J1258" s="21" t="n">
        <v>0</v>
      </c>
      <c r="K1258" s="22" t="n">
        <f aca="false">H1258+I1258+J1258</f>
        <v>0</v>
      </c>
      <c r="L1258" s="23" t="n">
        <f aca="false">IF($K$1282=0,0,K1258/$K$1282)</f>
        <v>0</v>
      </c>
      <c r="M1258" s="24" t="n">
        <f aca="false">IF(F1258&lt;=0,0,K1258/F1258)</f>
        <v>0</v>
      </c>
      <c r="N1258" s="21" t="n">
        <v>199.99</v>
      </c>
      <c r="O1258" s="49" t="n">
        <v>5.57</v>
      </c>
      <c r="P1258" s="24" t="n">
        <f aca="false">O1258*'Price Groups'!$B$5</f>
        <v>125.325</v>
      </c>
      <c r="Q1258" s="26" t="n">
        <f aca="false">IF(OR(N1258="",P1258=""),"",(N1258-P1258)/N1258)</f>
        <v>0.373343667183359</v>
      </c>
      <c r="R1258" s="27" t="n">
        <v>1</v>
      </c>
      <c r="S1258" s="28" t="n">
        <f aca="false">IF(R1258="-",0,IFERROR(VLOOKUP(R1258,'Price Groups'!$A$13:$C$17,3,FALSE()),0))</f>
        <v>0.22</v>
      </c>
      <c r="T1258" s="22" t="n">
        <f aca="false">IF(OR(N1258="",R1258="-"),"",CEILING(ROUND(N1258*(1+S1258),2),IF(N1258*(1+S1258)&lt;100,0.5,IF(N1258*(1+S1258)&lt;1000,1,5))))</f>
        <v>244</v>
      </c>
      <c r="U1258" s="26" t="n">
        <f aca="false">IF(OR(T1258="",P1258=""),"",(T1258-P1258)/T1258)</f>
        <v>0.486372950819672</v>
      </c>
      <c r="V1258" s="26" t="n">
        <f aca="false">IF(T1258="",0,T1258/N1258-1)</f>
        <v>0.220061003050152</v>
      </c>
      <c r="W1258" s="19" t="s">
        <v>94</v>
      </c>
    </row>
    <row r="1259" customFormat="false" ht="15" hidden="false" customHeight="false" outlineLevel="0" collapsed="false">
      <c r="A1259" s="38"/>
      <c r="B1259" s="38" t="s">
        <v>1443</v>
      </c>
      <c r="C1259" s="38" t="s">
        <v>57</v>
      </c>
      <c r="D1259" s="38"/>
      <c r="E1259" s="38" t="s">
        <v>58</v>
      </c>
      <c r="F1259" s="39" t="n">
        <v>0</v>
      </c>
      <c r="G1259" s="39" t="n">
        <v>0</v>
      </c>
      <c r="H1259" s="40" t="n">
        <v>0</v>
      </c>
      <c r="I1259" s="40" t="n">
        <v>0</v>
      </c>
      <c r="J1259" s="40" t="n">
        <v>0</v>
      </c>
      <c r="K1259" s="41" t="n">
        <f aca="false">H1259+I1259+J1259</f>
        <v>0</v>
      </c>
      <c r="L1259" s="42" t="n">
        <f aca="false">IF($K$1282=0,0,K1259/$K$1282)</f>
        <v>0</v>
      </c>
      <c r="M1259" s="43" t="n">
        <f aca="false">IF(F1259&lt;=0,0,K1259/F1259)</f>
        <v>0</v>
      </c>
      <c r="N1259" s="40" t="n">
        <v>1970</v>
      </c>
      <c r="O1259" s="44" t="n">
        <v>25.6</v>
      </c>
      <c r="P1259" s="43" t="n">
        <f aca="false">O1259*'Price Groups'!$B$5</f>
        <v>576</v>
      </c>
      <c r="Q1259" s="45" t="n">
        <f aca="false">IF(OR(N1259="",P1259=""),"",(N1259-P1259)/N1259)</f>
        <v>0.70761421319797</v>
      </c>
      <c r="R1259" s="46" t="n">
        <v>1</v>
      </c>
      <c r="S1259" s="47" t="n">
        <f aca="false">IF(R1259="-",0,IFERROR(VLOOKUP(R1259,'Price Groups'!$A$13:$C$17,3,FALSE()),0))</f>
        <v>0.22</v>
      </c>
      <c r="T1259" s="41" t="n">
        <f aca="false">IF(OR(N1259="",R1259="-"),"",CEILING(ROUND(N1259*(1+S1259),2),IF(N1259*(1+S1259)&lt;100,0.5,IF(N1259*(1+S1259)&lt;1000,1,5))))</f>
        <v>2405</v>
      </c>
      <c r="U1259" s="45" t="n">
        <f aca="false">IF(OR(T1259="",P1259=""),"",(T1259-P1259)/T1259)</f>
        <v>0.760498960498961</v>
      </c>
      <c r="V1259" s="45" t="n">
        <f aca="false">IF(T1259="",0,T1259/N1259-1)</f>
        <v>0.220812182741117</v>
      </c>
      <c r="W1259" s="38" t="s">
        <v>94</v>
      </c>
    </row>
    <row r="1260" customFormat="false" ht="15" hidden="false" customHeight="false" outlineLevel="0" collapsed="false">
      <c r="A1260" s="19"/>
      <c r="B1260" s="19" t="s">
        <v>1444</v>
      </c>
      <c r="C1260" s="19" t="s">
        <v>57</v>
      </c>
      <c r="D1260" s="19"/>
      <c r="E1260" s="19" t="s">
        <v>58</v>
      </c>
      <c r="F1260" s="20" t="n">
        <v>0</v>
      </c>
      <c r="G1260" s="20" t="n">
        <v>0</v>
      </c>
      <c r="H1260" s="21" t="n">
        <v>0</v>
      </c>
      <c r="I1260" s="21" t="n">
        <v>0</v>
      </c>
      <c r="J1260" s="21" t="n">
        <v>0</v>
      </c>
      <c r="K1260" s="22" t="n">
        <f aca="false">H1260+I1260+J1260</f>
        <v>0</v>
      </c>
      <c r="L1260" s="23" t="n">
        <f aca="false">IF($K$1282=0,0,K1260/$K$1282)</f>
        <v>0</v>
      </c>
      <c r="M1260" s="24" t="n">
        <f aca="false">IF(F1260&lt;=0,0,K1260/F1260)</f>
        <v>0</v>
      </c>
      <c r="N1260" s="21" t="n">
        <v>399.99</v>
      </c>
      <c r="O1260" s="49" t="n">
        <v>10.12</v>
      </c>
      <c r="P1260" s="24" t="n">
        <f aca="false">O1260*'Price Groups'!$B$5</f>
        <v>227.7</v>
      </c>
      <c r="Q1260" s="26" t="n">
        <f aca="false">IF(OR(N1260="",P1260=""),"",(N1260-P1260)/N1260)</f>
        <v>0.43073576839421</v>
      </c>
      <c r="R1260" s="27" t="n">
        <v>1</v>
      </c>
      <c r="S1260" s="28" t="n">
        <f aca="false">IF(R1260="-",0,IFERROR(VLOOKUP(R1260,'Price Groups'!$A$13:$C$17,3,FALSE()),0))</f>
        <v>0.22</v>
      </c>
      <c r="T1260" s="22" t="n">
        <f aca="false">IF(OR(N1260="",R1260="-"),"",CEILING(ROUND(N1260*(1+S1260),2),IF(N1260*(1+S1260)&lt;100,0.5,IF(N1260*(1+S1260)&lt;1000,1,5))))</f>
        <v>488</v>
      </c>
      <c r="U1260" s="26" t="n">
        <f aca="false">IF(OR(T1260="",P1260=""),"",(T1260-P1260)/T1260)</f>
        <v>0.533401639344262</v>
      </c>
      <c r="V1260" s="26" t="n">
        <f aca="false">IF(T1260="",0,T1260/N1260-1)</f>
        <v>0.220030500762519</v>
      </c>
      <c r="W1260" s="19" t="s">
        <v>94</v>
      </c>
    </row>
    <row r="1261" customFormat="false" ht="15" hidden="false" customHeight="false" outlineLevel="0" collapsed="false">
      <c r="A1261" s="38"/>
      <c r="B1261" s="38" t="s">
        <v>1445</v>
      </c>
      <c r="C1261" s="38" t="s">
        <v>57</v>
      </c>
      <c r="D1261" s="38"/>
      <c r="E1261" s="38" t="s">
        <v>58</v>
      </c>
      <c r="F1261" s="39" t="n">
        <v>0</v>
      </c>
      <c r="G1261" s="39" t="n">
        <v>0</v>
      </c>
      <c r="H1261" s="40" t="n">
        <v>0</v>
      </c>
      <c r="I1261" s="40" t="n">
        <v>0</v>
      </c>
      <c r="J1261" s="40" t="n">
        <v>0</v>
      </c>
      <c r="K1261" s="41" t="n">
        <f aca="false">H1261+I1261+J1261</f>
        <v>0</v>
      </c>
      <c r="L1261" s="42" t="n">
        <f aca="false">IF($K$1282=0,0,K1261/$K$1282)</f>
        <v>0</v>
      </c>
      <c r="M1261" s="43" t="n">
        <f aca="false">IF(F1261&lt;=0,0,K1261/F1261)</f>
        <v>0</v>
      </c>
      <c r="N1261" s="40" t="n">
        <v>14.99</v>
      </c>
      <c r="O1261" s="44" t="n">
        <v>0.24</v>
      </c>
      <c r="P1261" s="43" t="n">
        <f aca="false">O1261*'Price Groups'!$B$5</f>
        <v>5.4</v>
      </c>
      <c r="Q1261" s="45" t="n">
        <f aca="false">IF(OR(N1261="",P1261=""),"",(N1261-P1261)/N1261)</f>
        <v>0.639759839893262</v>
      </c>
      <c r="R1261" s="46" t="n">
        <v>1</v>
      </c>
      <c r="S1261" s="47" t="n">
        <f aca="false">IF(R1261="-",0,IFERROR(VLOOKUP(R1261,'Price Groups'!$A$13:$C$17,3,FALSE()),0))</f>
        <v>0.22</v>
      </c>
      <c r="T1261" s="41" t="n">
        <f aca="false">IF(OR(N1261="",R1261="-"),"",CEILING(ROUND(N1261*(1+S1261),2),IF(N1261*(1+S1261)&lt;100,0.5,IF(N1261*(1+S1261)&lt;1000,1,5))))</f>
        <v>18.5</v>
      </c>
      <c r="U1261" s="45" t="n">
        <f aca="false">IF(OR(T1261="",P1261=""),"",(T1261-P1261)/T1261)</f>
        <v>0.708108108108108</v>
      </c>
      <c r="V1261" s="45" t="n">
        <f aca="false">IF(T1261="",0,T1261/N1261-1)</f>
        <v>0.23415610406938</v>
      </c>
      <c r="W1261" s="38" t="s">
        <v>94</v>
      </c>
    </row>
    <row r="1262" customFormat="false" ht="15" hidden="false" customHeight="false" outlineLevel="0" collapsed="false">
      <c r="A1262" s="19"/>
      <c r="B1262" s="19" t="s">
        <v>1446</v>
      </c>
      <c r="C1262" s="19" t="s">
        <v>57</v>
      </c>
      <c r="D1262" s="19"/>
      <c r="E1262" s="19" t="s">
        <v>58</v>
      </c>
      <c r="F1262" s="20" t="n">
        <v>0</v>
      </c>
      <c r="G1262" s="20" t="n">
        <v>0</v>
      </c>
      <c r="H1262" s="21" t="n">
        <v>0</v>
      </c>
      <c r="I1262" s="21" t="n">
        <v>0</v>
      </c>
      <c r="J1262" s="21" t="n">
        <v>0</v>
      </c>
      <c r="K1262" s="22" t="n">
        <f aca="false">H1262+I1262+J1262</f>
        <v>0</v>
      </c>
      <c r="L1262" s="23" t="n">
        <f aca="false">IF($K$1282=0,0,K1262/$K$1282)</f>
        <v>0</v>
      </c>
      <c r="M1262" s="24" t="n">
        <f aca="false">IF(F1262&lt;=0,0,K1262/F1262)</f>
        <v>0</v>
      </c>
      <c r="N1262" s="21" t="n">
        <v>169.99</v>
      </c>
      <c r="O1262" s="49" t="n">
        <v>4.46</v>
      </c>
      <c r="P1262" s="24" t="n">
        <f aca="false">O1262*'Price Groups'!$B$5</f>
        <v>100.35</v>
      </c>
      <c r="Q1262" s="26" t="n">
        <f aca="false">IF(OR(N1262="",P1262=""),"",(N1262-P1262)/N1262)</f>
        <v>0.40967115712689</v>
      </c>
      <c r="R1262" s="27" t="n">
        <v>1</v>
      </c>
      <c r="S1262" s="28" t="n">
        <f aca="false">IF(R1262="-",0,IFERROR(VLOOKUP(R1262,'Price Groups'!$A$13:$C$17,3,FALSE()),0))</f>
        <v>0.22</v>
      </c>
      <c r="T1262" s="22" t="n">
        <f aca="false">IF(OR(N1262="",R1262="-"),"",CEILING(ROUND(N1262*(1+S1262),2),IF(N1262*(1+S1262)&lt;100,0.5,IF(N1262*(1+S1262)&lt;1000,1,5))))</f>
        <v>208</v>
      </c>
      <c r="U1262" s="26" t="n">
        <f aca="false">IF(OR(T1262="",P1262=""),"",(T1262-P1262)/T1262)</f>
        <v>0.517548076923077</v>
      </c>
      <c r="V1262" s="26" t="n">
        <f aca="false">IF(T1262="",0,T1262/N1262-1)</f>
        <v>0.22360138831696</v>
      </c>
      <c r="W1262" s="19" t="s">
        <v>94</v>
      </c>
    </row>
    <row r="1263" customFormat="false" ht="15" hidden="false" customHeight="false" outlineLevel="0" collapsed="false">
      <c r="A1263" s="38"/>
      <c r="B1263" s="38" t="s">
        <v>1447</v>
      </c>
      <c r="C1263" s="38" t="s">
        <v>57</v>
      </c>
      <c r="D1263" s="38"/>
      <c r="E1263" s="38" t="s">
        <v>58</v>
      </c>
      <c r="F1263" s="39" t="n">
        <v>0</v>
      </c>
      <c r="G1263" s="39" t="n">
        <v>0</v>
      </c>
      <c r="H1263" s="40" t="n">
        <v>0</v>
      </c>
      <c r="I1263" s="40" t="n">
        <v>0</v>
      </c>
      <c r="J1263" s="40" t="n">
        <v>0</v>
      </c>
      <c r="K1263" s="41" t="n">
        <f aca="false">H1263+I1263+J1263</f>
        <v>0</v>
      </c>
      <c r="L1263" s="42" t="n">
        <f aca="false">IF($K$1282=0,0,K1263/$K$1282)</f>
        <v>0</v>
      </c>
      <c r="M1263" s="43" t="n">
        <f aca="false">IF(F1263&lt;=0,0,K1263/F1263)</f>
        <v>0</v>
      </c>
      <c r="N1263" s="40" t="n">
        <v>169.99</v>
      </c>
      <c r="O1263" s="44" t="n">
        <v>3.65</v>
      </c>
      <c r="P1263" s="43" t="n">
        <f aca="false">O1263*'Price Groups'!$B$5</f>
        <v>82.125</v>
      </c>
      <c r="Q1263" s="45" t="n">
        <f aca="false">IF(OR(N1263="",P1263=""),"",(N1263-P1263)/N1263)</f>
        <v>0.516883346079181</v>
      </c>
      <c r="R1263" s="46" t="n">
        <v>1</v>
      </c>
      <c r="S1263" s="47" t="n">
        <f aca="false">IF(R1263="-",0,IFERROR(VLOOKUP(R1263,'Price Groups'!$A$13:$C$17,3,FALSE()),0))</f>
        <v>0.22</v>
      </c>
      <c r="T1263" s="41" t="n">
        <f aca="false">IF(OR(N1263="",R1263="-"),"",CEILING(ROUND(N1263*(1+S1263),2),IF(N1263*(1+S1263)&lt;100,0.5,IF(N1263*(1+S1263)&lt;1000,1,5))))</f>
        <v>208</v>
      </c>
      <c r="U1263" s="45" t="n">
        <f aca="false">IF(OR(T1263="",P1263=""),"",(T1263-P1263)/T1263)</f>
        <v>0.605168269230769</v>
      </c>
      <c r="V1263" s="45" t="n">
        <f aca="false">IF(T1263="",0,T1263/N1263-1)</f>
        <v>0.22360138831696</v>
      </c>
      <c r="W1263" s="38" t="s">
        <v>94</v>
      </c>
    </row>
    <row r="1264" customFormat="false" ht="15" hidden="false" customHeight="false" outlineLevel="0" collapsed="false">
      <c r="A1264" s="19"/>
      <c r="B1264" s="19" t="s">
        <v>1448</v>
      </c>
      <c r="C1264" s="19" t="s">
        <v>57</v>
      </c>
      <c r="D1264" s="19"/>
      <c r="E1264" s="19" t="s">
        <v>58</v>
      </c>
      <c r="F1264" s="20" t="n">
        <v>0</v>
      </c>
      <c r="G1264" s="20" t="n">
        <v>0</v>
      </c>
      <c r="H1264" s="21" t="n">
        <v>0</v>
      </c>
      <c r="I1264" s="21" t="n">
        <v>0</v>
      </c>
      <c r="J1264" s="21" t="n">
        <v>0</v>
      </c>
      <c r="K1264" s="22" t="n">
        <f aca="false">H1264+I1264+J1264</f>
        <v>0</v>
      </c>
      <c r="L1264" s="23" t="n">
        <f aca="false">IF($K$1282=0,0,K1264/$K$1282)</f>
        <v>0</v>
      </c>
      <c r="M1264" s="24" t="n">
        <f aca="false">IF(F1264&lt;=0,0,K1264/F1264)</f>
        <v>0</v>
      </c>
      <c r="N1264" s="21" t="n">
        <v>169.99</v>
      </c>
      <c r="O1264" s="49" t="n">
        <v>4.46</v>
      </c>
      <c r="P1264" s="24" t="n">
        <f aca="false">O1264*'Price Groups'!$B$5</f>
        <v>100.35</v>
      </c>
      <c r="Q1264" s="26" t="n">
        <f aca="false">IF(OR(N1264="",P1264=""),"",(N1264-P1264)/N1264)</f>
        <v>0.40967115712689</v>
      </c>
      <c r="R1264" s="27" t="n">
        <v>1</v>
      </c>
      <c r="S1264" s="28" t="n">
        <f aca="false">IF(R1264="-",0,IFERROR(VLOOKUP(R1264,'Price Groups'!$A$13:$C$17,3,FALSE()),0))</f>
        <v>0.22</v>
      </c>
      <c r="T1264" s="22" t="n">
        <f aca="false">IF(OR(N1264="",R1264="-"),"",CEILING(ROUND(N1264*(1+S1264),2),IF(N1264*(1+S1264)&lt;100,0.5,IF(N1264*(1+S1264)&lt;1000,1,5))))</f>
        <v>208</v>
      </c>
      <c r="U1264" s="26" t="n">
        <f aca="false">IF(OR(T1264="",P1264=""),"",(T1264-P1264)/T1264)</f>
        <v>0.517548076923077</v>
      </c>
      <c r="V1264" s="26" t="n">
        <f aca="false">IF(T1264="",0,T1264/N1264-1)</f>
        <v>0.22360138831696</v>
      </c>
      <c r="W1264" s="19" t="s">
        <v>94</v>
      </c>
    </row>
    <row r="1265" customFormat="false" ht="15" hidden="false" customHeight="false" outlineLevel="0" collapsed="false">
      <c r="A1265" s="38"/>
      <c r="B1265" s="38" t="s">
        <v>1449</v>
      </c>
      <c r="C1265" s="38" t="s">
        <v>57</v>
      </c>
      <c r="D1265" s="38"/>
      <c r="E1265" s="38" t="s">
        <v>58</v>
      </c>
      <c r="F1265" s="39" t="n">
        <v>0</v>
      </c>
      <c r="G1265" s="39" t="n">
        <v>0</v>
      </c>
      <c r="H1265" s="40" t="n">
        <v>0</v>
      </c>
      <c r="I1265" s="40" t="n">
        <v>0</v>
      </c>
      <c r="J1265" s="40" t="n">
        <v>0</v>
      </c>
      <c r="K1265" s="41" t="n">
        <f aca="false">H1265+I1265+J1265</f>
        <v>0</v>
      </c>
      <c r="L1265" s="42" t="n">
        <f aca="false">IF($K$1282=0,0,K1265/$K$1282)</f>
        <v>0</v>
      </c>
      <c r="M1265" s="43" t="n">
        <f aca="false">IF(F1265&lt;=0,0,K1265/F1265)</f>
        <v>0</v>
      </c>
      <c r="N1265" s="40" t="n">
        <v>870</v>
      </c>
      <c r="O1265" s="44" t="n">
        <v>24.83</v>
      </c>
      <c r="P1265" s="43" t="n">
        <f aca="false">O1265*'Price Groups'!$B$5</f>
        <v>558.675</v>
      </c>
      <c r="Q1265" s="45" t="n">
        <f aca="false">IF(OR(N1265="",P1265=""),"",(N1265-P1265)/N1265)</f>
        <v>0.357844827586207</v>
      </c>
      <c r="R1265" s="46" t="n">
        <v>1</v>
      </c>
      <c r="S1265" s="47" t="n">
        <f aca="false">IF(R1265="-",0,IFERROR(VLOOKUP(R1265,'Price Groups'!$A$13:$C$17,3,FALSE()),0))</f>
        <v>0.22</v>
      </c>
      <c r="T1265" s="41" t="n">
        <f aca="false">IF(OR(N1265="",R1265="-"),"",CEILING(ROUND(N1265*(1+S1265),2),IF(N1265*(1+S1265)&lt;100,0.5,IF(N1265*(1+S1265)&lt;1000,1,5))))</f>
        <v>1065</v>
      </c>
      <c r="U1265" s="45" t="n">
        <f aca="false">IF(OR(T1265="",P1265=""),"",(T1265-P1265)/T1265)</f>
        <v>0.475422535211268</v>
      </c>
      <c r="V1265" s="45" t="n">
        <f aca="false">IF(T1265="",0,T1265/N1265-1)</f>
        <v>0.224137931034483</v>
      </c>
      <c r="W1265" s="38" t="s">
        <v>94</v>
      </c>
    </row>
    <row r="1266" customFormat="false" ht="15" hidden="false" customHeight="false" outlineLevel="0" collapsed="false">
      <c r="A1266" s="19"/>
      <c r="B1266" s="19" t="s">
        <v>1450</v>
      </c>
      <c r="C1266" s="19" t="s">
        <v>57</v>
      </c>
      <c r="D1266" s="19"/>
      <c r="E1266" s="19" t="s">
        <v>58</v>
      </c>
      <c r="F1266" s="20" t="n">
        <v>0</v>
      </c>
      <c r="G1266" s="20" t="n">
        <v>0</v>
      </c>
      <c r="H1266" s="21" t="n">
        <v>0</v>
      </c>
      <c r="I1266" s="21" t="n">
        <v>0</v>
      </c>
      <c r="J1266" s="21" t="n">
        <v>0</v>
      </c>
      <c r="K1266" s="22" t="n">
        <f aca="false">H1266+I1266+J1266</f>
        <v>0</v>
      </c>
      <c r="L1266" s="23" t="n">
        <f aca="false">IF($K$1282=0,0,K1266/$K$1282)</f>
        <v>0</v>
      </c>
      <c r="M1266" s="24" t="n">
        <f aca="false">IF(F1266&lt;=0,0,K1266/F1266)</f>
        <v>0</v>
      </c>
      <c r="N1266" s="21" t="n">
        <v>24</v>
      </c>
      <c r="O1266" s="49" t="n">
        <v>0.26</v>
      </c>
      <c r="P1266" s="24" t="n">
        <f aca="false">O1266*'Price Groups'!$B$5</f>
        <v>5.85</v>
      </c>
      <c r="Q1266" s="26" t="n">
        <f aca="false">IF(OR(N1266="",P1266=""),"",(N1266-P1266)/N1266)</f>
        <v>0.75625</v>
      </c>
      <c r="R1266" s="27" t="n">
        <v>1</v>
      </c>
      <c r="S1266" s="28" t="n">
        <f aca="false">IF(R1266="-",0,IFERROR(VLOOKUP(R1266,'Price Groups'!$A$13:$C$17,3,FALSE()),0))</f>
        <v>0.22</v>
      </c>
      <c r="T1266" s="22" t="n">
        <f aca="false">IF(OR(N1266="",R1266="-"),"",CEILING(ROUND(N1266*(1+S1266),2),IF(N1266*(1+S1266)&lt;100,0.5,IF(N1266*(1+S1266)&lt;1000,1,5))))</f>
        <v>29.5</v>
      </c>
      <c r="U1266" s="26" t="n">
        <f aca="false">IF(OR(T1266="",P1266=""),"",(T1266-P1266)/T1266)</f>
        <v>0.801694915254237</v>
      </c>
      <c r="V1266" s="26" t="n">
        <f aca="false">IF(T1266="",0,T1266/N1266-1)</f>
        <v>0.229166666666667</v>
      </c>
      <c r="W1266" s="19" t="s">
        <v>94</v>
      </c>
    </row>
    <row r="1267" customFormat="false" ht="15" hidden="false" customHeight="false" outlineLevel="0" collapsed="false">
      <c r="A1267" s="38"/>
      <c r="B1267" s="38" t="s">
        <v>1451</v>
      </c>
      <c r="C1267" s="38" t="s">
        <v>57</v>
      </c>
      <c r="D1267" s="38"/>
      <c r="E1267" s="38" t="s">
        <v>58</v>
      </c>
      <c r="F1267" s="39" t="n">
        <v>0</v>
      </c>
      <c r="G1267" s="39" t="n">
        <v>0</v>
      </c>
      <c r="H1267" s="40" t="n">
        <v>0</v>
      </c>
      <c r="I1267" s="40" t="n">
        <v>0</v>
      </c>
      <c r="J1267" s="40" t="n">
        <v>0</v>
      </c>
      <c r="K1267" s="41" t="n">
        <f aca="false">H1267+I1267+J1267</f>
        <v>0</v>
      </c>
      <c r="L1267" s="42" t="n">
        <f aca="false">IF($K$1282=0,0,K1267/$K$1282)</f>
        <v>0</v>
      </c>
      <c r="M1267" s="43" t="n">
        <f aca="false">IF(F1267&lt;=0,0,K1267/F1267)</f>
        <v>0</v>
      </c>
      <c r="N1267" s="40" t="n">
        <v>54</v>
      </c>
      <c r="O1267" s="44" t="n">
        <v>0.95</v>
      </c>
      <c r="P1267" s="43" t="n">
        <f aca="false">O1267*'Price Groups'!$B$5</f>
        <v>21.375</v>
      </c>
      <c r="Q1267" s="45" t="n">
        <f aca="false">IF(OR(N1267="",P1267=""),"",(N1267-P1267)/N1267)</f>
        <v>0.604166666666667</v>
      </c>
      <c r="R1267" s="46" t="n">
        <v>1</v>
      </c>
      <c r="S1267" s="47" t="n">
        <f aca="false">IF(R1267="-",0,IFERROR(VLOOKUP(R1267,'Price Groups'!$A$13:$C$17,3,FALSE()),0))</f>
        <v>0.22</v>
      </c>
      <c r="T1267" s="41" t="n">
        <f aca="false">IF(OR(N1267="",R1267="-"),"",CEILING(ROUND(N1267*(1+S1267),2),IF(N1267*(1+S1267)&lt;100,0.5,IF(N1267*(1+S1267)&lt;1000,1,5))))</f>
        <v>66</v>
      </c>
      <c r="U1267" s="45" t="n">
        <f aca="false">IF(OR(T1267="",P1267=""),"",(T1267-P1267)/T1267)</f>
        <v>0.676136363636364</v>
      </c>
      <c r="V1267" s="45" t="n">
        <f aca="false">IF(T1267="",0,T1267/N1267-1)</f>
        <v>0.222222222222222</v>
      </c>
      <c r="W1267" s="38" t="s">
        <v>94</v>
      </c>
    </row>
    <row r="1268" customFormat="false" ht="15" hidden="false" customHeight="false" outlineLevel="0" collapsed="false">
      <c r="A1268" s="19"/>
      <c r="B1268" s="19" t="s">
        <v>1452</v>
      </c>
      <c r="C1268" s="19" t="s">
        <v>57</v>
      </c>
      <c r="D1268" s="19"/>
      <c r="E1268" s="19" t="s">
        <v>58</v>
      </c>
      <c r="F1268" s="20" t="n">
        <v>0</v>
      </c>
      <c r="G1268" s="20" t="n">
        <v>0</v>
      </c>
      <c r="H1268" s="21" t="n">
        <v>0</v>
      </c>
      <c r="I1268" s="21" t="n">
        <v>0</v>
      </c>
      <c r="J1268" s="21" t="n">
        <v>0</v>
      </c>
      <c r="K1268" s="22" t="n">
        <f aca="false">H1268+I1268+J1268</f>
        <v>0</v>
      </c>
      <c r="L1268" s="23" t="n">
        <f aca="false">IF($K$1282=0,0,K1268/$K$1282)</f>
        <v>0</v>
      </c>
      <c r="M1268" s="24" t="n">
        <f aca="false">IF(F1268&lt;=0,0,K1268/F1268)</f>
        <v>0</v>
      </c>
      <c r="N1268" s="21" t="n">
        <v>24</v>
      </c>
      <c r="O1268" s="49" t="n">
        <v>0.43</v>
      </c>
      <c r="P1268" s="24" t="n">
        <f aca="false">O1268*'Price Groups'!$B$5</f>
        <v>9.675</v>
      </c>
      <c r="Q1268" s="26" t="n">
        <f aca="false">IF(OR(N1268="",P1268=""),"",(N1268-P1268)/N1268)</f>
        <v>0.596875</v>
      </c>
      <c r="R1268" s="27" t="n">
        <v>1</v>
      </c>
      <c r="S1268" s="28" t="n">
        <f aca="false">IF(R1268="-",0,IFERROR(VLOOKUP(R1268,'Price Groups'!$A$13:$C$17,3,FALSE()),0))</f>
        <v>0.22</v>
      </c>
      <c r="T1268" s="22" t="n">
        <f aca="false">IF(OR(N1268="",R1268="-"),"",CEILING(ROUND(N1268*(1+S1268),2),IF(N1268*(1+S1268)&lt;100,0.5,IF(N1268*(1+S1268)&lt;1000,1,5))))</f>
        <v>29.5</v>
      </c>
      <c r="U1268" s="26" t="n">
        <f aca="false">IF(OR(T1268="",P1268=""),"",(T1268-P1268)/T1268)</f>
        <v>0.672033898305085</v>
      </c>
      <c r="V1268" s="26" t="n">
        <f aca="false">IF(T1268="",0,T1268/N1268-1)</f>
        <v>0.229166666666667</v>
      </c>
      <c r="W1268" s="19" t="s">
        <v>94</v>
      </c>
    </row>
    <row r="1269" customFormat="false" ht="15" hidden="false" customHeight="false" outlineLevel="0" collapsed="false">
      <c r="A1269" s="38"/>
      <c r="B1269" s="38" t="s">
        <v>1453</v>
      </c>
      <c r="C1269" s="38" t="s">
        <v>57</v>
      </c>
      <c r="D1269" s="38"/>
      <c r="E1269" s="38" t="s">
        <v>58</v>
      </c>
      <c r="F1269" s="39" t="n">
        <v>0</v>
      </c>
      <c r="G1269" s="39" t="n">
        <v>0</v>
      </c>
      <c r="H1269" s="40" t="n">
        <v>0</v>
      </c>
      <c r="I1269" s="40" t="n">
        <v>0</v>
      </c>
      <c r="J1269" s="40" t="n">
        <v>0</v>
      </c>
      <c r="K1269" s="41" t="n">
        <f aca="false">H1269+I1269+J1269</f>
        <v>0</v>
      </c>
      <c r="L1269" s="42" t="n">
        <f aca="false">IF($K$1282=0,0,K1269/$K$1282)</f>
        <v>0</v>
      </c>
      <c r="M1269" s="43" t="n">
        <f aca="false">IF(F1269&lt;=0,0,K1269/F1269)</f>
        <v>0</v>
      </c>
      <c r="N1269" s="40" t="n">
        <v>649.99</v>
      </c>
      <c r="O1269" s="44" t="n">
        <v>18.78</v>
      </c>
      <c r="P1269" s="43" t="n">
        <f aca="false">O1269*'Price Groups'!$B$5</f>
        <v>422.55</v>
      </c>
      <c r="Q1269" s="45" t="n">
        <f aca="false">IF(OR(N1269="",P1269=""),"",(N1269-P1269)/N1269)</f>
        <v>0.349913075585778</v>
      </c>
      <c r="R1269" s="46" t="n">
        <v>1</v>
      </c>
      <c r="S1269" s="47" t="n">
        <f aca="false">IF(R1269="-",0,IFERROR(VLOOKUP(R1269,'Price Groups'!$A$13:$C$17,3,FALSE()),0))</f>
        <v>0.22</v>
      </c>
      <c r="T1269" s="41" t="n">
        <f aca="false">IF(OR(N1269="",R1269="-"),"",CEILING(ROUND(N1269*(1+S1269),2),IF(N1269*(1+S1269)&lt;100,0.5,IF(N1269*(1+S1269)&lt;1000,1,5))))</f>
        <v>793</v>
      </c>
      <c r="U1269" s="45" t="n">
        <f aca="false">IF(OR(T1269="",P1269=""),"",(T1269-P1269)/T1269)</f>
        <v>0.467150063051702</v>
      </c>
      <c r="V1269" s="45" t="n">
        <f aca="false">IF(T1269="",0,T1269/N1269-1)</f>
        <v>0.220018769519531</v>
      </c>
      <c r="W1269" s="38" t="s">
        <v>94</v>
      </c>
    </row>
    <row r="1270" customFormat="false" ht="15" hidden="false" customHeight="false" outlineLevel="0" collapsed="false">
      <c r="A1270" s="19"/>
      <c r="B1270" s="19" t="s">
        <v>1454</v>
      </c>
      <c r="C1270" s="19" t="s">
        <v>57</v>
      </c>
      <c r="D1270" s="19"/>
      <c r="E1270" s="19" t="s">
        <v>58</v>
      </c>
      <c r="F1270" s="20" t="n">
        <v>0</v>
      </c>
      <c r="G1270" s="20" t="n">
        <v>0</v>
      </c>
      <c r="H1270" s="21" t="n">
        <v>0</v>
      </c>
      <c r="I1270" s="21" t="n">
        <v>0</v>
      </c>
      <c r="J1270" s="21" t="n">
        <v>0</v>
      </c>
      <c r="K1270" s="22" t="n">
        <f aca="false">H1270+I1270+J1270</f>
        <v>0</v>
      </c>
      <c r="L1270" s="23" t="n">
        <f aca="false">IF($K$1282=0,0,K1270/$K$1282)</f>
        <v>0</v>
      </c>
      <c r="M1270" s="24" t="n">
        <f aca="false">IF(F1270&lt;=0,0,K1270/F1270)</f>
        <v>0</v>
      </c>
      <c r="N1270" s="21" t="n">
        <v>53</v>
      </c>
      <c r="O1270" s="49" t="n">
        <v>0.95</v>
      </c>
      <c r="P1270" s="24" t="n">
        <f aca="false">O1270*'Price Groups'!$B$5</f>
        <v>21.375</v>
      </c>
      <c r="Q1270" s="26" t="n">
        <f aca="false">IF(OR(N1270="",P1270=""),"",(N1270-P1270)/N1270)</f>
        <v>0.596698113207547</v>
      </c>
      <c r="R1270" s="27" t="n">
        <v>1</v>
      </c>
      <c r="S1270" s="28" t="n">
        <f aca="false">IF(R1270="-",0,IFERROR(VLOOKUP(R1270,'Price Groups'!$A$13:$C$17,3,FALSE()),0))</f>
        <v>0.22</v>
      </c>
      <c r="T1270" s="22" t="n">
        <f aca="false">IF(OR(N1270="",R1270="-"),"",CEILING(ROUND(N1270*(1+S1270),2),IF(N1270*(1+S1270)&lt;100,0.5,IF(N1270*(1+S1270)&lt;1000,1,5))))</f>
        <v>65</v>
      </c>
      <c r="U1270" s="26" t="n">
        <f aca="false">IF(OR(T1270="",P1270=""),"",(T1270-P1270)/T1270)</f>
        <v>0.671153846153846</v>
      </c>
      <c r="V1270" s="26" t="n">
        <f aca="false">IF(T1270="",0,T1270/N1270-1)</f>
        <v>0.226415094339623</v>
      </c>
      <c r="W1270" s="19" t="s">
        <v>94</v>
      </c>
    </row>
    <row r="1271" customFormat="false" ht="15" hidden="false" customHeight="false" outlineLevel="0" collapsed="false">
      <c r="A1271" s="38"/>
      <c r="B1271" s="38" t="s">
        <v>1455</v>
      </c>
      <c r="C1271" s="38" t="s">
        <v>57</v>
      </c>
      <c r="D1271" s="38"/>
      <c r="E1271" s="38" t="s">
        <v>58</v>
      </c>
      <c r="F1271" s="39" t="n">
        <v>0</v>
      </c>
      <c r="G1271" s="39" t="n">
        <v>0</v>
      </c>
      <c r="H1271" s="40" t="n">
        <v>0</v>
      </c>
      <c r="I1271" s="40" t="n">
        <v>0</v>
      </c>
      <c r="J1271" s="40" t="n">
        <v>0</v>
      </c>
      <c r="K1271" s="41" t="n">
        <f aca="false">H1271+I1271+J1271</f>
        <v>0</v>
      </c>
      <c r="L1271" s="42" t="n">
        <f aca="false">IF($K$1282=0,0,K1271/$K$1282)</f>
        <v>0</v>
      </c>
      <c r="M1271" s="43" t="n">
        <f aca="false">IF(F1271&lt;=0,0,K1271/F1271)</f>
        <v>0</v>
      </c>
      <c r="N1271" s="40" t="n">
        <v>59</v>
      </c>
      <c r="O1271" s="44" t="n">
        <v>0.95</v>
      </c>
      <c r="P1271" s="43" t="n">
        <f aca="false">O1271*'Price Groups'!$B$5</f>
        <v>21.375</v>
      </c>
      <c r="Q1271" s="45" t="n">
        <f aca="false">IF(OR(N1271="",P1271=""),"",(N1271-P1271)/N1271)</f>
        <v>0.63771186440678</v>
      </c>
      <c r="R1271" s="46" t="n">
        <v>1</v>
      </c>
      <c r="S1271" s="47" t="n">
        <f aca="false">IF(R1271="-",0,IFERROR(VLOOKUP(R1271,'Price Groups'!$A$13:$C$17,3,FALSE()),0))</f>
        <v>0.22</v>
      </c>
      <c r="T1271" s="41" t="n">
        <f aca="false">IF(OR(N1271="",R1271="-"),"",CEILING(ROUND(N1271*(1+S1271),2),IF(N1271*(1+S1271)&lt;100,0.5,IF(N1271*(1+S1271)&lt;1000,1,5))))</f>
        <v>72</v>
      </c>
      <c r="U1271" s="45" t="n">
        <f aca="false">IF(OR(T1271="",P1271=""),"",(T1271-P1271)/T1271)</f>
        <v>0.703125</v>
      </c>
      <c r="V1271" s="45" t="n">
        <f aca="false">IF(T1271="",0,T1271/N1271-1)</f>
        <v>0.220338983050848</v>
      </c>
      <c r="W1271" s="38" t="s">
        <v>94</v>
      </c>
    </row>
    <row r="1272" customFormat="false" ht="15" hidden="false" customHeight="false" outlineLevel="0" collapsed="false">
      <c r="A1272" s="19"/>
      <c r="B1272" s="19" t="s">
        <v>1456</v>
      </c>
      <c r="C1272" s="19" t="s">
        <v>57</v>
      </c>
      <c r="D1272" s="19"/>
      <c r="E1272" s="19" t="s">
        <v>58</v>
      </c>
      <c r="F1272" s="20" t="n">
        <v>0</v>
      </c>
      <c r="G1272" s="20" t="n">
        <v>0</v>
      </c>
      <c r="H1272" s="21" t="n">
        <v>0</v>
      </c>
      <c r="I1272" s="21" t="n">
        <v>0</v>
      </c>
      <c r="J1272" s="21" t="n">
        <v>0</v>
      </c>
      <c r="K1272" s="22" t="n">
        <f aca="false">H1272+I1272+J1272</f>
        <v>0</v>
      </c>
      <c r="L1272" s="23" t="n">
        <f aca="false">IF($K$1282=0,0,K1272/$K$1282)</f>
        <v>0</v>
      </c>
      <c r="M1272" s="24" t="n">
        <f aca="false">IF(F1272&lt;=0,0,K1272/F1272)</f>
        <v>0</v>
      </c>
      <c r="N1272" s="21" t="n">
        <v>55</v>
      </c>
      <c r="O1272" s="49" t="n">
        <v>0.96</v>
      </c>
      <c r="P1272" s="24" t="n">
        <f aca="false">O1272*'Price Groups'!$B$5</f>
        <v>21.6</v>
      </c>
      <c r="Q1272" s="26" t="n">
        <f aca="false">IF(OR(N1272="",P1272=""),"",(N1272-P1272)/N1272)</f>
        <v>0.607272727272727</v>
      </c>
      <c r="R1272" s="27" t="n">
        <v>1</v>
      </c>
      <c r="S1272" s="28" t="n">
        <f aca="false">IF(R1272="-",0,IFERROR(VLOOKUP(R1272,'Price Groups'!$A$13:$C$17,3,FALSE()),0))</f>
        <v>0.22</v>
      </c>
      <c r="T1272" s="22" t="n">
        <f aca="false">IF(OR(N1272="",R1272="-"),"",CEILING(ROUND(N1272*(1+S1272),2),IF(N1272*(1+S1272)&lt;100,0.5,IF(N1272*(1+S1272)&lt;1000,1,5))))</f>
        <v>67.5</v>
      </c>
      <c r="U1272" s="26" t="n">
        <f aca="false">IF(OR(T1272="",P1272=""),"",(T1272-P1272)/T1272)</f>
        <v>0.68</v>
      </c>
      <c r="V1272" s="26" t="n">
        <f aca="false">IF(T1272="",0,T1272/N1272-1)</f>
        <v>0.227272727272727</v>
      </c>
      <c r="W1272" s="19" t="s">
        <v>94</v>
      </c>
    </row>
    <row r="1273" customFormat="false" ht="15" hidden="false" customHeight="false" outlineLevel="0" collapsed="false">
      <c r="A1273" s="38"/>
      <c r="B1273" s="38" t="s">
        <v>1457</v>
      </c>
      <c r="C1273" s="38" t="s">
        <v>57</v>
      </c>
      <c r="D1273" s="38"/>
      <c r="E1273" s="38" t="s">
        <v>1458</v>
      </c>
      <c r="F1273" s="39" t="n">
        <v>0</v>
      </c>
      <c r="G1273" s="39" t="n">
        <v>0</v>
      </c>
      <c r="H1273" s="40" t="n">
        <v>0</v>
      </c>
      <c r="I1273" s="40" t="n">
        <v>0</v>
      </c>
      <c r="J1273" s="40" t="n">
        <v>0</v>
      </c>
      <c r="K1273" s="41" t="n">
        <f aca="false">H1273+I1273+J1273</f>
        <v>0</v>
      </c>
      <c r="L1273" s="42" t="n">
        <f aca="false">IF($K$1282=0,0,K1273/$K$1282)</f>
        <v>0</v>
      </c>
      <c r="M1273" s="43" t="n">
        <f aca="false">IF(F1273&lt;=0,0,K1273/F1273)</f>
        <v>0</v>
      </c>
      <c r="N1273" s="40" t="n">
        <v>0</v>
      </c>
      <c r="O1273" s="50"/>
      <c r="P1273" s="43"/>
      <c r="Q1273" s="45" t="str">
        <f aca="false">IF(OR(N1273="",P1273=""),"",(N1273-P1273)/N1273)</f>
        <v/>
      </c>
      <c r="R1273" s="51" t="s">
        <v>91</v>
      </c>
      <c r="S1273" s="47" t="n">
        <f aca="false">IF(R1273="-",0,IFERROR(VLOOKUP(R1273,'Price Groups'!$A$13:$C$17,3,FALSE()),0))</f>
        <v>0</v>
      </c>
      <c r="T1273" s="41" t="str">
        <f aca="false">IF(OR(N1273="",R1273="-"),"",CEILING(ROUND(N1273*(1+S1273),2),IF(N1273*(1+S1273)&lt;100,0.5,IF(N1273*(1+S1273)&lt;1000,1,5))))</f>
        <v/>
      </c>
      <c r="U1273" s="45" t="str">
        <f aca="false">IF(OR(T1273="",P1273=""),"",(T1273-P1273)/T1273)</f>
        <v/>
      </c>
      <c r="V1273" s="45" t="n">
        <f aca="false">IF(T1273="",0,T1273/N1273-1)</f>
        <v>0</v>
      </c>
      <c r="W1273" s="38" t="s">
        <v>1459</v>
      </c>
    </row>
    <row r="1274" customFormat="false" ht="15" hidden="false" customHeight="false" outlineLevel="0" collapsed="false">
      <c r="A1274" s="19"/>
      <c r="B1274" s="19" t="s">
        <v>1460</v>
      </c>
      <c r="C1274" s="19" t="s">
        <v>57</v>
      </c>
      <c r="D1274" s="19"/>
      <c r="E1274" s="19" t="s">
        <v>58</v>
      </c>
      <c r="F1274" s="20" t="n">
        <v>0</v>
      </c>
      <c r="G1274" s="20" t="n">
        <v>0</v>
      </c>
      <c r="H1274" s="21" t="n">
        <v>0</v>
      </c>
      <c r="I1274" s="21" t="n">
        <v>0</v>
      </c>
      <c r="J1274" s="21" t="n">
        <v>0</v>
      </c>
      <c r="K1274" s="22" t="n">
        <f aca="false">H1274+I1274+J1274</f>
        <v>0</v>
      </c>
      <c r="L1274" s="23" t="n">
        <f aca="false">IF($K$1282=0,0,K1274/$K$1282)</f>
        <v>0</v>
      </c>
      <c r="M1274" s="24" t="n">
        <f aca="false">IF(F1274&lt;=0,0,K1274/F1274)</f>
        <v>0</v>
      </c>
      <c r="N1274" s="21" t="n">
        <v>23</v>
      </c>
      <c r="O1274" s="49" t="n">
        <v>0.45</v>
      </c>
      <c r="P1274" s="24" t="n">
        <f aca="false">O1274*'Price Groups'!$B$5</f>
        <v>10.125</v>
      </c>
      <c r="Q1274" s="26" t="n">
        <f aca="false">IF(OR(N1274="",P1274=""),"",(N1274-P1274)/N1274)</f>
        <v>0.559782608695652</v>
      </c>
      <c r="R1274" s="27" t="n">
        <v>1</v>
      </c>
      <c r="S1274" s="28" t="n">
        <f aca="false">IF(R1274="-",0,IFERROR(VLOOKUP(R1274,'Price Groups'!$A$13:$C$17,3,FALSE()),0))</f>
        <v>0.22</v>
      </c>
      <c r="T1274" s="22" t="n">
        <f aca="false">IF(OR(N1274="",R1274="-"),"",CEILING(ROUND(N1274*(1+S1274),2),IF(N1274*(1+S1274)&lt;100,0.5,IF(N1274*(1+S1274)&lt;1000,1,5))))</f>
        <v>28.5</v>
      </c>
      <c r="U1274" s="26" t="n">
        <f aca="false">IF(OR(T1274="",P1274=""),"",(T1274-P1274)/T1274)</f>
        <v>0.644736842105263</v>
      </c>
      <c r="V1274" s="26" t="n">
        <f aca="false">IF(T1274="",0,T1274/N1274-1)</f>
        <v>0.239130434782609</v>
      </c>
      <c r="W1274" s="19" t="s">
        <v>94</v>
      </c>
    </row>
    <row r="1275" customFormat="false" ht="15" hidden="false" customHeight="false" outlineLevel="0" collapsed="false">
      <c r="A1275" s="38"/>
      <c r="B1275" s="38" t="s">
        <v>1461</v>
      </c>
      <c r="C1275" s="38" t="s">
        <v>57</v>
      </c>
      <c r="D1275" s="38"/>
      <c r="E1275" s="38" t="s">
        <v>58</v>
      </c>
      <c r="F1275" s="39" t="n">
        <v>0</v>
      </c>
      <c r="G1275" s="39" t="n">
        <v>0</v>
      </c>
      <c r="H1275" s="40" t="n">
        <v>0</v>
      </c>
      <c r="I1275" s="40" t="n">
        <v>0</v>
      </c>
      <c r="J1275" s="40" t="n">
        <v>0</v>
      </c>
      <c r="K1275" s="41" t="n">
        <f aca="false">H1275+I1275+J1275</f>
        <v>0</v>
      </c>
      <c r="L1275" s="42" t="n">
        <f aca="false">IF($K$1282=0,0,K1275/$K$1282)</f>
        <v>0</v>
      </c>
      <c r="M1275" s="43" t="n">
        <f aca="false">IF(F1275&lt;=0,0,K1275/F1275)</f>
        <v>0</v>
      </c>
      <c r="N1275" s="43"/>
      <c r="O1275" s="50"/>
      <c r="P1275" s="43"/>
      <c r="Q1275" s="45" t="str">
        <f aca="false">IF(OR(N1275="",P1275=""),"",(N1275-P1275)/N1275)</f>
        <v/>
      </c>
      <c r="R1275" s="46" t="n">
        <v>2</v>
      </c>
      <c r="S1275" s="47" t="n">
        <f aca="false">IF(R1275="-",0,IFERROR(VLOOKUP(R1275,'Price Groups'!$A$13:$C$17,3,FALSE()),0))</f>
        <v>0.18</v>
      </c>
      <c r="T1275" s="41" t="str">
        <f aca="false">IF(OR(N1275="",R1275="-"),"",CEILING(ROUND(N1275*(1+S1275),2),IF(N1275*(1+S1275)&lt;100,0.5,IF(N1275*(1+S1275)&lt;1000,1,5))))</f>
        <v/>
      </c>
      <c r="U1275" s="45" t="str">
        <f aca="false">IF(OR(T1275="",P1275=""),"",(T1275-P1275)/T1275)</f>
        <v/>
      </c>
      <c r="V1275" s="45" t="n">
        <f aca="false">IFERROR(AVERAGE(V1276:V1278),0)</f>
        <v>0.18126576008413</v>
      </c>
      <c r="W1275" s="38" t="s">
        <v>129</v>
      </c>
    </row>
    <row r="1276" customFormat="false" ht="15" hidden="false" customHeight="false" outlineLevel="0" collapsed="false">
      <c r="A1276" s="29"/>
      <c r="B1276" s="29" t="s">
        <v>1462</v>
      </c>
      <c r="C1276" s="29" t="s">
        <v>61</v>
      </c>
      <c r="D1276" s="29" t="s">
        <v>1461</v>
      </c>
      <c r="E1276" s="29"/>
      <c r="F1276" s="29"/>
      <c r="G1276" s="29"/>
      <c r="H1276" s="29"/>
      <c r="I1276" s="29"/>
      <c r="J1276" s="29"/>
      <c r="K1276" s="29" t="n">
        <v>0</v>
      </c>
      <c r="L1276" s="29"/>
      <c r="M1276" s="29"/>
      <c r="N1276" s="30" t="n">
        <v>760</v>
      </c>
      <c r="O1276" s="31"/>
      <c r="P1276" s="32"/>
      <c r="Q1276" s="33" t="str">
        <f aca="false">IF(OR(N1276="",P1276=""),"",(N1276-P1276)/N1276)</f>
        <v/>
      </c>
      <c r="R1276" s="34" t="n">
        <f aca="false">R1275</f>
        <v>2</v>
      </c>
      <c r="S1276" s="35" t="n">
        <f aca="false">IF(R1276="-",0,IFERROR(VLOOKUP(R1276,'Price Groups'!$A$13:$C$17,3,FALSE()),0))</f>
        <v>0.18</v>
      </c>
      <c r="T1276" s="36" t="n">
        <f aca="false">IF(OR(N1276="",R1276="-"),"",CEILING(ROUND(N1276*(1+S1276),2),IF(N1276*(1+S1276)&lt;100,0.5,IF(N1276*(1+S1276)&lt;1000,1,5))))</f>
        <v>897</v>
      </c>
      <c r="U1276" s="33" t="str">
        <f aca="false">IF(OR(T1276="",P1276=""),"",(T1276-P1276)/T1276)</f>
        <v/>
      </c>
      <c r="V1276" s="33" t="n">
        <f aca="false">IF(T1276="",0,T1276/N1276-1)</f>
        <v>0.180263157894737</v>
      </c>
      <c r="W1276" s="29" t="s">
        <v>62</v>
      </c>
    </row>
    <row r="1277" customFormat="false" ht="15" hidden="false" customHeight="false" outlineLevel="0" collapsed="false">
      <c r="A1277" s="29"/>
      <c r="B1277" s="29" t="s">
        <v>1463</v>
      </c>
      <c r="C1277" s="29" t="s">
        <v>61</v>
      </c>
      <c r="D1277" s="29" t="s">
        <v>1461</v>
      </c>
      <c r="E1277" s="29"/>
      <c r="F1277" s="29"/>
      <c r="G1277" s="29"/>
      <c r="H1277" s="29"/>
      <c r="I1277" s="29"/>
      <c r="J1277" s="29"/>
      <c r="K1277" s="29" t="n">
        <v>0</v>
      </c>
      <c r="L1277" s="29"/>
      <c r="M1277" s="29"/>
      <c r="N1277" s="30" t="n">
        <v>850</v>
      </c>
      <c r="O1277" s="31"/>
      <c r="P1277" s="32"/>
      <c r="Q1277" s="33" t="str">
        <f aca="false">IF(OR(N1277="",P1277=""),"",(N1277-P1277)/N1277)</f>
        <v/>
      </c>
      <c r="R1277" s="34" t="n">
        <f aca="false">R1275</f>
        <v>2</v>
      </c>
      <c r="S1277" s="35" t="n">
        <f aca="false">IF(R1277="-",0,IFERROR(VLOOKUP(R1277,'Price Groups'!$A$13:$C$17,3,FALSE()),0))</f>
        <v>0.18</v>
      </c>
      <c r="T1277" s="36" t="n">
        <f aca="false">IF(OR(N1277="",R1277="-"),"",CEILING(ROUND(N1277*(1+S1277),2),IF(N1277*(1+S1277)&lt;100,0.5,IF(N1277*(1+S1277)&lt;1000,1,5))))</f>
        <v>1005</v>
      </c>
      <c r="U1277" s="33" t="str">
        <f aca="false">IF(OR(T1277="",P1277=""),"",(T1277-P1277)/T1277)</f>
        <v/>
      </c>
      <c r="V1277" s="33" t="n">
        <f aca="false">IF(T1277="",0,T1277/N1277-1)</f>
        <v>0.182352941176471</v>
      </c>
      <c r="W1277" s="29" t="s">
        <v>62</v>
      </c>
    </row>
    <row r="1278" customFormat="false" ht="15" hidden="false" customHeight="false" outlineLevel="0" collapsed="false">
      <c r="A1278" s="29"/>
      <c r="B1278" s="29" t="s">
        <v>1464</v>
      </c>
      <c r="C1278" s="29" t="s">
        <v>61</v>
      </c>
      <c r="D1278" s="29" t="s">
        <v>1461</v>
      </c>
      <c r="E1278" s="29"/>
      <c r="F1278" s="29"/>
      <c r="G1278" s="29"/>
      <c r="H1278" s="29"/>
      <c r="I1278" s="29"/>
      <c r="J1278" s="29"/>
      <c r="K1278" s="29" t="n">
        <v>0</v>
      </c>
      <c r="L1278" s="29"/>
      <c r="M1278" s="29"/>
      <c r="N1278" s="30" t="n">
        <v>999</v>
      </c>
      <c r="O1278" s="31"/>
      <c r="P1278" s="32"/>
      <c r="Q1278" s="33" t="str">
        <f aca="false">IF(OR(N1278="",P1278=""),"",(N1278-P1278)/N1278)</f>
        <v/>
      </c>
      <c r="R1278" s="34" t="n">
        <f aca="false">R1275</f>
        <v>2</v>
      </c>
      <c r="S1278" s="35" t="n">
        <f aca="false">IF(R1278="-",0,IFERROR(VLOOKUP(R1278,'Price Groups'!$A$13:$C$17,3,FALSE()),0))</f>
        <v>0.18</v>
      </c>
      <c r="T1278" s="36" t="n">
        <f aca="false">IF(OR(N1278="",R1278="-"),"",CEILING(ROUND(N1278*(1+S1278),2),IF(N1278*(1+S1278)&lt;100,0.5,IF(N1278*(1+S1278)&lt;1000,1,5))))</f>
        <v>1180</v>
      </c>
      <c r="U1278" s="33" t="str">
        <f aca="false">IF(OR(T1278="",P1278=""),"",(T1278-P1278)/T1278)</f>
        <v/>
      </c>
      <c r="V1278" s="33" t="n">
        <f aca="false">IF(T1278="",0,T1278/N1278-1)</f>
        <v>0.181181181181181</v>
      </c>
      <c r="W1278" s="29" t="s">
        <v>62</v>
      </c>
    </row>
    <row r="1279" customFormat="false" ht="15" hidden="false" customHeight="false" outlineLevel="0" collapsed="false">
      <c r="A1279" s="19"/>
      <c r="B1279" s="19" t="s">
        <v>1465</v>
      </c>
      <c r="C1279" s="19" t="s">
        <v>57</v>
      </c>
      <c r="D1279" s="19"/>
      <c r="E1279" s="19" t="s">
        <v>58</v>
      </c>
      <c r="F1279" s="20" t="n">
        <v>0</v>
      </c>
      <c r="G1279" s="20" t="n">
        <v>0</v>
      </c>
      <c r="H1279" s="21" t="n">
        <v>0</v>
      </c>
      <c r="I1279" s="21" t="n">
        <v>0</v>
      </c>
      <c r="J1279" s="21" t="n">
        <v>0</v>
      </c>
      <c r="K1279" s="22" t="n">
        <f aca="false">H1279+I1279+J1279</f>
        <v>0</v>
      </c>
      <c r="L1279" s="23" t="n">
        <f aca="false">IF($K$1282=0,0,K1279/$K$1282)</f>
        <v>0</v>
      </c>
      <c r="M1279" s="24" t="n">
        <f aca="false">IF(F1279&lt;=0,0,K1279/F1279)</f>
        <v>0</v>
      </c>
      <c r="N1279" s="24"/>
      <c r="O1279" s="25"/>
      <c r="P1279" s="24"/>
      <c r="Q1279" s="26" t="str">
        <f aca="false">IF(OR(N1279="",P1279=""),"",(N1279-P1279)/N1279)</f>
        <v/>
      </c>
      <c r="R1279" s="27" t="n">
        <v>2</v>
      </c>
      <c r="S1279" s="28" t="n">
        <f aca="false">IF(R1279="-",0,IFERROR(VLOOKUP(R1279,'Price Groups'!$A$13:$C$17,3,FALSE()),0))</f>
        <v>0.18</v>
      </c>
      <c r="T1279" s="22" t="str">
        <f aca="false">IF(OR(N1279="",R1279="-"),"",CEILING(ROUND(N1279*(1+S1279),2),IF(N1279*(1+S1279)&lt;100,0.5,IF(N1279*(1+S1279)&lt;1000,1,5))))</f>
        <v/>
      </c>
      <c r="U1279" s="26" t="str">
        <f aca="false">IF(OR(T1279="",P1279=""),"",(T1279-P1279)/T1279)</f>
        <v/>
      </c>
      <c r="V1279" s="26" t="n">
        <f aca="false">IFERROR(AVERAGE(V1280:V1281),0)</f>
        <v>0.183333333333333</v>
      </c>
      <c r="W1279" s="19" t="s">
        <v>129</v>
      </c>
    </row>
    <row r="1280" customFormat="false" ht="15" hidden="false" customHeight="false" outlineLevel="0" collapsed="false">
      <c r="A1280" s="29"/>
      <c r="B1280" s="29" t="s">
        <v>1466</v>
      </c>
      <c r="C1280" s="29" t="s">
        <v>61</v>
      </c>
      <c r="D1280" s="29" t="s">
        <v>1465</v>
      </c>
      <c r="E1280" s="29"/>
      <c r="F1280" s="29"/>
      <c r="G1280" s="29"/>
      <c r="H1280" s="29"/>
      <c r="I1280" s="29"/>
      <c r="J1280" s="29"/>
      <c r="K1280" s="29" t="n">
        <v>0</v>
      </c>
      <c r="L1280" s="29"/>
      <c r="M1280" s="29"/>
      <c r="N1280" s="30" t="n">
        <v>60</v>
      </c>
      <c r="O1280" s="31"/>
      <c r="P1280" s="32"/>
      <c r="Q1280" s="33" t="str">
        <f aca="false">IF(OR(N1280="",P1280=""),"",(N1280-P1280)/N1280)</f>
        <v/>
      </c>
      <c r="R1280" s="34" t="n">
        <f aca="false">R1279</f>
        <v>2</v>
      </c>
      <c r="S1280" s="35" t="n">
        <f aca="false">IF(R1280="-",0,IFERROR(VLOOKUP(R1280,'Price Groups'!$A$13:$C$17,3,FALSE()),0))</f>
        <v>0.18</v>
      </c>
      <c r="T1280" s="36" t="n">
        <f aca="false">IF(OR(N1280="",R1280="-"),"",CEILING(ROUND(N1280*(1+S1280),2),IF(N1280*(1+S1280)&lt;100,0.5,IF(N1280*(1+S1280)&lt;1000,1,5))))</f>
        <v>71</v>
      </c>
      <c r="U1280" s="33" t="str">
        <f aca="false">IF(OR(T1280="",P1280=""),"",(T1280-P1280)/T1280)</f>
        <v/>
      </c>
      <c r="V1280" s="33" t="n">
        <f aca="false">IF(T1280="",0,T1280/N1280-1)</f>
        <v>0.183333333333333</v>
      </c>
      <c r="W1280" s="29" t="s">
        <v>62</v>
      </c>
    </row>
    <row r="1281" customFormat="false" ht="15" hidden="false" customHeight="false" outlineLevel="0" collapsed="false">
      <c r="A1281" s="29"/>
      <c r="B1281" s="29" t="s">
        <v>1467</v>
      </c>
      <c r="C1281" s="29" t="s">
        <v>61</v>
      </c>
      <c r="D1281" s="29" t="s">
        <v>1465</v>
      </c>
      <c r="E1281" s="29"/>
      <c r="F1281" s="29"/>
      <c r="G1281" s="29"/>
      <c r="H1281" s="29"/>
      <c r="I1281" s="29"/>
      <c r="J1281" s="29"/>
      <c r="K1281" s="29" t="n">
        <v>0</v>
      </c>
      <c r="L1281" s="29"/>
      <c r="M1281" s="29"/>
      <c r="N1281" s="30" t="n">
        <v>60</v>
      </c>
      <c r="O1281" s="31"/>
      <c r="P1281" s="32"/>
      <c r="Q1281" s="33" t="str">
        <f aca="false">IF(OR(N1281="",P1281=""),"",(N1281-P1281)/N1281)</f>
        <v/>
      </c>
      <c r="R1281" s="34" t="n">
        <f aca="false">R1279</f>
        <v>2</v>
      </c>
      <c r="S1281" s="35" t="n">
        <f aca="false">IF(R1281="-",0,IFERROR(VLOOKUP(R1281,'Price Groups'!$A$13:$C$17,3,FALSE()),0))</f>
        <v>0.18</v>
      </c>
      <c r="T1281" s="36" t="n">
        <f aca="false">IF(OR(N1281="",R1281="-"),"",CEILING(ROUND(N1281*(1+S1281),2),IF(N1281*(1+S1281)&lt;100,0.5,IF(N1281*(1+S1281)&lt;1000,1,5))))</f>
        <v>71</v>
      </c>
      <c r="U1281" s="33" t="str">
        <f aca="false">IF(OR(T1281="",P1281=""),"",(T1281-P1281)/T1281)</f>
        <v/>
      </c>
      <c r="V1281" s="33" t="n">
        <f aca="false">IF(T1281="",0,T1281/N1281-1)</f>
        <v>0.183333333333333</v>
      </c>
      <c r="W1281" s="29" t="s">
        <v>62</v>
      </c>
    </row>
    <row r="1282" customFormat="false" ht="15" hidden="false" customHeight="false" outlineLevel="0" collapsed="false">
      <c r="A1282" s="52"/>
      <c r="B1282" s="52" t="s">
        <v>28</v>
      </c>
      <c r="C1282" s="52"/>
      <c r="D1282" s="52"/>
      <c r="E1282" s="52"/>
      <c r="F1282" s="53" t="n">
        <f aca="false">SUM(F5:F1281)</f>
        <v>84070</v>
      </c>
      <c r="G1282" s="52"/>
      <c r="H1282" s="52" t="n">
        <f aca="false">SUM(H5:H1281)</f>
        <v>13471631.81</v>
      </c>
      <c r="I1282" s="52" t="n">
        <f aca="false">SUM(I5:I1281)</f>
        <v>-222563.04</v>
      </c>
      <c r="J1282" s="52" t="n">
        <f aca="false">SUM(J5:J1281)</f>
        <v>-1177378.05</v>
      </c>
      <c r="K1282" s="52" t="n">
        <f aca="false">SUM(K5:K1281)</f>
        <v>12071690.72</v>
      </c>
      <c r="L1282" s="54" t="n">
        <f aca="false">SUM(L5:L1281)</f>
        <v>1</v>
      </c>
      <c r="M1282" s="52"/>
      <c r="N1282" s="52"/>
      <c r="O1282" s="52"/>
      <c r="P1282" s="52"/>
      <c r="Q1282" s="52"/>
      <c r="R1282" s="52"/>
      <c r="S1282" s="52"/>
      <c r="T1282" s="52"/>
      <c r="U1282" s="52"/>
      <c r="V1282" s="52"/>
      <c r="W1282" s="52"/>
    </row>
  </sheetData>
  <autoFilter ref="A4:W1281"/>
  <conditionalFormatting sqref="R5:S1281">
    <cfRule type="expression" priority="2" aboveAverage="0" equalAverage="0" bottom="0" percent="0" rank="0" text="" dxfId="14">
      <formula>$R5=1</formula>
    </cfRule>
    <cfRule type="expression" priority="3" aboveAverage="0" equalAverage="0" bottom="0" percent="0" rank="0" text="" dxfId="15">
      <formula>$R5=2</formula>
    </cfRule>
    <cfRule type="expression" priority="4" aboveAverage="0" equalAverage="0" bottom="0" percent="0" rank="0" text="" dxfId="16">
      <formula>$R5=3</formula>
    </cfRule>
    <cfRule type="expression" priority="5" aboveAverage="0" equalAverage="0" bottom="0" percent="0" rank="0" text="" dxfId="17">
      <formula>$R5=4</formula>
    </cfRule>
    <cfRule type="expression" priority="6" aboveAverage="0" equalAverage="0" bottom="0" percent="0" rank="0" text="" dxfId="18">
      <formula>$R5=5</formula>
    </cfRule>
  </conditionalFormatting>
  <conditionalFormatting sqref="Q5:Q1281">
    <cfRule type="expression" priority="7" aboveAverage="0" equalAverage="0" bottom="0" percent="0" rank="0" text="" dxfId="19">
      <formula>AND(ISNUMBER($Q5),$Q5&lt;0)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5" t="s">
        <v>1468</v>
      </c>
    </row>
    <row r="2" customFormat="false" ht="23.85" hidden="false" customHeight="false" outlineLevel="0" collapsed="false">
      <c r="A2" s="14" t="s">
        <v>1469</v>
      </c>
      <c r="B2" s="10" t="s">
        <v>1470</v>
      </c>
    </row>
    <row r="3" customFormat="false" ht="15" hidden="false" customHeight="false" outlineLevel="0" collapsed="false">
      <c r="A3" s="14" t="s">
        <v>44</v>
      </c>
      <c r="B3" s="10" t="s">
        <v>1471</v>
      </c>
    </row>
    <row r="4" customFormat="false" ht="15" hidden="false" customHeight="false" outlineLevel="0" collapsed="false">
      <c r="A4" s="14" t="s">
        <v>49</v>
      </c>
      <c r="B4" s="10" t="s">
        <v>1472</v>
      </c>
    </row>
    <row r="5" customFormat="false" ht="15" hidden="false" customHeight="false" outlineLevel="0" collapsed="false">
      <c r="A5" s="14" t="s">
        <v>51</v>
      </c>
      <c r="B5" s="10" t="s">
        <v>1473</v>
      </c>
    </row>
    <row r="6" customFormat="false" ht="23.85" hidden="false" customHeight="false" outlineLevel="0" collapsed="false">
      <c r="A6" s="14" t="s">
        <v>307</v>
      </c>
      <c r="B6" s="10" t="s">
        <v>1474</v>
      </c>
    </row>
    <row r="7" customFormat="false" ht="15" hidden="false" customHeight="false" outlineLevel="0" collapsed="false">
      <c r="A7" s="14" t="s">
        <v>1475</v>
      </c>
      <c r="B7" s="10" t="s">
        <v>1476</v>
      </c>
    </row>
    <row r="8" customFormat="false" ht="23.85" hidden="false" customHeight="false" outlineLevel="0" collapsed="false">
      <c r="A8" s="14" t="s">
        <v>1477</v>
      </c>
      <c r="B8" s="10" t="s">
        <v>1478</v>
      </c>
    </row>
    <row r="9" customFormat="false" ht="15" hidden="false" customHeight="false" outlineLevel="0" collapsed="false">
      <c r="A9" s="14" t="s">
        <v>1479</v>
      </c>
      <c r="B9" s="10" t="s">
        <v>1480</v>
      </c>
    </row>
    <row r="10" customFormat="false" ht="15" hidden="false" customHeight="false" outlineLevel="0" collapsed="false">
      <c r="A10" s="14" t="s">
        <v>1481</v>
      </c>
      <c r="B10" s="10" t="s">
        <v>1482</v>
      </c>
    </row>
    <row r="11" customFormat="false" ht="15" hidden="false" customHeight="false" outlineLevel="0" collapsed="false">
      <c r="A11" s="14" t="s">
        <v>1483</v>
      </c>
      <c r="B11" s="10" t="s">
        <v>1484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2026-10-22T17:40:49Z</dcterms:created>
  <dc:creator>openpyxl</dc:creator>
  <dc:description/>
  <dc:language>en-US</dc:language>
  <cp:lastModifiedBy/>
  <dcterms:modified xsi:type="dcterms:W3CDTF">2026-10-22T17:40:50Z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