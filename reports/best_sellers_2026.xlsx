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st Sellers 2026" sheetId="1" state="visible" r:id="rId3"/>
    <sheet name="Notes" sheetId="2" state="visible" r:id="rId4"/>
  </sheets>
  <definedNames>
    <definedName function="false" hidden="true" localSheetId="0" name="_xlnm._FilterDatabase" vbProcedure="false">'Best Sellers 2026'!$A$4:$J$1181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"special order" is a catch-all product, not a single item — exclude it when repricing.</t>
        </r>
      </text>
    </comment>
    <comment ref="B11" authorId="0">
      <text>
        <r>
          <rPr>
            <sz val="10"/>
            <rFont val="Arial"/>
            <family val="2"/>
          </rPr>
          <t xml:space="preserve">Shopify line items with no product attached (custom/manual items added at checkout).</t>
        </r>
      </text>
    </comment>
    <comment ref="D1182" authorId="0">
      <text>
        <r>
          <rPr>
            <sz val="10"/>
            <rFont val="Arial"/>
            <family val="2"/>
          </rPr>
          <t xml:space="preserve">Orders are not summed: one order can contain several products. Store total = 9,462 orders.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3" authorId="0">
      <text>
        <r>
          <rPr>
            <sz val="10"/>
            <rFont val="Arial"/>
            <family val="2"/>
          </rPr>
          <t xml:space="preserve">Provided by user</t>
        </r>
      </text>
    </comment>
    <comment ref="B14" authorId="0">
      <text>
        <r>
          <rPr>
            <sz val="10"/>
            <rFont val="Arial"/>
            <family val="2"/>
          </rPr>
          <t xml:space="preserve">Provided by user, 22 Oct 2026</t>
        </r>
      </text>
    </comment>
  </commentList>
</comments>
</file>

<file path=xl/sharedStrings.xml><?xml version="1.0" encoding="utf-8"?>
<sst xmlns="http://schemas.openxmlformats.org/spreadsheetml/2006/main" count="1213" uniqueCount="1212">
  <si>
    <t xml:space="preserve">Tamwenat Elzekrayat – Items Ranked by Units Sold</t>
  </si>
  <si>
    <t xml:space="preserve">Period: 1 Jan 2026 – 22 Oct 2026  |  Currency: EGP  |  Source: Shopify Analytics (sales table, grouped by product)</t>
  </si>
  <si>
    <t xml:space="preserve">Rank</t>
  </si>
  <si>
    <t xml:space="preserve">Product</t>
  </si>
  <si>
    <t xml:space="preserve">Units Sold</t>
  </si>
  <si>
    <t xml:space="preserve">Orders</t>
  </si>
  <si>
    <t xml:space="preserve">Gross Sales (EGP)</t>
  </si>
  <si>
    <t xml:space="preserve">Discounts (EGP)</t>
  </si>
  <si>
    <t xml:space="preserve">Returns (EGP)</t>
  </si>
  <si>
    <t xml:space="preserve">Net Revenue (EGP)</t>
  </si>
  <si>
    <t xml:space="preserve">% of Total Revenue</t>
  </si>
  <si>
    <t xml:space="preserve">Avg Net Price / Unit (EGP)</t>
  </si>
  <si>
    <t xml:space="preserve">AlBaik meals</t>
  </si>
  <si>
    <t xml:space="preserve">Oman Chips spicy small pack</t>
  </si>
  <si>
    <t xml:space="preserve">special order</t>
  </si>
  <si>
    <t xml:space="preserve">Gandour Mastic Gum, One Piece, 2.7 Grams</t>
  </si>
  <si>
    <t xml:space="preserve">Ghandour MESTEKA Gum 6 Pcs Pack</t>
  </si>
  <si>
    <t xml:space="preserve">Mirinda citrus</t>
  </si>
  <si>
    <t xml:space="preserve">(No product title – custom/manual items)</t>
  </si>
  <si>
    <t xml:space="preserve">zamzam water 330ml</t>
  </si>
  <si>
    <t xml:space="preserve">Zamzam water</t>
  </si>
  <si>
    <t xml:space="preserve">Ulker choco sandwich</t>
  </si>
  <si>
    <t xml:space="preserve">Millionaire cheese corn</t>
  </si>
  <si>
    <t xml:space="preserve">Shani</t>
  </si>
  <si>
    <t xml:space="preserve">cheetos har nar</t>
  </si>
  <si>
    <t xml:space="preserve">batook mistic gum 1 pack</t>
  </si>
  <si>
    <t xml:space="preserve">nescafe arabiana with Cardamom 1 pac 30g</t>
  </si>
  <si>
    <t xml:space="preserve">kinza citrus</t>
  </si>
  <si>
    <t xml:space="preserve">SOHAR chipsy 13g</t>
  </si>
  <si>
    <t xml:space="preserve">chicken sticks Chips vegetables</t>
  </si>
  <si>
    <t xml:space="preserve">ghandour cherry lolli pop</t>
  </si>
  <si>
    <t xml:space="preserve">snack shrimp Flavored</t>
  </si>
  <si>
    <t xml:space="preserve">quavers small</t>
  </si>
  <si>
    <t xml:space="preserve">nescafe arabiana with Cardamom 1 pac 3 gm</t>
  </si>
  <si>
    <t xml:space="preserve">ice cream Elsaudia</t>
  </si>
  <si>
    <t xml:space="preserve">Pofak Oman Cheese Flavour</t>
  </si>
  <si>
    <t xml:space="preserve">Lusine</t>
  </si>
  <si>
    <t xml:space="preserve">Fish Fash</t>
  </si>
  <si>
    <t xml:space="preserve">tasali ketchup small</t>
  </si>
  <si>
    <t xml:space="preserve">lays spicy small 11 g</t>
  </si>
  <si>
    <t xml:space="preserve">Saudi pepsi</t>
  </si>
  <si>
    <t xml:space="preserve">Oman Chips Spicy medium pack 50 gm</t>
  </si>
  <si>
    <t xml:space="preserve">Indian Crackers White</t>
  </si>
  <si>
    <t xml:space="preserve">cheetos har nar Family size</t>
  </si>
  <si>
    <t xml:space="preserve">lays spicy family size</t>
  </si>
  <si>
    <t xml:space="preserve">Zamzam corn</t>
  </si>
  <si>
    <t xml:space="preserve">Marukawa Grape Bubble Gum</t>
  </si>
  <si>
    <t xml:space="preserve">jelly pop 1 pcs</t>
  </si>
  <si>
    <t xml:space="preserve">kdd chocolate low fat</t>
  </si>
  <si>
    <t xml:space="preserve">Miska Gum 1 Pack Of 8 Pcs</t>
  </si>
  <si>
    <t xml:space="preserve">Dobbi</t>
  </si>
  <si>
    <t xml:space="preserve">glasses choco</t>
  </si>
  <si>
    <t xml:space="preserve">Bufak Fico</t>
  </si>
  <si>
    <t xml:space="preserve">necklace candy</t>
  </si>
  <si>
    <t xml:space="preserve">TOTTI fruiti</t>
  </si>
  <si>
    <t xml:space="preserve">ulker chocolate</t>
  </si>
  <si>
    <t xml:space="preserve">crispy Salt &amp; vinegar</t>
  </si>
  <si>
    <t xml:space="preserve">Elsaudia milk</t>
  </si>
  <si>
    <t xml:space="preserve">Lay's French Cheese small</t>
  </si>
  <si>
    <t xml:space="preserve">salata chipsy</t>
  </si>
  <si>
    <t xml:space="preserve">Saudi Indomie (special chicken)</t>
  </si>
  <si>
    <t xml:space="preserve">lays salt small</t>
  </si>
  <si>
    <t xml:space="preserve">toffo nestle</t>
  </si>
  <si>
    <t xml:space="preserve">Pakistani noodles</t>
  </si>
  <si>
    <t xml:space="preserve">kat kat Ulker chocolate</t>
  </si>
  <si>
    <t xml:space="preserve">raja vegetables</t>
  </si>
  <si>
    <t xml:space="preserve">lays ketchup small 25gm</t>
  </si>
  <si>
    <t xml:space="preserve">Siip Corn Snack (roasted corn)</t>
  </si>
  <si>
    <t xml:space="preserve">Tarazan Chipsy</t>
  </si>
  <si>
    <t xml:space="preserve">bifa soft</t>
  </si>
  <si>
    <t xml:space="preserve">fruit candy</t>
  </si>
  <si>
    <t xml:space="preserve">Saudi Indomie (vegetables)</t>
  </si>
  <si>
    <t xml:space="preserve">salted peanuts</t>
  </si>
  <si>
    <t xml:space="preserve">siip corn snack (cheese)</t>
  </si>
  <si>
    <t xml:space="preserve">kat kat Ulker chocolate 18g</t>
  </si>
  <si>
    <t xml:space="preserve">Saudi Indomie (hot &amp; spicy fried noodles)</t>
  </si>
  <si>
    <t xml:space="preserve">Marami Spicy Flavor</t>
  </si>
  <si>
    <t xml:space="preserve">freeze dried whole strawberries 50g</t>
  </si>
  <si>
    <t xml:space="preserve">kinza cola</t>
  </si>
  <si>
    <t xml:space="preserve">Abu Qous (capsules)</t>
  </si>
  <si>
    <t xml:space="preserve">sun cola</t>
  </si>
  <si>
    <t xml:space="preserve">KDD (chocolate)</t>
  </si>
  <si>
    <t xml:space="preserve">Lollita 1 pc</t>
  </si>
  <si>
    <t xml:space="preserve">Batook Mint Gum</t>
  </si>
  <si>
    <t xml:space="preserve">happy mistic gum</t>
  </si>
  <si>
    <t xml:space="preserve">tasali spicy small</t>
  </si>
  <si>
    <t xml:space="preserve">nescafe arabiana with safaran 1 pac 3 gm</t>
  </si>
  <si>
    <t xml:space="preserve">crispy ABC ketchup flavor M-pack</t>
  </si>
  <si>
    <t xml:space="preserve">Saudi Indomie (fried noodles)</t>
  </si>
  <si>
    <t xml:space="preserve">Brush Lollipop (Borgat) 1 Pc</t>
  </si>
  <si>
    <t xml:space="preserve">cheetos har nar 65g</t>
  </si>
  <si>
    <t xml:space="preserve">marami ketchup Flavor</t>
  </si>
  <si>
    <t xml:space="preserve">keef elmosafer with cardamom 5 gm</t>
  </si>
  <si>
    <t xml:space="preserve">Heart lollipop (borgat) 1 pc.</t>
  </si>
  <si>
    <t xml:space="preserve">Saudi Indomie (red chili fried noodles)</t>
  </si>
  <si>
    <t xml:space="preserve">Ring Candy Original</t>
  </si>
  <si>
    <t xml:space="preserve">7 days croissant chocolate</t>
  </si>
  <si>
    <t xml:space="preserve">oman chips Family Size</t>
  </si>
  <si>
    <t xml:space="preserve">chocolate safari</t>
  </si>
  <si>
    <t xml:space="preserve">Saudi Indomie (chicken curry)</t>
  </si>
  <si>
    <t xml:space="preserve">Saudi Indomie (green chili fried noodles)</t>
  </si>
  <si>
    <t xml:space="preserve">CRIC CRAC special flavor</t>
  </si>
  <si>
    <t xml:space="preserve">Alrabee Orange Juice 125 Ml</t>
  </si>
  <si>
    <t xml:space="preserve">indomie spicy fried noodles black</t>
  </si>
  <si>
    <t xml:space="preserve">Elsaudia chocolate milk 200ml</t>
  </si>
  <si>
    <t xml:space="preserve">Extreme.z strawberry</t>
  </si>
  <si>
    <t xml:space="preserve">Rana Hot Sauce 100ml</t>
  </si>
  <si>
    <t xml:space="preserve">Albatal Spicy</t>
  </si>
  <si>
    <t xml:space="preserve">Ulker Sticks</t>
  </si>
  <si>
    <t xml:space="preserve">tufi luk chocolate</t>
  </si>
  <si>
    <t xml:space="preserve">Batook Cardamon Gum</t>
  </si>
  <si>
    <t xml:space="preserve">triplex caramel biscuit</t>
  </si>
  <si>
    <t xml:space="preserve">indomie vegetable flavour cup</t>
  </si>
  <si>
    <t xml:space="preserve">indofood Sumatra hot sauce 140 ml</t>
  </si>
  <si>
    <t xml:space="preserve">Marami Chicken</t>
  </si>
  <si>
    <t xml:space="preserve">abu Walad biscuit</t>
  </si>
  <si>
    <t xml:space="preserve">hazelnut wafer (Kras)</t>
  </si>
  <si>
    <t xml:space="preserve">vegetable Potato's chips</t>
  </si>
  <si>
    <t xml:space="preserve">snek ku mi-mi chicken flavor</t>
  </si>
  <si>
    <t xml:space="preserve">lays maxx mexican chili 60g</t>
  </si>
  <si>
    <t xml:space="preserve">chanachur crispy</t>
  </si>
  <si>
    <t xml:space="preserve">Chicken Sticks Spicy</t>
  </si>
  <si>
    <t xml:space="preserve">lays spicy mediam size 60g</t>
  </si>
  <si>
    <t xml:space="preserve">mastic</t>
  </si>
  <si>
    <t xml:space="preserve">chiplets ketchup</t>
  </si>
  <si>
    <t xml:space="preserve">Cherry Lollipop</t>
  </si>
  <si>
    <t xml:space="preserve">sun ring cheese flavor</t>
  </si>
  <si>
    <t xml:space="preserve">raja ketchup</t>
  </si>
  <si>
    <t xml:space="preserve">borgat cherry Lolli pop</t>
  </si>
  <si>
    <t xml:space="preserve">TOTTI Fruiti hearts</t>
  </si>
  <si>
    <t xml:space="preserve">CRIC CRAC ketchup flavor</t>
  </si>
  <si>
    <t xml:space="preserve">keef elmosafer with cardamom 30 gm</t>
  </si>
  <si>
    <t xml:space="preserve">keef elmosafer with Saffron 30 gm</t>
  </si>
  <si>
    <t xml:space="preserve">Fairco Hot Stix</t>
  </si>
  <si>
    <t xml:space="preserve">seno choco cream</t>
  </si>
  <si>
    <t xml:space="preserve">marami BBQ flavor</t>
  </si>
  <si>
    <t xml:space="preserve">Abu Qous (Heel Flavor)</t>
  </si>
  <si>
    <t xml:space="preserve">indian red crackers large pack</t>
  </si>
  <si>
    <t xml:space="preserve">Altazaj Meals</t>
  </si>
  <si>
    <t xml:space="preserve">Ice cream toy</t>
  </si>
  <si>
    <t xml:space="preserve">borgat gummy raspderry &amp; blackberry</t>
  </si>
  <si>
    <t xml:space="preserve">Crispy ABC Family Ketchup</t>
  </si>
  <si>
    <t xml:space="preserve">Fairco Salted Sticks</t>
  </si>
  <si>
    <t xml:space="preserve">Rabea Karak Tea With Cardamom 1 pc</t>
  </si>
  <si>
    <t xml:space="preserve">Pofak Oman family Cheese Flavour</t>
  </si>
  <si>
    <t xml:space="preserve">triangular wafer</t>
  </si>
  <si>
    <t xml:space="preserve">vegetables Biscuits</t>
  </si>
  <si>
    <t xml:space="preserve">Baja Arabic coffee with cardamom</t>
  </si>
  <si>
    <t xml:space="preserve">7 Days Cake Chocolate With Vanilla Cream</t>
  </si>
  <si>
    <t xml:space="preserve">push pop lollipop 1pics</t>
  </si>
  <si>
    <t xml:space="preserve">abu qous</t>
  </si>
  <si>
    <t xml:space="preserve">Caramel Log</t>
  </si>
  <si>
    <t xml:space="preserve">Momo Dy Corn Fingers cheese</t>
  </si>
  <si>
    <t xml:space="preserve">Mistika Gum (Miska)</t>
  </si>
  <si>
    <t xml:space="preserve">Saudi Indomie (vegetables) 5pc</t>
  </si>
  <si>
    <t xml:space="preserve">marami vinegar flavor</t>
  </si>
  <si>
    <t xml:space="preserve">Sun Rings Onion Flavor</t>
  </si>
  <si>
    <t xml:space="preserve">ritz biscuits</t>
  </si>
  <si>
    <t xml:space="preserve">Lay's French Cheese Family size</t>
  </si>
  <si>
    <t xml:space="preserve">sun top orange ( egyptian product )</t>
  </si>
  <si>
    <t xml:space="preserve">Ajwa Dates (Siafa)400 gms</t>
  </si>
  <si>
    <t xml:space="preserve">Ghandour Mastic gum 60 pcs</t>
  </si>
  <si>
    <t xml:space="preserve">luxury cream fudge 400g elshamg</t>
  </si>
  <si>
    <t xml:space="preserve">tasali spicy family size 155g</t>
  </si>
  <si>
    <t xml:space="preserve">Tomato Sauce ElSaudia</t>
  </si>
  <si>
    <t xml:space="preserve">Borgat Gummy Cola</t>
  </si>
  <si>
    <t xml:space="preserve">Capri- Sun orange</t>
  </si>
  <si>
    <t xml:space="preserve">jordanian zaatar 100 gm</t>
  </si>
  <si>
    <t xml:space="preserve">Caramel Log Chocolate</t>
  </si>
  <si>
    <t xml:space="preserve">karmoush chipsy</t>
  </si>
  <si>
    <t xml:space="preserve">Sun Rings cheese Flavor (Lsize)</t>
  </si>
  <si>
    <t xml:space="preserve">heart chocolate</t>
  </si>
  <si>
    <t xml:space="preserve">Lollita 10 pc</t>
  </si>
  <si>
    <t xml:space="preserve">chicken Biscuits</t>
  </si>
  <si>
    <t xml:space="preserve">time candy</t>
  </si>
  <si>
    <t xml:space="preserve">crystal hot sauce 88 ml</t>
  </si>
  <si>
    <t xml:space="preserve">momo dy shrimp flavour</t>
  </si>
  <si>
    <t xml:space="preserve">Kaddi 270 Ml</t>
  </si>
  <si>
    <t xml:space="preserve">Raja Vegetables Family Size</t>
  </si>
  <si>
    <t xml:space="preserve">code red 250 ml</t>
  </si>
  <si>
    <t xml:space="preserve">cheetos har nar medium size 110g</t>
  </si>
  <si>
    <t xml:space="preserve">marami salt flavor</t>
  </si>
  <si>
    <t xml:space="preserve">Italian choco cream</t>
  </si>
  <si>
    <t xml:space="preserve">keef elmosafer with Saffron 5 gm</t>
  </si>
  <si>
    <t xml:space="preserve">Elyamama Cake Vanilla</t>
  </si>
  <si>
    <t xml:space="preserve">indofood sweet soy sauce</t>
  </si>
  <si>
    <t xml:space="preserve">alin hot chanachur</t>
  </si>
  <si>
    <t xml:space="preserve">Borgat Gummy ringlets</t>
  </si>
  <si>
    <t xml:space="preserve">Batook Banana Gum</t>
  </si>
  <si>
    <t xml:space="preserve">rana hot sauce 474ml</t>
  </si>
  <si>
    <t xml:space="preserve">chocolate rico wafer</t>
  </si>
  <si>
    <t xml:space="preserve">Memories tea biscuit 150g</t>
  </si>
  <si>
    <t xml:space="preserve">Original Iranian Saffron 1gm</t>
  </si>
  <si>
    <t xml:space="preserve">Twizzlers Strawberry low fat 70g</t>
  </si>
  <si>
    <t xml:space="preserve">Saudi Indomie (special chicken) 5 pc</t>
  </si>
  <si>
    <t xml:space="preserve">Abo walad chocolate wafer</t>
  </si>
  <si>
    <t xml:space="preserve">TOTTI Fruiti cola</t>
  </si>
  <si>
    <t xml:space="preserve">americana cake chocolate rolls 6pcs</t>
  </si>
  <si>
    <t xml:space="preserve">shrimp biscuits</t>
  </si>
  <si>
    <t xml:space="preserve">Meswak</t>
  </si>
  <si>
    <t xml:space="preserve">Almarai mix berry juice</t>
  </si>
  <si>
    <t xml:space="preserve">Chicken Sticks Chips Vegetables Each Pack Contains 75g</t>
  </si>
  <si>
    <t xml:space="preserve">lays salt &amp; vinegar family size 155g</t>
  </si>
  <si>
    <t xml:space="preserve">Abo Fas 3 m</t>
  </si>
  <si>
    <t xml:space="preserve">Puf Marshmallow</t>
  </si>
  <si>
    <t xml:space="preserve">Salad Chipsy</t>
  </si>
  <si>
    <t xml:space="preserve">Puck Creamy Cheese 500 Gm</t>
  </si>
  <si>
    <t xml:space="preserve">khaltet AlQaseem 125 gm</t>
  </si>
  <si>
    <t xml:space="preserve">Elbatal Chipsy (Dayno)</t>
  </si>
  <si>
    <t xml:space="preserve">tasali kamoon &amp; lemon</t>
  </si>
  <si>
    <t xml:space="preserve">Baja Arabic Coffee Saffron</t>
  </si>
  <si>
    <t xml:space="preserve">Elitesse wafer</t>
  </si>
  <si>
    <t xml:space="preserve">Puck Creamy Cheese 2*500 Gm</t>
  </si>
  <si>
    <t xml:space="preserve">Dakket elMadina 100g</t>
  </si>
  <si>
    <t xml:space="preserve">Borgat Gummy cakes</t>
  </si>
  <si>
    <t xml:space="preserve">Salad Chipsy mediam size 21g</t>
  </si>
  <si>
    <t xml:space="preserve">Elbatal Popcorn (butter)</t>
  </si>
  <si>
    <t xml:space="preserve">chicken sticks ketchup flavor</t>
  </si>
  <si>
    <t xml:space="preserve">Salata chipsy family size</t>
  </si>
  <si>
    <t xml:space="preserve">ruchi chanachur BAR-B-Q</t>
  </si>
  <si>
    <t xml:space="preserve">trixy chocolate</t>
  </si>
  <si>
    <t xml:space="preserve">Saudi Indomie (chicken curry) 5pc</t>
  </si>
  <si>
    <t xml:space="preserve">shabora Karamesh</t>
  </si>
  <si>
    <t xml:space="preserve">halawany mamoul 1 piece 32g</t>
  </si>
  <si>
    <t xml:space="preserve">Deemah date maamoul 1pics</t>
  </si>
  <si>
    <t xml:space="preserve">Puck thick cream 125ml</t>
  </si>
  <si>
    <t xml:space="preserve">Elsaudia banana Milk</t>
  </si>
  <si>
    <t xml:space="preserve">Vimto Zero</t>
  </si>
  <si>
    <t xml:space="preserve">Saudi Indomie (fried noodles) 5 pc</t>
  </si>
  <si>
    <t xml:space="preserve">Saffron color 100 gm</t>
  </si>
  <si>
    <t xml:space="preserve">Capri- Sun mango</t>
  </si>
  <si>
    <t xml:space="preserve">Rings (cheese)</t>
  </si>
  <si>
    <t xml:space="preserve">Deemah kleija cardamom</t>
  </si>
  <si>
    <t xml:space="preserve">Albatal Ketchup</t>
  </si>
  <si>
    <t xml:space="preserve">siip fire burst 5g</t>
  </si>
  <si>
    <t xml:space="preserve">chocolate biscuit sticks</t>
  </si>
  <si>
    <t xml:space="preserve">Capri- Sun Cocktail</t>
  </si>
  <si>
    <t xml:space="preserve">Cake bar 7 days chocolate</t>
  </si>
  <si>
    <t xml:space="preserve">Chocolate Paste</t>
  </si>
  <si>
    <t xml:space="preserve">Mehran Curry powder 200g</t>
  </si>
  <si>
    <t xml:space="preserve">Cheetos Twisted Cheese</t>
  </si>
  <si>
    <t xml:space="preserve">seven days swiss roll chocolate 20g</t>
  </si>
  <si>
    <t xml:space="preserve">sour bubble gum (lyan) grape flavor</t>
  </si>
  <si>
    <t xml:space="preserve">sour bubble gum (lyan) strawaberry flavor</t>
  </si>
  <si>
    <t xml:space="preserve">tasali katchup 155g</t>
  </si>
  <si>
    <t xml:space="preserve">Elsaudia strawberry Milk</t>
  </si>
  <si>
    <t xml:space="preserve">Reese,s peanut butter cups 42g</t>
  </si>
  <si>
    <t xml:space="preserve">capri- sun strawberry</t>
  </si>
  <si>
    <t xml:space="preserve">Indomie Fried Noodles Barbeque Chicken Flavor Cup</t>
  </si>
  <si>
    <t xml:space="preserve">seven days Cake strawberry</t>
  </si>
  <si>
    <t xml:space="preserve">Trolli Mini Burger Gummy Candy 9g</t>
  </si>
  <si>
    <t xml:space="preserve">Mehran biryani  Masala 120g</t>
  </si>
  <si>
    <t xml:space="preserve">creme caramel (foster clarks)</t>
  </si>
  <si>
    <t xml:space="preserve">kdd tomato paste 135g</t>
  </si>
  <si>
    <t xml:space="preserve">jhal muri spicy</t>
  </si>
  <si>
    <t xml:space="preserve">cheddar cheese (Kraft) 190 gm</t>
  </si>
  <si>
    <t xml:space="preserve">americana cake vanilla large 6pcs</t>
  </si>
  <si>
    <t xml:space="preserve">ETI popkek with chocolate</t>
  </si>
  <si>
    <t xml:space="preserve">Borgat bluberry Lolli Pop</t>
  </si>
  <si>
    <t xml:space="preserve">indofood Mild soy sauce</t>
  </si>
  <si>
    <t xml:space="preserve">americana cake strawberry</t>
  </si>
  <si>
    <t xml:space="preserve">Elyamama Cake strawberry</t>
  </si>
  <si>
    <t xml:space="preserve">fantasy chipsy 22g</t>
  </si>
  <si>
    <t xml:space="preserve">bisconni cocomo chocolate 14g</t>
  </si>
  <si>
    <t xml:space="preserve">Dobbi Family size</t>
  </si>
  <si>
    <t xml:space="preserve">elbatal popcorn (cheese)</t>
  </si>
  <si>
    <t xml:space="preserve">hazelnut rico wafer</t>
  </si>
  <si>
    <t xml:space="preserve">poosh bubble gum strawberry 2pcs</t>
  </si>
  <si>
    <t xml:space="preserve">Shabora Karamesh borr</t>
  </si>
  <si>
    <t xml:space="preserve">Nice (chilli) 21g</t>
  </si>
  <si>
    <t xml:space="preserve">Almarai Mixed Fruit Juice</t>
  </si>
  <si>
    <t xml:space="preserve">indomie chicken flavour cup</t>
  </si>
  <si>
    <t xml:space="preserve">Momo Dy Corn Fingers spicy cheese</t>
  </si>
  <si>
    <t xml:space="preserve">Homor candy 250 gm</t>
  </si>
  <si>
    <t xml:space="preserve">batook mix gum</t>
  </si>
  <si>
    <t xml:space="preserve">rings (onion)</t>
  </si>
  <si>
    <t xml:space="preserve">nescafe arabiana with Cardamom 20pc</t>
  </si>
  <si>
    <t xml:space="preserve">ulker sesame biscuit</t>
  </si>
  <si>
    <t xml:space="preserve">Marukawa orange Bubble Gum</t>
  </si>
  <si>
    <t xml:space="preserve">Marami vinegar Zig-Zag family size</t>
  </si>
  <si>
    <t xml:space="preserve">Baja salted cashew</t>
  </si>
  <si>
    <t xml:space="preserve">sour bubble gum (lyan) apple flavor</t>
  </si>
  <si>
    <t xml:space="preserve">siafa barni dates 1kg</t>
  </si>
  <si>
    <t xml:space="preserve">Teashop biscuits</t>
  </si>
  <si>
    <t xml:space="preserve">Saudi Indomie (baladi chicken)</t>
  </si>
  <si>
    <t xml:space="preserve">lucky pop</t>
  </si>
  <si>
    <t xml:space="preserve">Elbatal Popcorn (spicy)</t>
  </si>
  <si>
    <t xml:space="preserve">Batook orange chewing gum</t>
  </si>
  <si>
    <t xml:space="preserve">Ice cream elasudia ufo</t>
  </si>
  <si>
    <t xml:space="preserve">Baja deluxe Mix</t>
  </si>
  <si>
    <t xml:space="preserve">raja spicy</t>
  </si>
  <si>
    <t xml:space="preserve">Uno Choco Cream</t>
  </si>
  <si>
    <t xml:space="preserve">Elmaddah Caramel</t>
  </si>
  <si>
    <t xml:space="preserve">Baja Mild Arabica Coffee</t>
  </si>
  <si>
    <t xml:space="preserve">SOHAR 97 Gm</t>
  </si>
  <si>
    <t xml:space="preserve">Sun Rings Onion Flavor (Lsize)</t>
  </si>
  <si>
    <t xml:space="preserve">golden finger waffer</t>
  </si>
  <si>
    <t xml:space="preserve">Boshar Al nar cheese</t>
  </si>
  <si>
    <t xml:space="preserve">Homor Candy redberry 250 Gm</t>
  </si>
  <si>
    <t xml:space="preserve">Eltajj Cream 155g</t>
  </si>
  <si>
    <t xml:space="preserve">CRIC CRAC Special Flavor Family size</t>
  </si>
  <si>
    <t xml:space="preserve">ABC Crispy Vinegar Flavor</t>
  </si>
  <si>
    <t xml:space="preserve">borgat Very Berry Lollipop Candy</t>
  </si>
  <si>
    <t xml:space="preserve">Bahlool sticks</t>
  </si>
  <si>
    <t xml:space="preserve">Rabea Karak Tea With Cardamom 10 pack</t>
  </si>
  <si>
    <t xml:space="preserve">Miaw miaw shrimp</t>
  </si>
  <si>
    <t xml:space="preserve">Kitco Stix Red Chilli Sticks 40g</t>
  </si>
  <si>
    <t xml:space="preserve">Kitco Stix Grilled Chicken Sticks 40g</t>
  </si>
  <si>
    <t xml:space="preserve">nova gum cinnabon</t>
  </si>
  <si>
    <t xml:space="preserve">Shabora Karamesh Milk</t>
  </si>
  <si>
    <t xml:space="preserve">tamr hendy 150 gm</t>
  </si>
  <si>
    <t xml:space="preserve">3 cows cheese 200 gm</t>
  </si>
  <si>
    <t xml:space="preserve">Fini roller strawberry&amp;cream</t>
  </si>
  <si>
    <t xml:space="preserve">doux chicken franks original 400g</t>
  </si>
  <si>
    <t xml:space="preserve">Vegetable Potato's Chips Family Pack</t>
  </si>
  <si>
    <t xml:space="preserve">dallat aljazera coffe 30g</t>
  </si>
  <si>
    <t xml:space="preserve">Borgat Fusen mini bubble gums strawberry</t>
  </si>
  <si>
    <t xml:space="preserve">Hobby Chocolate Bar with Hazelnuts, Ulker</t>
  </si>
  <si>
    <t xml:space="preserve">Indomie Fried Noodles Cup</t>
  </si>
  <si>
    <t xml:space="preserve">Seven Days Swiss Roll strawberry</t>
  </si>
  <si>
    <t xml:space="preserve">banana wafer</t>
  </si>
  <si>
    <t xml:space="preserve">Nahool cake</t>
  </si>
  <si>
    <t xml:space="preserve">albatal tikita family size 155g</t>
  </si>
  <si>
    <t xml:space="preserve">indomie curry flavour cup</t>
  </si>
  <si>
    <t xml:space="preserve">Borgat Fusen mini bubble gums berry</t>
  </si>
  <si>
    <t xml:space="preserve">Borgat Gummy cars</t>
  </si>
  <si>
    <t xml:space="preserve">Gum Stick Mint Flavour 1 Pc</t>
  </si>
  <si>
    <t xml:space="preserve">Abu Kass rice 1 kg</t>
  </si>
  <si>
    <t xml:space="preserve">Ringo Chocolate Wafer</t>
  </si>
  <si>
    <t xml:space="preserve">Sambosa Switz 1 kilo</t>
  </si>
  <si>
    <t xml:space="preserve">galaxy cake chocolate</t>
  </si>
  <si>
    <t xml:space="preserve">Sukkary Rotab Siafa 1kg</t>
  </si>
  <si>
    <t xml:space="preserve">seven days Swiss roll vanilla cream 20g</t>
  </si>
  <si>
    <t xml:space="preserve">Nova gum mint (green)</t>
  </si>
  <si>
    <t xml:space="preserve">crispy rings cheese flavor</t>
  </si>
  <si>
    <t xml:space="preserve">indian crackers cup</t>
  </si>
  <si>
    <t xml:space="preserve">red roaster hot sauce</t>
  </si>
  <si>
    <t xml:space="preserve">vimto drink 250ml</t>
  </si>
  <si>
    <t xml:space="preserve">deemah strawberry cupcake</t>
  </si>
  <si>
    <t xml:space="preserve">Gum Stick Watermelon Flavour 1 Pc</t>
  </si>
  <si>
    <t xml:space="preserve">Corn Zamzam Family Size</t>
  </si>
  <si>
    <t xml:space="preserve">KDD mango and grapes without suger 180ml</t>
  </si>
  <si>
    <t xml:space="preserve">saudia double chocolate milk 200ml</t>
  </si>
  <si>
    <t xml:space="preserve">mr splash spread chocolate</t>
  </si>
  <si>
    <t xml:space="preserve">super roll hazelnut wafers</t>
  </si>
  <si>
    <t xml:space="preserve">Gum Stick Strawberry Flavour 1 Pc</t>
  </si>
  <si>
    <t xml:space="preserve">Salad Chipsy Family Size 75g</t>
  </si>
  <si>
    <t xml:space="preserve">Karak with Saffron tea Rabea 1pc</t>
  </si>
  <si>
    <t xml:space="preserve">Saudia milk chocolate and caramel</t>
  </si>
  <si>
    <t xml:space="preserve">siip wrapz cheese flavour coated snack 15g</t>
  </si>
  <si>
    <t xml:space="preserve">Borgat cola Lolli Pop 1 pcs</t>
  </si>
  <si>
    <t xml:space="preserve">Elshouokh Arabian Coffee 250 Gm</t>
  </si>
  <si>
    <t xml:space="preserve">Goody tenderina original tuna 185g</t>
  </si>
  <si>
    <t xml:space="preserve">khaltet AlQaseem saffran 125 gm</t>
  </si>
  <si>
    <t xml:space="preserve">Tamreya ghandour 1 pack</t>
  </si>
  <si>
    <t xml:space="preserve">kdd mango grape without suger 125ml</t>
  </si>
  <si>
    <t xml:space="preserve">Alwalimah Kabsa Mix</t>
  </si>
  <si>
    <t xml:space="preserve">nescafe arabiana with safaran 1 pac 30g</t>
  </si>
  <si>
    <t xml:space="preserve">Ulker | Kat Kat Tat Crispy Puff Pastry with Pistachio Cream</t>
  </si>
  <si>
    <t xml:space="preserve">deemah fantasy cake chocolate</t>
  </si>
  <si>
    <t xml:space="preserve">ulker tea biscuits</t>
  </si>
  <si>
    <t xml:space="preserve">sweet plus zeffo marshmallow cakes  150g</t>
  </si>
  <si>
    <t xml:space="preserve">Puck thick cream 250 ml</t>
  </si>
  <si>
    <t xml:space="preserve">chocolate nestle lion 42g</t>
  </si>
  <si>
    <t xml:space="preserve">Sukkary Rotab Siafa        (3kg)</t>
  </si>
  <si>
    <t xml:space="preserve">elmadinah henna 250gm</t>
  </si>
  <si>
    <t xml:space="preserve">7 days croissant Strawberry</t>
  </si>
  <si>
    <t xml:space="preserve">Mero Marshmallow</t>
  </si>
  <si>
    <t xml:space="preserve">alin regular chanachur</t>
  </si>
  <si>
    <t xml:space="preserve">albatal cheese ball,s 15g</t>
  </si>
  <si>
    <t xml:space="preserve">Marami Spicy Zig-Zag Family Size</t>
  </si>
  <si>
    <t xml:space="preserve">americana cake strawberry large 6pcs</t>
  </si>
  <si>
    <t xml:space="preserve">Rita Sparkling Drink red</t>
  </si>
  <si>
    <t xml:space="preserve">deemah marmo cake chocolate</t>
  </si>
  <si>
    <t xml:space="preserve">deemah cocolate cupcake</t>
  </si>
  <si>
    <t xml:space="preserve">ALBatal chipsy (salt)</t>
  </si>
  <si>
    <t xml:space="preserve">luxury cream fudge 900g elshamg</t>
  </si>
  <si>
    <t xml:space="preserve">Siafa Sukkary Dates 400gm</t>
  </si>
  <si>
    <t xml:space="preserve">Brick game 9999</t>
  </si>
  <si>
    <t xml:space="preserve">kat kat Ulker chocolate 12 pcs</t>
  </si>
  <si>
    <t xml:space="preserve">luna milk analogue 170ML</t>
  </si>
  <si>
    <t xml:space="preserve">galaxy cake vanilla</t>
  </si>
  <si>
    <t xml:space="preserve">galaxy cake caramel</t>
  </si>
  <si>
    <t xml:space="preserve">Dob gum 1 pack</t>
  </si>
  <si>
    <t xml:space="preserve">alwalimah Bukhari Rice Mix.</t>
  </si>
  <si>
    <t xml:space="preserve">indomie spicy fried noodles black 5 pcs</t>
  </si>
  <si>
    <t xml:space="preserve">kinder cards</t>
  </si>
  <si>
    <t xml:space="preserve">Marie Biscuits</t>
  </si>
  <si>
    <t xml:space="preserve">Kitco Stix Salt &amp; Vinegar Sticks 40g</t>
  </si>
  <si>
    <t xml:space="preserve">deemah double chocolate muffin</t>
  </si>
  <si>
    <t xml:space="preserve">freeze dried banana 100g ( egyptian product )</t>
  </si>
  <si>
    <t xml:space="preserve">Miaw Miaw Pizza Flavor</t>
  </si>
  <si>
    <t xml:space="preserve">kdd cocktail 125ml</t>
  </si>
  <si>
    <t xml:space="preserve">Baja salted pistachio</t>
  </si>
  <si>
    <t xml:space="preserve">Marami cheese</t>
  </si>
  <si>
    <t xml:space="preserve">snek ku pick fine shrimp flavor</t>
  </si>
  <si>
    <t xml:space="preserve">kdd chocolate low fat 24 pack</t>
  </si>
  <si>
    <t xml:space="preserve">Saudi Indomie (hot &amp; spicy fried noodles) 5pc</t>
  </si>
  <si>
    <t xml:space="preserve">Saudi Indomie (green chili fried noodles) 5pc</t>
  </si>
  <si>
    <t xml:space="preserve">Puck Creamy Cheese 240g</t>
  </si>
  <si>
    <t xml:space="preserve">lays mango &amp; hot spices 60g</t>
  </si>
  <si>
    <t xml:space="preserve">Milk toffo (Demah) 250 Gm</t>
  </si>
  <si>
    <t xml:space="preserve">Hazelnut Ulker Deluxe Wafer</t>
  </si>
  <si>
    <t xml:space="preserve">Dried lemon 70g</t>
  </si>
  <si>
    <t xml:space="preserve">chocolate rico wafer large pack 30g</t>
  </si>
  <si>
    <t xml:space="preserve">Spout lotte spearmint</t>
  </si>
  <si>
    <t xml:space="preserve">rico biscuit chocolate 1 pc</t>
  </si>
  <si>
    <t xml:space="preserve">quavers large</t>
  </si>
  <si>
    <t xml:space="preserve">doux chicken franks smoked 400g</t>
  </si>
  <si>
    <t xml:space="preserve">doux chicken franks hot &amp; spicy 400g</t>
  </si>
  <si>
    <t xml:space="preserve">Saudi Indomie (baladi chicken) 5 pc</t>
  </si>
  <si>
    <t xml:space="preserve">Oman Chips Spicy can</t>
  </si>
  <si>
    <t xml:space="preserve">Balsharaf Pufak Cheese Flavour 20 gm</t>
  </si>
  <si>
    <t xml:space="preserve">rana Grape leaves 400 gm</t>
  </si>
  <si>
    <t xml:space="preserve">Batook Mint Gum pack of 20 Pcs</t>
  </si>
  <si>
    <t xml:space="preserve">macadamia vanilla smoked 120g</t>
  </si>
  <si>
    <t xml:space="preserve">Saudi pepsi diet</t>
  </si>
  <si>
    <t xml:space="preserve">Laviva Chocolate, Ulker</t>
  </si>
  <si>
    <t xml:space="preserve">deemah curvy cake chocolate</t>
  </si>
  <si>
    <t xml:space="preserve">ghandour fruit gum 1pack</t>
  </si>
  <si>
    <t xml:space="preserve">chips deemah farfasha crunchy corn</t>
  </si>
  <si>
    <t xml:space="preserve">chupa sour belt</t>
  </si>
  <si>
    <t xml:space="preserve">millionaire corn curls</t>
  </si>
  <si>
    <t xml:space="preserve">abu kass punjabi amber rice 5kg</t>
  </si>
  <si>
    <t xml:space="preserve">americana cake vanilla</t>
  </si>
  <si>
    <t xml:space="preserve">Saudi Indomie hot &amp; spicy fried noodles cup</t>
  </si>
  <si>
    <t xml:space="preserve">sour zank strawberry sticks</t>
  </si>
  <si>
    <t xml:space="preserve">cheetos crunchy spicy and limon 65g</t>
  </si>
  <si>
    <t xml:space="preserve">Dried vegetables 100g</t>
  </si>
  <si>
    <t xml:space="preserve">flash carbonated soft drink 250ml (blue)</t>
  </si>
  <si>
    <t xml:space="preserve">Kitco Stix lightly salted Potato Sticks 40g</t>
  </si>
  <si>
    <t xml:space="preserve">Kat Kat Ulker hazelnut</t>
  </si>
  <si>
    <t xml:space="preserve">ghandour cinnamon gum 1pack</t>
  </si>
  <si>
    <t xml:space="preserve">Nova Apple Gum</t>
  </si>
  <si>
    <t xml:space="preserve">bumb bubble gum blueberry</t>
  </si>
  <si>
    <t xml:space="preserve">alalali borth</t>
  </si>
  <si>
    <t xml:space="preserve">Almarai Mango &amp; Grape Juice</t>
  </si>
  <si>
    <t xml:space="preserve">khaltet AlQaseem 250 gm</t>
  </si>
  <si>
    <t xml:space="preserve">Eltajj cream 95 g</t>
  </si>
  <si>
    <t xml:space="preserve">KDD strawberry</t>
  </si>
  <si>
    <t xml:space="preserve">ZAZy Jelly (strawberry)</t>
  </si>
  <si>
    <t xml:space="preserve">nova gum fruits</t>
  </si>
  <si>
    <t xml:space="preserve">Kohl Alathmad</t>
  </si>
  <si>
    <t xml:space="preserve">Hotel perfume</t>
  </si>
  <si>
    <t xml:space="preserve">Almarai apple juice</t>
  </si>
  <si>
    <t xml:space="preserve">Saudi Indomie (red chili fried noodles) 5 pc</t>
  </si>
  <si>
    <t xml:space="preserve">flash carbonated soft drink 250ml (red)</t>
  </si>
  <si>
    <t xml:space="preserve">Pineapple juice Alrabei</t>
  </si>
  <si>
    <t xml:space="preserve">alrabie berry mix original 125ml</t>
  </si>
  <si>
    <t xml:space="preserve">Spout lotte cinnamon</t>
  </si>
  <si>
    <t xml:space="preserve">deemah cupcake vanilla</t>
  </si>
  <si>
    <t xml:space="preserve">abu kass rice 5kg</t>
  </si>
  <si>
    <t xml:space="preserve">Japanese crackers</t>
  </si>
  <si>
    <t xml:space="preserve">sweet plus zeffo  marshmallow cakes strawberry 150g</t>
  </si>
  <si>
    <t xml:space="preserve">Nasma cheese Corn</t>
  </si>
  <si>
    <t xml:space="preserve">siip wrapz strawberry 15g</t>
  </si>
  <si>
    <t xml:space="preserve">mero chocolate and peanut</t>
  </si>
  <si>
    <t xml:space="preserve">punjabi almuhaidib basmati rice 5kg</t>
  </si>
  <si>
    <t xml:space="preserve">kat kat Ulker chocolate 30*18g</t>
  </si>
  <si>
    <t xml:space="preserve">American cardamom 100g</t>
  </si>
  <si>
    <t xml:space="preserve">Lipton ice tea peach French 330ml</t>
  </si>
  <si>
    <t xml:space="preserve">ghandour waffle</t>
  </si>
  <si>
    <t xml:space="preserve">Alwalimah baryani Mix</t>
  </si>
  <si>
    <t xml:space="preserve">doux chicken franks cheese 400g</t>
  </si>
  <si>
    <t xml:space="preserve">Baja salted almond</t>
  </si>
  <si>
    <t xml:space="preserve">Sour Zank cola Sticks</t>
  </si>
  <si>
    <t xml:space="preserve">galaxy cake hazelnut</t>
  </si>
  <si>
    <t xml:space="preserve">Mabroom Dates(Siafa)400 gms</t>
  </si>
  <si>
    <t xml:space="preserve">Gandour Spearmint Gum 60 pcs sugar free‏</t>
  </si>
  <si>
    <t xml:space="preserve">Miaw Miaw Chicken</t>
  </si>
  <si>
    <t xml:space="preserve">Reese's White Creamy Peanut Butter Chocolate Cup 39g</t>
  </si>
  <si>
    <t xml:space="preserve">siip wrapz chocolate 15g</t>
  </si>
  <si>
    <t xml:space="preserve">fofo pop lolipop strawberry</t>
  </si>
  <si>
    <t xml:space="preserve">Karak with Saffron tea Rabea 10pack</t>
  </si>
  <si>
    <t xml:space="preserve">doux chicken franks garlic 400g</t>
  </si>
  <si>
    <t xml:space="preserve">Samyang carbonara ramen</t>
  </si>
  <si>
    <t xml:space="preserve">7 days cake bar chocolate mini 40g</t>
  </si>
  <si>
    <t xml:space="preserve">rita sparkling drink blue 240ml</t>
  </si>
  <si>
    <t xml:space="preserve">lays salt &amp; vinegar 11g</t>
  </si>
  <si>
    <t xml:space="preserve">Teashop zekrayat date biscuit</t>
  </si>
  <si>
    <t xml:space="preserve">Gandour natural mastic gum sugar free</t>
  </si>
  <si>
    <t xml:space="preserve">salted peanuts large 120g</t>
  </si>
  <si>
    <t xml:space="preserve">Miaw Miaw Spicy Shrimp</t>
  </si>
  <si>
    <t xml:space="preserve">rana Jalapeno hot sauce</t>
  </si>
  <si>
    <t xml:space="preserve">Sour Zank appleSticks</t>
  </si>
  <si>
    <t xml:space="preserve">siafa mamool 210g</t>
  </si>
  <si>
    <t xml:space="preserve">Siafa Dates chocolate &amp; Lotus 100 Gms</t>
  </si>
  <si>
    <t xml:space="preserve">Marami ketchup Zig-Zag Family Size</t>
  </si>
  <si>
    <t xml:space="preserve">Samyang Buldak Quattro Cheese Spicy Chicken</t>
  </si>
  <si>
    <t xml:space="preserve">Kitco Stix Tabasco Pepper Sauce Potato Sticks 40g</t>
  </si>
  <si>
    <t xml:space="preserve">zello gummy pizza</t>
  </si>
  <si>
    <t xml:space="preserve">Borgat Gummy bumble bear</t>
  </si>
  <si>
    <t xml:space="preserve">Twizzlers Strawberry zero sugar 141g</t>
  </si>
  <si>
    <t xml:space="preserve">cheddar Kraft creme cheese 230 gm</t>
  </si>
  <si>
    <t xml:space="preserve">siafa Dates Mamool Asawer (No Added Sugar ) 200 Gms</t>
  </si>
  <si>
    <t xml:space="preserve">Sukkary Mefatel Siafa 1 kg</t>
  </si>
  <si>
    <t xml:space="preserve">puck cream</t>
  </si>
  <si>
    <t xml:space="preserve">Meswak lemon flavor</t>
  </si>
  <si>
    <t xml:space="preserve">Rita Sparkling Drink berry</t>
  </si>
  <si>
    <t xml:space="preserve">7 days cake bar chocolate milk mini 40g</t>
  </si>
  <si>
    <t xml:space="preserve">Ringo chocolate vanilla wafer 1pack</t>
  </si>
  <si>
    <t xml:space="preserve">Nova Gum Peppermint</t>
  </si>
  <si>
    <t xml:space="preserve">Hobby waffer Chocolate</t>
  </si>
  <si>
    <t xml:space="preserve">Siafa Chocolate Dates With Hazelnut 100gm</t>
  </si>
  <si>
    <t xml:space="preserve">Ulker Dubai Chocolate with Pistachio Cream &amp; Kataifi Filling</t>
  </si>
  <si>
    <t xml:space="preserve">takis fuego hot chill &amp; lime 140g</t>
  </si>
  <si>
    <t xml:space="preserve">Apple juice Alrabei</t>
  </si>
  <si>
    <t xml:space="preserve">KDD Apple</t>
  </si>
  <si>
    <t xml:space="preserve">Alshalaan Rice 5 Kg</t>
  </si>
  <si>
    <t xml:space="preserve">siafa mamool cappuccino 115g</t>
  </si>
  <si>
    <t xml:space="preserve">Siafa Dates With Dark Chocolate And Almond 100 Gms</t>
  </si>
  <si>
    <t xml:space="preserve">Alwalimah  baryani spicy Mix</t>
  </si>
  <si>
    <t xml:space="preserve">siafa sukkary Rotab 500g</t>
  </si>
  <si>
    <t xml:space="preserve">Marami BBQ Zig-Zag family size</t>
  </si>
  <si>
    <t xml:space="preserve">6 pc rana hot sauce *100ml</t>
  </si>
  <si>
    <t xml:space="preserve">albatal tikita mediem size 65g</t>
  </si>
  <si>
    <t xml:space="preserve">Marami  ketchup Zig-Zag small</t>
  </si>
  <si>
    <t xml:space="preserve">Rita Sparkling Drink mojito</t>
  </si>
  <si>
    <t xml:space="preserve">rico salty sticks 20g</t>
  </si>
  <si>
    <t xml:space="preserve">Miaw Miaw BBQ</t>
  </si>
  <si>
    <t xml:space="preserve">lutti roll up gum</t>
  </si>
  <si>
    <t xml:space="preserve">luna cream plain 155g</t>
  </si>
  <si>
    <t xml:space="preserve">Kitco Stix Hot &amp; Spicy Sticks 40g</t>
  </si>
  <si>
    <t xml:space="preserve">alrai juice apple grape 125ml</t>
  </si>
  <si>
    <t xml:space="preserve">Oman Majid Crispy Potato Chips 12Gm</t>
  </si>
  <si>
    <t xml:space="preserve">Millionaire chips salt &amp; vinegar</t>
  </si>
  <si>
    <t xml:space="preserve">Sedr Alhelal 350 gm</t>
  </si>
  <si>
    <t xml:space="preserve">cheetos har nar 16 pack * 25g</t>
  </si>
  <si>
    <t xml:space="preserve">abu kass rice 2kg</t>
  </si>
  <si>
    <t xml:space="preserve">Samyang Crema Carbo Buldak</t>
  </si>
  <si>
    <t xml:space="preserve">Cric Crac Ketchup Family Size</t>
  </si>
  <si>
    <t xml:space="preserve">Fish Fash Spicy Family Pack</t>
  </si>
  <si>
    <t xml:space="preserve">7 days croissant Vanilla</t>
  </si>
  <si>
    <t xml:space="preserve">Spout lotte peppermint</t>
  </si>
  <si>
    <t xml:space="preserve">Chiplets Salt &amp; vinegar</t>
  </si>
  <si>
    <t xml:space="preserve">Fine Rabea Leaf Tea 400</t>
  </si>
  <si>
    <t xml:space="preserve">Arabic Coffee Beesha 250gm</t>
  </si>
  <si>
    <t xml:space="preserve">siafa mamool ajwa 210g</t>
  </si>
  <si>
    <t xml:space="preserve">Siafa mamool asawer cardamom 200g</t>
  </si>
  <si>
    <t xml:space="preserve">Monster ultra rosa Energy Drink 500ml</t>
  </si>
  <si>
    <t xml:space="preserve">Marami french cheese zig-zag family size</t>
  </si>
  <si>
    <t xml:space="preserve">ice cream Elsaudia vanilia and chocolate</t>
  </si>
  <si>
    <t xml:space="preserve">KDD Full Cream Milk</t>
  </si>
  <si>
    <t xml:space="preserve">choco panda</t>
  </si>
  <si>
    <t xml:space="preserve">Choki Choki Chocolate Cashew Paste Sticks 27g</t>
  </si>
  <si>
    <t xml:space="preserve">Trolli Pizza 5 Slice 20g</t>
  </si>
  <si>
    <t xml:space="preserve">ghandour tutti frutti gum 1pack</t>
  </si>
  <si>
    <t xml:space="preserve">borgat icepop duopop watermelon &amp; blueberry 1pc</t>
  </si>
  <si>
    <t xml:space="preserve">rozy gummy hotdog 30g</t>
  </si>
  <si>
    <t xml:space="preserve">Monster Rio Punch Energy Drink 500ml</t>
  </si>
  <si>
    <t xml:space="preserve">Twizzlers nibs cherry low fat 63g</t>
  </si>
  <si>
    <t xml:space="preserve">freeze dried mango cubes 70 gm</t>
  </si>
  <si>
    <t xml:space="preserve">kat kat Ulker creme</t>
  </si>
  <si>
    <t xml:space="preserve">siip cheese corn large pack</t>
  </si>
  <si>
    <t xml:space="preserve">Rana hot sauce 180ml</t>
  </si>
  <si>
    <t xml:space="preserve">Elyamama Cake Blueberry</t>
  </si>
  <si>
    <t xml:space="preserve">Fini roller watermelon</t>
  </si>
  <si>
    <t xml:space="preserve">Twizzlers Strawberry low fat 198g</t>
  </si>
  <si>
    <t xml:space="preserve">Homor Jawi</t>
  </si>
  <si>
    <t xml:space="preserve">siafa mamool asawer 300g</t>
  </si>
  <si>
    <t xml:space="preserve">Siafa Mamool Asawer Sesame 200 Gms</t>
  </si>
  <si>
    <t xml:space="preserve">alwalimah masala mix</t>
  </si>
  <si>
    <t xml:space="preserve">Saudi Airlines candle</t>
  </si>
  <si>
    <t xml:space="preserve">saudi Bison 250ml</t>
  </si>
  <si>
    <t xml:space="preserve">Goody tenderina tuna  80g</t>
  </si>
  <si>
    <t xml:space="preserve">miaw miaw spicy</t>
  </si>
  <si>
    <t xml:space="preserve">Kiwi and lime Alrabie</t>
  </si>
  <si>
    <t xml:space="preserve">siip rosted corn large pack</t>
  </si>
  <si>
    <t xml:space="preserve">americana butter cookies</t>
  </si>
  <si>
    <t xml:space="preserve">fini straws strawberry</t>
  </si>
  <si>
    <t xml:space="preserve">Musk silk</t>
  </si>
  <si>
    <t xml:space="preserve">ulker chocolate 10 packs</t>
  </si>
  <si>
    <t xml:space="preserve">kraft cheddar cheese 500g</t>
  </si>
  <si>
    <t xml:space="preserve">Siafa mamool chocolate 210g</t>
  </si>
  <si>
    <t xml:space="preserve">Siafa mamool asawer cinnamon 200g</t>
  </si>
  <si>
    <t xml:space="preserve">Siafa Dates With White Chocolate And Almond 100 Gms</t>
  </si>
  <si>
    <t xml:space="preserve">Siafa Chocolate Dates With milk chocolate 100gm</t>
  </si>
  <si>
    <t xml:space="preserve">Monster Mariposa Energy Drink 500ml</t>
  </si>
  <si>
    <t xml:space="preserve">loqmet elqadi (alalali)</t>
  </si>
  <si>
    <t xml:space="preserve">snack chocolate sandwich  22g</t>
  </si>
  <si>
    <t xml:space="preserve">ulker kat kat Strawberry</t>
  </si>
  <si>
    <t xml:space="preserve">alrabie mango</t>
  </si>
  <si>
    <t xml:space="preserve">soudan chocolate</t>
  </si>
  <si>
    <t xml:space="preserve">Fini roller Raspberry</t>
  </si>
  <si>
    <t xml:space="preserve">sours mix smile fruit gum</t>
  </si>
  <si>
    <t xml:space="preserve">Bravo buble gum tuty fruity 2 pieces</t>
  </si>
  <si>
    <t xml:space="preserve">Milk powder anchor 900g</t>
  </si>
  <si>
    <t xml:space="preserve">siafa sagai honey and almond 400g</t>
  </si>
  <si>
    <t xml:space="preserve">Siafa Dates With Brown Chocolate coated dates 115 Gms</t>
  </si>
  <si>
    <t xml:space="preserve">Safawi Dates(Siafa)400 gms</t>
  </si>
  <si>
    <t xml:space="preserve">luxury (vanilla) fudge 400g elshamg</t>
  </si>
  <si>
    <t xml:space="preserve">Monster Pacific Punch Energy Drink 500ml</t>
  </si>
  <si>
    <t xml:space="preserve">Marami cheddar jalapeno Zig-Zag Family Size</t>
  </si>
  <si>
    <t xml:space="preserve">7 days double croissant cocoa &amp; vanilla with caramel filing</t>
  </si>
  <si>
    <t xml:space="preserve">chupa sour belt large pack</t>
  </si>
  <si>
    <t xml:space="preserve">chocolate nestle lion peanut 42g</t>
  </si>
  <si>
    <t xml:space="preserve">kdd apple kids</t>
  </si>
  <si>
    <t xml:space="preserve">ulker stickes zaater</t>
  </si>
  <si>
    <t xml:space="preserve">seven days Swiss roll vanilla with vanilla filling</t>
  </si>
  <si>
    <t xml:space="preserve">borgat sour buzz mini belts strawberry 50 gm</t>
  </si>
  <si>
    <t xml:space="preserve">zello burger minis</t>
  </si>
  <si>
    <t xml:space="preserve">Chupa Chups Lolipop Candy</t>
  </si>
  <si>
    <t xml:space="preserve">saudi pepsi 24 pc</t>
  </si>
  <si>
    <t xml:space="preserve">Borgat Raspberry Jelly 160 grams</t>
  </si>
  <si>
    <t xml:space="preserve">halawany mamoul small 18 pack</t>
  </si>
  <si>
    <t xml:space="preserve">Monster zero suger ultra mango 500ml</t>
  </si>
  <si>
    <t xml:space="preserve">alwalimah basmati rice</t>
  </si>
  <si>
    <t xml:space="preserve">lutti tubble gum cherry</t>
  </si>
  <si>
    <t xml:space="preserve">Marami BBQ Zig-Zag small</t>
  </si>
  <si>
    <t xml:space="preserve">Rita mixed berries (sparkling drink)</t>
  </si>
  <si>
    <t xml:space="preserve">ulker stickes sesame</t>
  </si>
  <si>
    <t xml:space="preserve">ulker stickes cheese</t>
  </si>
  <si>
    <t xml:space="preserve">Kitco Stix sour cream &amp; onion Sticks 40g</t>
  </si>
  <si>
    <t xml:space="preserve">Marami Corn Sticks Chili &amp; Lime 25g</t>
  </si>
  <si>
    <t xml:space="preserve">nahool cake we bees vanilla 1 pack</t>
  </si>
  <si>
    <t xml:space="preserve">Farfasha ketchup</t>
  </si>
  <si>
    <t xml:space="preserve">Strawberry Baloona Gum</t>
  </si>
  <si>
    <t xml:space="preserve">fid fad</t>
  </si>
  <si>
    <t xml:space="preserve">Twizzlers cherry low fat 172g</t>
  </si>
  <si>
    <t xml:space="preserve">tasali ketchup small 21 pcs</t>
  </si>
  <si>
    <t xml:space="preserve">7 days chocolate cake bar with chocolate filling 5pieces</t>
  </si>
  <si>
    <t xml:space="preserve">siafa mamool biscuit with dates 115g</t>
  </si>
  <si>
    <t xml:space="preserve">Monster mango Energy Drink 500ml</t>
  </si>
  <si>
    <t xml:space="preserve">eti pop kek with chocolate 144g</t>
  </si>
  <si>
    <t xml:space="preserve">sour drop and jam gummy bluberry</t>
  </si>
  <si>
    <t xml:space="preserve">Curry Spices 100 Gm</t>
  </si>
  <si>
    <t xml:space="preserve">deemah chocolate brownie 44g</t>
  </si>
  <si>
    <t xml:space="preserve">joy wavy vegetables chips 12g</t>
  </si>
  <si>
    <t xml:space="preserve">Baja Arabic coffee with cardamom 10 pc</t>
  </si>
  <si>
    <t xml:space="preserve">krupuk shrimp</t>
  </si>
  <si>
    <t xml:space="preserve">chocolate safari 12 pcs</t>
  </si>
  <si>
    <t xml:space="preserve">garlic krupuk</t>
  </si>
  <si>
    <t xml:space="preserve">ulker sticks 12pc</t>
  </si>
  <si>
    <t xml:space="preserve">Batook Chewing Gum</t>
  </si>
  <si>
    <t xml:space="preserve">TOTTI fruiti 15pc</t>
  </si>
  <si>
    <t xml:space="preserve">kdd premium chocolate milk 250ml</t>
  </si>
  <si>
    <t xml:space="preserve">lipton sparking ice tea tropikal 330ml</t>
  </si>
  <si>
    <t xml:space="preserve">Berry mix juice Alrabie 185 ml</t>
  </si>
  <si>
    <t xml:space="preserve">Sour Zank bluberry Sticks</t>
  </si>
  <si>
    <t xml:space="preserve">Nova Gum Watermelon</t>
  </si>
  <si>
    <t xml:space="preserve">Mirinda citrus 24pack</t>
  </si>
  <si>
    <t xml:space="preserve">happy mistic gum 75 pack</t>
  </si>
  <si>
    <t xml:space="preserve">Merito starch spray</t>
  </si>
  <si>
    <t xml:space="preserve">Alwalimah mandi mix</t>
  </si>
  <si>
    <t xml:space="preserve">Almarai Mango with Mix Fruit</t>
  </si>
  <si>
    <t xml:space="preserve">Siafa Dates Orange Peel 100 Gms</t>
  </si>
  <si>
    <t xml:space="preserve">Siafa Dates With white chocolate coated dates 115 gms</t>
  </si>
  <si>
    <t xml:space="preserve">kdd bechamel sauce 500ml</t>
  </si>
  <si>
    <t xml:space="preserve">Sweet Plus Sugar free choco biscuits vanilla 105g</t>
  </si>
  <si>
    <t xml:space="preserve">Batook Banana Gum 20 pc</t>
  </si>
  <si>
    <t xml:space="preserve">Samyang Hot Chicken Ramen Noodles 140g</t>
  </si>
  <si>
    <t xml:space="preserve">mountain dew spark 330ml</t>
  </si>
  <si>
    <t xml:space="preserve">Meswak without flavor</t>
  </si>
  <si>
    <t xml:space="preserve">lutti tubble gum raspberry</t>
  </si>
  <si>
    <t xml:space="preserve">Borgat Fusen mini bubble gums cola</t>
  </si>
  <si>
    <t xml:space="preserve">snackits baked cheese</t>
  </si>
  <si>
    <t xml:space="preserve">TROLLI SOUR FRIES BOX 22g</t>
  </si>
  <si>
    <t xml:space="preserve">Dob gum 1pc</t>
  </si>
  <si>
    <t xml:space="preserve">Watermelon balloon gum</t>
  </si>
  <si>
    <t xml:space="preserve">triplex milk chocolate biscuit 20g</t>
  </si>
  <si>
    <t xml:space="preserve">bumb bubble gum cola</t>
  </si>
  <si>
    <t xml:space="preserve">nescafe arabiana with Cardamom 1 pac 30g 1 pack of 10 pcs</t>
  </si>
  <si>
    <t xml:space="preserve">jadayel Royal oil</t>
  </si>
  <si>
    <t xml:space="preserve">salted peanuts 24pc</t>
  </si>
  <si>
    <t xml:space="preserve">Alwazah Pure Cylon Tea 400 gm</t>
  </si>
  <si>
    <t xml:space="preserve">om Saleh Mamool</t>
  </si>
  <si>
    <t xml:space="preserve">kraft cheddar cheese 250g</t>
  </si>
  <si>
    <t xml:space="preserve">tufi luk chocolate 12 pcs</t>
  </si>
  <si>
    <t xml:space="preserve">kleja mama</t>
  </si>
  <si>
    <t xml:space="preserve">khadeer tea ceylon 200g</t>
  </si>
  <si>
    <t xml:space="preserve">Siafa Mamool Asawer Black Seeds 200 Gms</t>
  </si>
  <si>
    <t xml:space="preserve">monster energy lando norris 500ml</t>
  </si>
  <si>
    <t xml:space="preserve">freeze dried mango slices 70gm</t>
  </si>
  <si>
    <t xml:space="preserve">sweet plus Biscuits with strawberry jam 150g</t>
  </si>
  <si>
    <t xml:space="preserve">finjan alarab coffee cardamom 25g</t>
  </si>
  <si>
    <t xml:space="preserve">Yan Yan Sticks Chocolate huzelnut</t>
  </si>
  <si>
    <t xml:space="preserve">riyadh food vanilla</t>
  </si>
  <si>
    <t xml:space="preserve">Kitco Stix Paprika Sticks 40g</t>
  </si>
  <si>
    <t xml:space="preserve">jhal muri chill &amp; lemon</t>
  </si>
  <si>
    <t xml:space="preserve">albatal salted peanuts 11g</t>
  </si>
  <si>
    <t xml:space="preserve">moonsters chocolate bits chocobon 15g</t>
  </si>
  <si>
    <t xml:space="preserve">Albatal chips yogurt &amp; mint flavor small 12g</t>
  </si>
  <si>
    <t xml:space="preserve">Boshar Al nar chili &amp; lemon</t>
  </si>
  <si>
    <t xml:space="preserve">borgat bounz gum 12g</t>
  </si>
  <si>
    <t xml:space="preserve">bumb bubble gum strawberry</t>
  </si>
  <si>
    <t xml:space="preserve">mamoul dosari</t>
  </si>
  <si>
    <t xml:space="preserve">Milk powder anchor 400gm</t>
  </si>
  <si>
    <t xml:space="preserve">alwalimah basmati rice 5kg</t>
  </si>
  <si>
    <t xml:space="preserve">Almarai Orange Juice</t>
  </si>
  <si>
    <t xml:space="preserve">Almarai Pomegranate juice</t>
  </si>
  <si>
    <t xml:space="preserve">kraft cheddar cheese 440g</t>
  </si>
  <si>
    <t xml:space="preserve">Siafa mamool asawer borr</t>
  </si>
  <si>
    <t xml:space="preserve">siafa mamool coconut 115g</t>
  </si>
  <si>
    <t xml:space="preserve">Marami salt Zig-Zag family size</t>
  </si>
  <si>
    <t xml:space="preserve">Dried fruits (freezed)</t>
  </si>
  <si>
    <t xml:space="preserve">Chinese nuts 120g</t>
  </si>
  <si>
    <t xml:space="preserve">monster energy ultra watermelon 500ml</t>
  </si>
  <si>
    <t xml:space="preserve">sweet plus sugar free cocoa choco biscuits 105g</t>
  </si>
  <si>
    <t xml:space="preserve">Sweet Plus Sugar Free Cocoa Biscuits 100G</t>
  </si>
  <si>
    <t xml:space="preserve">lays spicy 110g</t>
  </si>
  <si>
    <t xml:space="preserve">Mehran Tandoori Masala</t>
  </si>
  <si>
    <t xml:space="preserve">crispy rings cheese flavor family size</t>
  </si>
  <si>
    <t xml:space="preserve">Samyang Hot Chicken Ramen Cheese Noodles</t>
  </si>
  <si>
    <t xml:space="preserve">reese,s sticks peanut butter creme 42g</t>
  </si>
  <si>
    <t xml:space="preserve">Meswak clove flavor</t>
  </si>
  <si>
    <t xml:space="preserve">cumin seeds</t>
  </si>
  <si>
    <t xml:space="preserve">donut cake deemah (chocolate)</t>
  </si>
  <si>
    <t xml:space="preserve">ghandour spearmint gum 1pack</t>
  </si>
  <si>
    <t xml:space="preserve">Bravo buble gum strawberry 2 pieces</t>
  </si>
  <si>
    <t xml:space="preserve">Amber oud</t>
  </si>
  <si>
    <t xml:space="preserve">bikan vanilia 500g</t>
  </si>
  <si>
    <t xml:space="preserve">bentleys tea</t>
  </si>
  <si>
    <t xml:space="preserve">Capri- Sun mango 10pc</t>
  </si>
  <si>
    <t xml:space="preserve">bifa soft banana  30pcs</t>
  </si>
  <si>
    <t xml:space="preserve">Sambosa Switz Baladi 1 kilo</t>
  </si>
  <si>
    <t xml:space="preserve">Siafa mamool asawer saffron 200g</t>
  </si>
  <si>
    <t xml:space="preserve">siafa mamool hazelnut 115g</t>
  </si>
  <si>
    <t xml:space="preserve">lays spicy babrica family</t>
  </si>
  <si>
    <t xml:space="preserve">monster energy orange &amp; lemon 500ml</t>
  </si>
  <si>
    <t xml:space="preserve">sweet plus crispy &amp; cocoa whithout suger 100g</t>
  </si>
  <si>
    <t xml:space="preserve">sweet plus suger free cocoa wafer rolls 120g</t>
  </si>
  <si>
    <t xml:space="preserve">sour drop and jam gummy rasberry</t>
  </si>
  <si>
    <t xml:space="preserve">Samyang Hot Chicken Romen Jjajang Noodles 140g</t>
  </si>
  <si>
    <t xml:space="preserve">Miaw miaw original falvor</t>
  </si>
  <si>
    <t xml:space="preserve">rana hot souce extra hot</t>
  </si>
  <si>
    <t xml:space="preserve">crunchos potato stix grilled chicken 35g</t>
  </si>
  <si>
    <t xml:space="preserve">Salted Biscuits</t>
  </si>
  <si>
    <t xml:space="preserve">Sour apple rings candy</t>
  </si>
  <si>
    <t xml:space="preserve">tiffany Kraemer</t>
  </si>
  <si>
    <t xml:space="preserve">Ringo hazelnut wafer</t>
  </si>
  <si>
    <t xml:space="preserve">bumb bubble gum watermelon</t>
  </si>
  <si>
    <t xml:space="preserve">toffo nestle 48pack</t>
  </si>
  <si>
    <t xml:space="preserve">Sambosa Switz Baladi 2 kilo + free box</t>
  </si>
  <si>
    <t xml:space="preserve">khaltet AlQaseem  500gm</t>
  </si>
  <si>
    <t xml:space="preserve">Twizzlers rainbow low fat 351g</t>
  </si>
  <si>
    <t xml:space="preserve">Capri- Sun orange   10pc</t>
  </si>
  <si>
    <t xml:space="preserve">tasali spicy small 21 pcs</t>
  </si>
  <si>
    <t xml:space="preserve">siafa White Chocolate Mamool 210 Gms</t>
  </si>
  <si>
    <t xml:space="preserve">Al Haram Al Makki Perfume 500ml</t>
  </si>
  <si>
    <t xml:space="preserve">alwalimah basmati rice 2kg</t>
  </si>
  <si>
    <t xml:space="preserve">sweet plus lemon sugar free mini waffer 180g</t>
  </si>
  <si>
    <t xml:space="preserve">sweet plus peanuts &amp; cocoa whithout suger 100g</t>
  </si>
  <si>
    <t xml:space="preserve">Samyang Hot Chicken Ramen * 3 Spicy Noodles 140g</t>
  </si>
  <si>
    <t xml:space="preserve">Meswak lychee flavor</t>
  </si>
  <si>
    <t xml:space="preserve">chupa chups sour bites 85g</t>
  </si>
  <si>
    <t xml:space="preserve">ulker sticks chili 30g</t>
  </si>
  <si>
    <t xml:space="preserve">Crunchos Potato Stix ketchup 35g</t>
  </si>
  <si>
    <t xml:space="preserve">Oman Chips ALIBABA Potato 12g</t>
  </si>
  <si>
    <t xml:space="preserve">Trolli kiss strawberry</t>
  </si>
  <si>
    <t xml:space="preserve">millionair potato chips chilli 10gm</t>
  </si>
  <si>
    <t xml:space="preserve">ghandour peppermint gum 1pack</t>
  </si>
  <si>
    <t xml:space="preserve">nahool cake raisen</t>
  </si>
  <si>
    <t xml:space="preserve">alshaikh iraqi maan wa salwa pistachios + almond 500g</t>
  </si>
  <si>
    <t xml:space="preserve">Baja Arabic Coffee Saffron 10 pc</t>
  </si>
  <si>
    <t xml:space="preserve">KDD chocolate 180 ml - 18 pcs</t>
  </si>
  <si>
    <t xml:space="preserve">siafa ajwa with cardamom and nuts powder</t>
  </si>
  <si>
    <t xml:space="preserve">elmorjene Hazelnut Cream 700gm</t>
  </si>
  <si>
    <t xml:space="preserve">Almarai Citrus Mix</t>
  </si>
  <si>
    <t xml:space="preserve">kdd bechamel sauce 1L</t>
  </si>
  <si>
    <t xml:space="preserve">Siafa Sukkary Caramel 100 Gms</t>
  </si>
  <si>
    <t xml:space="preserve">Siafa Chocolate With Coconut 100g</t>
  </si>
  <si>
    <t xml:space="preserve">sweet plus sugar free mini wafers cocoa creme 180g</t>
  </si>
  <si>
    <t xml:space="preserve">Monster Energy Drink Ultra Peachy Keen Zero Sugar 500ml</t>
  </si>
  <si>
    <t xml:space="preserve">sweet plus zeffo marshmallow cakes with coconut  115g</t>
  </si>
  <si>
    <t xml:space="preserve">miaw miaw Ketchup</t>
  </si>
  <si>
    <t xml:space="preserve">americana cake chocolate</t>
  </si>
  <si>
    <t xml:space="preserve">Bay leaf</t>
  </si>
  <si>
    <t xml:space="preserve">saudi Bison 185 ML</t>
  </si>
  <si>
    <t xml:space="preserve">Samyang Hot Chicken Romen *2 Spicy Noodles 140g</t>
  </si>
  <si>
    <t xml:space="preserve">caesar apple juice</t>
  </si>
  <si>
    <t xml:space="preserve">Mogu Mogu Coconut Flavoured Drink with Nata de Coco - 320ml</t>
  </si>
  <si>
    <t xml:space="preserve">Crunchos Potato Stix chilli lime 35g</t>
  </si>
  <si>
    <t xml:space="preserve">Crunchos Potato Stix sweet chilli 35g</t>
  </si>
  <si>
    <t xml:space="preserve">crunchos potato stix spicy 35g</t>
  </si>
  <si>
    <t xml:space="preserve">Crunchos Potato Stix salt &amp; vinegar 35g</t>
  </si>
  <si>
    <t xml:space="preserve">Marami Corn Sticks hot cill</t>
  </si>
  <si>
    <t xml:space="preserve">shock &amp; shock 6pack bubble gum 6 pack</t>
  </si>
  <si>
    <t xml:space="preserve">crunchos potato stix cheese 35g</t>
  </si>
  <si>
    <t xml:space="preserve">su chocolate marshmallow biscuit</t>
  </si>
  <si>
    <t xml:space="preserve">Trolli Gummi Racers Candy - 22gm</t>
  </si>
  <si>
    <t xml:space="preserve">bumb bubble gum fruits</t>
  </si>
  <si>
    <t xml:space="preserve">abu Walad biscuit 12 pc</t>
  </si>
  <si>
    <t xml:space="preserve">reese,s peanut butter cups 185g</t>
  </si>
  <si>
    <t xml:space="preserve">siafa khudri almond 300g</t>
  </si>
  <si>
    <t xml:space="preserve">siafa tamaria 160g</t>
  </si>
  <si>
    <t xml:space="preserve">siip corn snack (cheese) 20 pcs</t>
  </si>
  <si>
    <t xml:space="preserve">TOTTI Fruiti hearts 15 pc</t>
  </si>
  <si>
    <t xml:space="preserve">Monster Absolutely Energy Drink 500ml</t>
  </si>
  <si>
    <t xml:space="preserve">sweet plus coconut sugar free 100g</t>
  </si>
  <si>
    <t xml:space="preserve">MOGU MOGU Lychee Flavored Drink With NATA DE COCO 320ml</t>
  </si>
  <si>
    <t xml:space="preserve">KDD orange 180ml</t>
  </si>
  <si>
    <t xml:space="preserve">jum filled marshmallow 15</t>
  </si>
  <si>
    <t xml:space="preserve">borgat icepop duopop strawberry &amp; mango 1pcs</t>
  </si>
  <si>
    <t xml:space="preserve">Kleja Queen Molasses Large</t>
  </si>
  <si>
    <t xml:space="preserve">Ovaltine Chocolate Powdered Drink 400 g</t>
  </si>
  <si>
    <t xml:space="preserve">Sambosa Switz 2 kilo + free box</t>
  </si>
  <si>
    <t xml:space="preserve">LYLE,s Golden Syrup, Lion's Honey 454 GR</t>
  </si>
  <si>
    <t xml:space="preserve">Siafa Chocolate With Rose 100gm</t>
  </si>
  <si>
    <t xml:space="preserve">toffo deemah salted caramel</t>
  </si>
  <si>
    <t xml:space="preserve">7 days chocolate cake bar with milk filling 5pieces</t>
  </si>
  <si>
    <t xml:space="preserve">alrabea full leaf black tea 100g</t>
  </si>
  <si>
    <t xml:space="preserve">Monster Zero Sugar Energy Drink 500ml</t>
  </si>
  <si>
    <t xml:space="preserve">alalali gelatin powder</t>
  </si>
  <si>
    <t xml:space="preserve">borgat sour buzz strawberry &amp; blueberry 170g</t>
  </si>
  <si>
    <t xml:space="preserve">Mentos Gum sugar free</t>
  </si>
  <si>
    <t xml:space="preserve">Evian Natural Water - 500 ml</t>
  </si>
  <si>
    <t xml:space="preserve">MOGU MOGU Mango Flavored Drink With NATA DE COCO 320ml</t>
  </si>
  <si>
    <t xml:space="preserve">kdd orange with grape 125ml</t>
  </si>
  <si>
    <t xml:space="preserve">sweet plus zydo wafer peanuts creme 38g</t>
  </si>
  <si>
    <t xml:space="preserve">hawwek delishus fig 25g</t>
  </si>
  <si>
    <t xml:space="preserve">albarakah sour belt 10g</t>
  </si>
  <si>
    <t xml:space="preserve">zello sour banana 10g</t>
  </si>
  <si>
    <t xml:space="preserve">Trolli Mini Hot Dog Gummies 12g</t>
  </si>
  <si>
    <t xml:space="preserve">bumb bubble gum banana</t>
  </si>
  <si>
    <t xml:space="preserve">gum stick dynamic 1pcs</t>
  </si>
  <si>
    <t xml:space="preserve">cheddar cheese pride 500 gm</t>
  </si>
  <si>
    <t xml:space="preserve">Homor Baladi original 400g</t>
  </si>
  <si>
    <t xml:space="preserve">siafa tamaria with coconut 300g</t>
  </si>
  <si>
    <t xml:space="preserve">Sukkary Mefatel Siafa 3kg</t>
  </si>
  <si>
    <t xml:space="preserve">milka chocolate strawberry cheesecake 300g</t>
  </si>
  <si>
    <t xml:space="preserve">AlBaik freshener candle</t>
  </si>
  <si>
    <t xml:space="preserve">Batook orange chewing gum 20 pc</t>
  </si>
  <si>
    <t xml:space="preserve">Date Paste 1kg</t>
  </si>
  <si>
    <t xml:space="preserve">fantasy chipsy family size</t>
  </si>
  <si>
    <t xml:space="preserve">Bogart Sour Buzz</t>
  </si>
  <si>
    <t xml:space="preserve">Toffo candy (Demah) 250gm</t>
  </si>
  <si>
    <t xml:space="preserve">baskin robbins chocolate milk 180ml</t>
  </si>
  <si>
    <t xml:space="preserve">fini holiday cola  90g</t>
  </si>
  <si>
    <t xml:space="preserve">fini tranche pasteque 90g</t>
  </si>
  <si>
    <t xml:space="preserve">lutti tubble gum tutti</t>
  </si>
  <si>
    <t xml:space="preserve">lipton ice tea  French Watermelon mint 330ml</t>
  </si>
  <si>
    <t xml:space="preserve">MOGU MOGU Passion Fruit Flavored Drink With NATA DE COCO 320ml</t>
  </si>
  <si>
    <t xml:space="preserve">Mango juice Alrabai</t>
  </si>
  <si>
    <t xml:space="preserve">Fruit-Tella 2in1 strawberry &amp; banana 33g</t>
  </si>
  <si>
    <t xml:space="preserve">Fruit Tella Strawberry flavor 33g</t>
  </si>
  <si>
    <t xml:space="preserve">MOGU MOGU Strawberry</t>
  </si>
  <si>
    <t xml:space="preserve">mini sour stick strawberry 20g</t>
  </si>
  <si>
    <t xml:space="preserve">borgat sour buzz multi flavors 10 gm</t>
  </si>
  <si>
    <t xml:space="preserve">baloona bubble gum fruits</t>
  </si>
  <si>
    <t xml:space="preserve">Dehn Aloud</t>
  </si>
  <si>
    <t xml:space="preserve">americana choco cookies Assorted chips 1kg</t>
  </si>
  <si>
    <t xml:space="preserve">americana choco cookies 1kg</t>
  </si>
  <si>
    <t xml:space="preserve">Caramel Log Chocolate 15 pc</t>
  </si>
  <si>
    <t xml:space="preserve">finjan alarab coffee 250g</t>
  </si>
  <si>
    <t xml:space="preserve">Siip Corn Snack (roasted corn) 20 pcs</t>
  </si>
  <si>
    <t xml:space="preserve">capri- sun strawberry 10 pc</t>
  </si>
  <si>
    <t xml:space="preserve">Siafa Mamool Asawer Plain 200 Gms</t>
  </si>
  <si>
    <t xml:space="preserve">esnad albait broast mix 240g</t>
  </si>
  <si>
    <t xml:space="preserve">abu felfel krupuk</t>
  </si>
  <si>
    <t xml:space="preserve">quaker white oats 500g</t>
  </si>
  <si>
    <t xml:space="preserve">lays stax original 100g</t>
  </si>
  <si>
    <t xml:space="preserve">Dragon fruit dried</t>
  </si>
  <si>
    <t xml:space="preserve">Borgat Raspberry Jelly 80 grams</t>
  </si>
  <si>
    <t xml:space="preserve">Topokki Korean Carbonara 133g</t>
  </si>
  <si>
    <t xml:space="preserve">Milka Choco Sticks 112g</t>
  </si>
  <si>
    <t xml:space="preserve">Ulker Milk Chocolate Bar with Hazelnuts, 65g</t>
  </si>
  <si>
    <t xml:space="preserve">sour drop and jam gummy apple</t>
  </si>
  <si>
    <t xml:space="preserve">Mehran Seekh Kabab Masala</t>
  </si>
  <si>
    <t xml:space="preserve">7 days double croissant  strawberry &amp; Vanilla</t>
  </si>
  <si>
    <t xml:space="preserve">mentos gum cherry mint 12pcs</t>
  </si>
  <si>
    <t xml:space="preserve">lipton ice tea  French tropical 330ml</t>
  </si>
  <si>
    <t xml:space="preserve">Dr Pepper Cherry 330ml</t>
  </si>
  <si>
    <t xml:space="preserve">my boba classic 170g</t>
  </si>
  <si>
    <t xml:space="preserve">ice cream Elsaudia tornadoo baboo</t>
  </si>
  <si>
    <t xml:space="preserve">Saudia Tornadoo Ice Cream Pineapple</t>
  </si>
  <si>
    <t xml:space="preserve">Mogu Mogu Raspberry Nata De Coco 320ml</t>
  </si>
  <si>
    <t xml:space="preserve">MOGU MOGU Peach Flavored Drink</t>
  </si>
  <si>
    <t xml:space="preserve">Dr Pepper Vanilla Float 330 ml</t>
  </si>
  <si>
    <t xml:space="preserve">tangle gum 1 cola &amp; 1 fanta &amp; 1 sprite</t>
  </si>
  <si>
    <t xml:space="preserve">Skittles Sour 38gm</t>
  </si>
  <si>
    <t xml:space="preserve">sunbulah frozen spring roll</t>
  </si>
  <si>
    <t xml:space="preserve">millionair potato chips ketchup 10gm</t>
  </si>
  <si>
    <t xml:space="preserve">mini sour stick blueberry 20g</t>
  </si>
  <si>
    <t xml:space="preserve">Batook Chewing Gum 1pc</t>
  </si>
  <si>
    <t xml:space="preserve">Body Oud Bold Perfume 100ml</t>
  </si>
  <si>
    <t xml:space="preserve">kleja queen molasses</t>
  </si>
  <si>
    <t xml:space="preserve">Almarai Full Fat Cheddar Block Cheese</t>
  </si>
  <si>
    <t xml:space="preserve">turkish Light Coffee without cardamom 250g</t>
  </si>
  <si>
    <t xml:space="preserve">khadeer tea ceylon gabli  200g</t>
  </si>
  <si>
    <t xml:space="preserve">Pakistani noodles 12pcs</t>
  </si>
  <si>
    <t xml:space="preserve">Puck Cream Cheese Squeeze Spread 400g</t>
  </si>
  <si>
    <t xml:space="preserve">Fine Rabea Leaf Tea 200g</t>
  </si>
  <si>
    <t xml:space="preserve">Ghandour peppermint sugar free</t>
  </si>
  <si>
    <t xml:space="preserve">Ghandour red fruits sugar free</t>
  </si>
  <si>
    <t xml:space="preserve">Saudi  albaik candle</t>
  </si>
  <si>
    <t xml:space="preserve">Freeze Dried Kiwi 80g</t>
  </si>
  <si>
    <t xml:space="preserve">Monster energy Assuie Lemonade 500ml</t>
  </si>
  <si>
    <t xml:space="preserve">Reese,s large pack 6*42g</t>
  </si>
  <si>
    <t xml:space="preserve">Monster Pipeline Punch Energy Drink 500ml</t>
  </si>
  <si>
    <t xml:space="preserve">kdd caffe latte 250ml</t>
  </si>
  <si>
    <t xml:space="preserve">kwality ice cream saffron kulfi</t>
  </si>
  <si>
    <t xml:space="preserve">skittles original 20g</t>
  </si>
  <si>
    <t xml:space="preserve">golden potato french cheese 65g</t>
  </si>
  <si>
    <t xml:space="preserve">bourgat sour buzz  straberry 50g</t>
  </si>
  <si>
    <t xml:space="preserve">fini anneaux peche 90g</t>
  </si>
  <si>
    <t xml:space="preserve">Yan Yan Sticks Chocolate</t>
  </si>
  <si>
    <t xml:space="preserve">Lipton red fruits zero suger</t>
  </si>
  <si>
    <t xml:space="preserve">lipton ice tea  French raspberry 330ml</t>
  </si>
  <si>
    <t xml:space="preserve">Ülker Caramio Chocolate With Caramel 32g</t>
  </si>
  <si>
    <t xml:space="preserve">lipton ice tea lemon French 330ml</t>
  </si>
  <si>
    <t xml:space="preserve">mega chips natural taste 50g</t>
  </si>
  <si>
    <t xml:space="preserve">Kitco Stix Tomato Ketchup Sticks 40g</t>
  </si>
  <si>
    <t xml:space="preserve">crunchos potato stix salt 35g</t>
  </si>
  <si>
    <t xml:space="preserve">oroo cream choco 45g</t>
  </si>
  <si>
    <t xml:space="preserve">pizza candy</t>
  </si>
  <si>
    <t xml:space="preserve">Skittles Wild Berry 38g</t>
  </si>
  <si>
    <t xml:space="preserve">borgat sour buzz candy spaghetti Strawberry Flavored 125g</t>
  </si>
  <si>
    <t xml:space="preserve">alshaikh iraqi maan wa salwa almond 500g</t>
  </si>
  <si>
    <t xml:space="preserve">Caramel Log 15 pc</t>
  </si>
  <si>
    <t xml:space="preserve">alrajhi indian mazza basmati rice 5kg</t>
  </si>
  <si>
    <t xml:space="preserve">alwazah green tea 300g</t>
  </si>
  <si>
    <t xml:space="preserve">Altelal Mastic (100% original)</t>
  </si>
  <si>
    <t xml:space="preserve">top fruit strawberry jelly candy 800g</t>
  </si>
  <si>
    <t xml:space="preserve">dried mushroom 110 gm</t>
  </si>
  <si>
    <t xml:space="preserve">Elyamama Cake Vanilla 12 pc</t>
  </si>
  <si>
    <t xml:space="preserve">lays stax cheddar cheese 100g</t>
  </si>
  <si>
    <t xml:space="preserve">Monster Original Green Energy - 500ml</t>
  </si>
  <si>
    <t xml:space="preserve">monster energy ultra  zero suger 440 ml</t>
  </si>
  <si>
    <t xml:space="preserve">cadbury dairy milk fruit &amp; nut 130g</t>
  </si>
  <si>
    <t xml:space="preserve">Ulker HAZELNUT GRAPE CHOCOLATE SQUARE 65 GR</t>
  </si>
  <si>
    <t xml:space="preserve">Takis Fuego Chips 90g</t>
  </si>
  <si>
    <t xml:space="preserve">Takis Blue Heat Chips 90g</t>
  </si>
  <si>
    <t xml:space="preserve">Takis Volcano Chips 90g</t>
  </si>
  <si>
    <t xml:space="preserve">Samyang Rose Spicy Chicken</t>
  </si>
  <si>
    <t xml:space="preserve">sour drop and jam gummy strawberry</t>
  </si>
  <si>
    <t xml:space="preserve">Rozy chocolate with almond sticks 36g</t>
  </si>
  <si>
    <t xml:space="preserve">sweet plus Biscuits with  rasberry 150g</t>
  </si>
  <si>
    <t xml:space="preserve">crystal hot sauce 176ml</t>
  </si>
  <si>
    <t xml:space="preserve">Ritter Sport Butter Biscuit 100g</t>
  </si>
  <si>
    <t xml:space="preserve">Samyang Tangle Garlic Oil Noodles</t>
  </si>
  <si>
    <t xml:space="preserve">Samyang Tangle Creamy Mushroom Noodles</t>
  </si>
  <si>
    <t xml:space="preserve">Ritter Sport Whole Almonds Chocolate 100g</t>
  </si>
  <si>
    <t xml:space="preserve">trident dental care sugar free</t>
  </si>
  <si>
    <t xml:space="preserve">Ritter Sport Praline Chocolate 100g</t>
  </si>
  <si>
    <t xml:space="preserve">Deemah date maamoul 16pics</t>
  </si>
  <si>
    <t xml:space="preserve">bourgat sour buzz mini belts strawberry 80g</t>
  </si>
  <si>
    <t xml:space="preserve">fini fruits bubble gum 90g</t>
  </si>
  <si>
    <t xml:space="preserve">tuna treva light meat flakes 80g</t>
  </si>
  <si>
    <t xml:space="preserve">lipton ice tea mango  zero suger</t>
  </si>
  <si>
    <t xml:space="preserve">Meswak mint flavor</t>
  </si>
  <si>
    <t xml:space="preserve">Dr Pepper - Strawberries and Cream - 330 ml</t>
  </si>
  <si>
    <t xml:space="preserve">albatal chips bbq 65g</t>
  </si>
  <si>
    <t xml:space="preserve">MOGU MOGU watermelon Flavored Drink</t>
  </si>
  <si>
    <t xml:space="preserve">Nice (Ketchup)</t>
  </si>
  <si>
    <t xml:space="preserve">mega chips sour cream &amp; onion 50g</t>
  </si>
  <si>
    <t xml:space="preserve">fish fash spicy 12g</t>
  </si>
  <si>
    <t xml:space="preserve">zello sour cola 10g</t>
  </si>
  <si>
    <t xml:space="preserve">Bravo buble gum mint 2 pieces</t>
  </si>
  <si>
    <t xml:space="preserve">prestige ruby perfume</t>
  </si>
  <si>
    <t xml:space="preserve">Jadayel anti hair loss</t>
  </si>
  <si>
    <t xml:space="preserve">goody mayonnaise 946g</t>
  </si>
  <si>
    <t xml:space="preserve">siafa sagai almond 300g</t>
  </si>
  <si>
    <t xml:space="preserve">om saleh maamoul whole wheat 450g</t>
  </si>
  <si>
    <t xml:space="preserve">Capri- Sun Cocktail 10 pcs</t>
  </si>
  <si>
    <t xml:space="preserve">Homor sweet tamarind 225g</t>
  </si>
  <si>
    <t xml:space="preserve">dates cake 350g</t>
  </si>
  <si>
    <t xml:space="preserve">Buldak extremely Hot Sauce 165g</t>
  </si>
  <si>
    <t xml:space="preserve">Elyamama Cake strawberry 12 pc</t>
  </si>
  <si>
    <t xml:space="preserve">dried ice cream Sandwich 80g</t>
  </si>
  <si>
    <t xml:space="preserve">almarai muxcle milk 400g</t>
  </si>
  <si>
    <t xml:space="preserve">lays stax hot cill 100g</t>
  </si>
  <si>
    <t xml:space="preserve">mixed fruits soft gelly 250g</t>
  </si>
  <si>
    <t xml:space="preserve">lays stax spicy lobster 100g</t>
  </si>
  <si>
    <t xml:space="preserve">Topokki Korean Original 133g</t>
  </si>
  <si>
    <t xml:space="preserve">milka choco biscuits 18pics</t>
  </si>
  <si>
    <t xml:space="preserve">Dried okra 70 gm</t>
  </si>
  <si>
    <t xml:space="preserve">Takis Buckin Ranch Chips 90g</t>
  </si>
  <si>
    <t xml:space="preserve">Ritter Sport Whole Hazelnuts 100g</t>
  </si>
  <si>
    <t xml:space="preserve">rana ketchup 720g</t>
  </si>
  <si>
    <t xml:space="preserve">sweet plus Biscuits with muesli original 115g`</t>
  </si>
  <si>
    <t xml:space="preserve">Ritter Sport Hazelnuts Chocolate 100g</t>
  </si>
  <si>
    <t xml:space="preserve">golden potato ketchup 65g</t>
  </si>
  <si>
    <t xml:space="preserve">kwality ice cream blueberry</t>
  </si>
  <si>
    <t xml:space="preserve">Ritter Sport Alpine Milk Chocolate 100g</t>
  </si>
  <si>
    <t xml:space="preserve">Ritter Sport Raisins Hazelnuts Chocolate 100g</t>
  </si>
  <si>
    <t xml:space="preserve">keef elmosafer clove 30g</t>
  </si>
  <si>
    <t xml:space="preserve">chupa chups mix fruit</t>
  </si>
  <si>
    <t xml:space="preserve">fini sour tropical mix 90g</t>
  </si>
  <si>
    <t xml:space="preserve">mega chips chicken 50g</t>
  </si>
  <si>
    <t xml:space="preserve">deemah cream coconut biscuits 27g</t>
  </si>
  <si>
    <t xml:space="preserve">Bogart Sour Buzz apple</t>
  </si>
  <si>
    <t xml:space="preserve">wild colt bakhur + arrogate comete from assaf</t>
  </si>
  <si>
    <t xml:space="preserve">alshaikh iraqi maan wa salwa pistachios 500g</t>
  </si>
  <si>
    <t xml:space="preserve">punjabi Alshalaan amber rice 5kg</t>
  </si>
  <si>
    <t xml:space="preserve">toffix sticks 800g</t>
  </si>
  <si>
    <t xml:space="preserve">SOHAR chips 23pack *13g</t>
  </si>
  <si>
    <t xml:space="preserve">Coffee black without cardamom 250g</t>
  </si>
  <si>
    <t xml:space="preserve">sanabel alshahed dates maamoul 400g</t>
  </si>
  <si>
    <t xml:space="preserve">Siafa Strawberry Chocolate Mamool 210 Gms</t>
  </si>
  <si>
    <t xml:space="preserve">Steviana Sweetener 25 Sticks</t>
  </si>
  <si>
    <t xml:space="preserve">millet dates cake 350g</t>
  </si>
  <si>
    <t xml:space="preserve">keef elmosafer Saudi Coffee with cardamom , 12 pieces *(5g)</t>
  </si>
  <si>
    <t xml:space="preserve">dried tangerine 80g</t>
  </si>
  <si>
    <t xml:space="preserve">lays stax sour cream &amp; onion 100g</t>
  </si>
  <si>
    <t xml:space="preserve">borgat sour buzz strawberry flavor 190g</t>
  </si>
  <si>
    <t xml:space="preserve">Karak Tea Cardamom 10pack</t>
  </si>
  <si>
    <t xml:space="preserve">kettle cooked balsamico &amp; tomato 150g</t>
  </si>
  <si>
    <t xml:space="preserve">Topokki Korean Original cup 113g</t>
  </si>
  <si>
    <t xml:space="preserve">Cadbury - Dairy Milk Hazelnut (145g)</t>
  </si>
  <si>
    <t xml:space="preserve">Topokki Korean Carbonara cup 113g</t>
  </si>
  <si>
    <t xml:space="preserve">Sunbulah Puff Pastry Sheets - 10 Pieces</t>
  </si>
  <si>
    <t xml:space="preserve">cadbury dairy milk black forest 130g</t>
  </si>
  <si>
    <t xml:space="preserve">borgat sour buzz apple 100g</t>
  </si>
  <si>
    <t xml:space="preserve">kwality ice cream toffee</t>
  </si>
  <si>
    <t xml:space="preserve">milka chocolate happy cows</t>
  </si>
  <si>
    <t xml:space="preserve">Ritter Sport Smarties in Milk Chocolate 100g</t>
  </si>
  <si>
    <t xml:space="preserve">Samyang habanero lime Chicken</t>
  </si>
  <si>
    <t xml:space="preserve">milka chocolate raisins &amp; nuts</t>
  </si>
  <si>
    <t xml:space="preserve">alkhair saudi coffee with cardamom 30g</t>
  </si>
  <si>
    <t xml:space="preserve">fini jelly crocodiles 90g</t>
  </si>
  <si>
    <t xml:space="preserve">fini jelly bananas 90g</t>
  </si>
  <si>
    <t xml:space="preserve">Ulker Caramio Caramel Filled Chocolate Bar 55g</t>
  </si>
  <si>
    <t xml:space="preserve">reese,s nut bar peanut butter 47g</t>
  </si>
  <si>
    <t xml:space="preserve">dream coconut milk drink with mocha 290ml</t>
  </si>
  <si>
    <t xml:space="preserve">my boba mango 170g</t>
  </si>
  <si>
    <t xml:space="preserve">mentos gum breeze mint 12pcs</t>
  </si>
  <si>
    <t xml:space="preserve">Sun Sip Popping Boba Tea With mix berries Flavor 325ml</t>
  </si>
  <si>
    <t xml:space="preserve">borgat sour buzz candy belts 50g</t>
  </si>
  <si>
    <t xml:space="preserve">sun sip Can Popping Boba Tea With Mango &amp; Passion 325ml</t>
  </si>
  <si>
    <t xml:space="preserve">mega chips kebab 50g</t>
  </si>
  <si>
    <t xml:space="preserve">ulker deluxe choco nuts (pistachio)</t>
  </si>
  <si>
    <t xml:space="preserve">Fruit Tella blueberry flavor 33g</t>
  </si>
  <si>
    <t xml:space="preserve">borgat gummy hearts  36g</t>
  </si>
  <si>
    <t xml:space="preserve">Deemah tea biscuits</t>
  </si>
  <si>
    <t xml:space="preserve">Snackits (Chilli)</t>
  </si>
  <si>
    <t xml:space="preserve">Skittles Original Fruits 38g</t>
  </si>
  <si>
    <t xml:space="preserve">Balsharaf Pufak Chilli Flavour 20 gm</t>
  </si>
  <si>
    <t xml:space="preserve">snackits baked sour cream &amp; onion</t>
  </si>
  <si>
    <t xml:space="preserve">deemah cream vanilla biscuits 27g</t>
  </si>
  <si>
    <t xml:space="preserve">zello sour mango 10g</t>
  </si>
  <si>
    <t xml:space="preserve">gum stick fruit flavor 1pcs</t>
  </si>
  <si>
    <t xml:space="preserve">Rose de Mai perfume</t>
  </si>
  <si>
    <t xml:space="preserve">alshaikh iraqi maan wa salwa walnut 500g</t>
  </si>
  <si>
    <t xml:space="preserve">Dkhoon Rose Dkhoon Emirates</t>
  </si>
  <si>
    <t xml:space="preserve">Kahilan Dkhoon Emirates</t>
  </si>
  <si>
    <t xml:space="preserve">Shuhrah Rasasi  perfume</t>
  </si>
  <si>
    <t xml:space="preserve">Baja salted cashew 24 pc</t>
  </si>
  <si>
    <t xml:space="preserve">Baja deluxe Mix 24pc</t>
  </si>
  <si>
    <t xml:space="preserve">Bahlool sticks 24 pc</t>
  </si>
  <si>
    <t xml:space="preserve">alameed turkish coffee without cardamom 250g</t>
  </si>
  <si>
    <t xml:space="preserve">nadic cheddar 20 slices 400g</t>
  </si>
  <si>
    <t xml:space="preserve">ulker tea biscuits 12 pc</t>
  </si>
  <si>
    <t xml:space="preserve">Borgat lollipop strawberry and chocolate 40 pieces</t>
  </si>
  <si>
    <t xml:space="preserve">rico biscuit chocolate 1 pack of 24 pcs</t>
  </si>
  <si>
    <t xml:space="preserve">Buldak original hot Sauce 165g</t>
  </si>
  <si>
    <t xml:space="preserve">crystal hot sauce 474 ml</t>
  </si>
  <si>
    <t xml:space="preserve">almarai protein milk vanilla suger free 400g</t>
  </si>
  <si>
    <t xml:space="preserve">Monster Ultra Golden Pineapple  500ml</t>
  </si>
  <si>
    <t xml:space="preserve">Topokki Korean cheese 133g</t>
  </si>
  <si>
    <t xml:space="preserve">Kettle Cooked Chips - sweet bbq - 150g</t>
  </si>
  <si>
    <t xml:space="preserve">kit kat double chocolate  100g</t>
  </si>
  <si>
    <t xml:space="preserve">Takis intense nacho Chips 90g</t>
  </si>
  <si>
    <t xml:space="preserve">just kettle chips salt 125g</t>
  </si>
  <si>
    <t xml:space="preserve">milka chocolate oreo brownie</t>
  </si>
  <si>
    <t xml:space="preserve">Ritter Sport White Whole Hazelnuts 100g</t>
  </si>
  <si>
    <t xml:space="preserve">keef elmosafer Ginger 30g</t>
  </si>
  <si>
    <t xml:space="preserve">alkhair saudi coffee golden blend 30g</t>
  </si>
  <si>
    <t xml:space="preserve">milka chocolate whole hazelnut</t>
  </si>
  <si>
    <t xml:space="preserve">fini fraise sauvage 90g</t>
  </si>
  <si>
    <t xml:space="preserve">fini poulpes 90g</t>
  </si>
  <si>
    <t xml:space="preserve">Ritter Sport Dark Whole Almonds Chocolate 100g</t>
  </si>
  <si>
    <t xml:space="preserve">dream coconut milk drink with mango 290ml</t>
  </si>
  <si>
    <t xml:space="preserve">my boba strawberry 170g</t>
  </si>
  <si>
    <t xml:space="preserve">Ice cream Elsaudia with chocolate</t>
  </si>
  <si>
    <t xml:space="preserve">sun sip Can Popping Boba Tea With steawbeery 325ml</t>
  </si>
  <si>
    <t xml:space="preserve">Saudia Ice Cream Stick Pomegranate</t>
  </si>
  <si>
    <t xml:space="preserve">mega chips sour cream &amp; cheese 50g</t>
  </si>
  <si>
    <t xml:space="preserve">memories maamoul borr</t>
  </si>
  <si>
    <t xml:space="preserve">kdd cherry with white grape 180ml</t>
  </si>
  <si>
    <t xml:space="preserve">MOGU MOGU blackcubrany</t>
  </si>
  <si>
    <t xml:space="preserve">armada nutty nougat</t>
  </si>
  <si>
    <t xml:space="preserve">snackits (salted)</t>
  </si>
  <si>
    <t xml:space="preserve">jum filled marshmallow 15g</t>
  </si>
  <si>
    <t xml:space="preserve">Ringo chocolate crispy cream wafer 18g</t>
  </si>
  <si>
    <t xml:space="preserve">dates &amp; nuts maamoul</t>
  </si>
  <si>
    <t xml:space="preserve">brio crunchy wafer 20g</t>
  </si>
  <si>
    <t xml:space="preserve">Memories tea biscuit small 70g</t>
  </si>
  <si>
    <t xml:space="preserve">talks me chilli&amp; lemon</t>
  </si>
  <si>
    <t xml:space="preserve">bumb bubble gum orange</t>
  </si>
  <si>
    <t xml:space="preserve">rebel assaf 150 ml</t>
  </si>
  <si>
    <t xml:space="preserve">keef elmosafer Saudi Coffee with cardamom, 10 pieces * (30g)</t>
  </si>
  <si>
    <t xml:space="preserve">Baja Mild Arabica Coffee 10 pack *30g</t>
  </si>
  <si>
    <t xml:space="preserve">tiffany butter toffee 900g</t>
  </si>
  <si>
    <t xml:space="preserve">Al Ameed turkish black Coffee without cardamom 250g</t>
  </si>
  <si>
    <t xml:space="preserve">Al Ameed turkish Light Coffee without cardamom 250g</t>
  </si>
  <si>
    <t xml:space="preserve">alameed coffee french 250g</t>
  </si>
  <si>
    <t xml:space="preserve">alameed coffee french hazelnut 250g</t>
  </si>
  <si>
    <t xml:space="preserve">Al Ameed turkish black Coffee 250g</t>
  </si>
  <si>
    <t xml:space="preserve">krupuk siliana 400g</t>
  </si>
  <si>
    <t xml:space="preserve">top fruit blueberry jelly candy 800g</t>
  </si>
  <si>
    <t xml:space="preserve">BARRATT ANGLO BUBBLY 120 pcs</t>
  </si>
  <si>
    <t xml:space="preserve">kikna cinnamon dates cake 15pieces</t>
  </si>
  <si>
    <t xml:space="preserve">chupa chups belt gieo que 105g</t>
  </si>
  <si>
    <t xml:space="preserve">borgat bear cup</t>
  </si>
  <si>
    <t xml:space="preserve">Buldak Carbonara  hot Sauce 165g</t>
  </si>
  <si>
    <t xml:space="preserve">Ulker Milk Chocolate Bar with Pistachio</t>
  </si>
  <si>
    <t xml:space="preserve">Galaxy Salted Caramel 135g</t>
  </si>
  <si>
    <t xml:space="preserve">lays stax bqq 100g</t>
  </si>
  <si>
    <t xml:space="preserve">borgat sour buzz multi flavor 190g</t>
  </si>
  <si>
    <t xml:space="preserve">Lays Stax Wagyu Beef &amp; Truffle Flavor 100g</t>
  </si>
  <si>
    <t xml:space="preserve">Karak Tea Zafran 10 pack</t>
  </si>
  <si>
    <t xml:space="preserve">Topokki Korean Cheese cup 113g</t>
  </si>
  <si>
    <t xml:space="preserve">Clown Corn Cheese Rice Crackers 88.2g</t>
  </si>
  <si>
    <t xml:space="preserve">Clown Original Rice Crackers 88.2g</t>
  </si>
  <si>
    <t xml:space="preserve">natural organic sea salt 500g</t>
  </si>
  <si>
    <t xml:space="preserve">Ulker Chocolate squares with qatayef flavor</t>
  </si>
  <si>
    <t xml:space="preserve">sweet plus musli integral 115g</t>
  </si>
  <si>
    <t xml:space="preserve">Ritter Sport Dark Whole Hazelnuts 100g</t>
  </si>
  <si>
    <t xml:space="preserve">just kettle chips salt &amp; vinegar 125g</t>
  </si>
  <si>
    <t xml:space="preserve">skittles wild berry 20g</t>
  </si>
  <si>
    <t xml:space="preserve">Galaxy Smooth Milk Bar - 100g</t>
  </si>
  <si>
    <t xml:space="preserve">just kettle chips cheese &amp; chives 125g</t>
  </si>
  <si>
    <t xml:space="preserve">milka chocolate chips cookies</t>
  </si>
  <si>
    <t xml:space="preserve">milka joghurt yoghurt 100g</t>
  </si>
  <si>
    <t xml:space="preserve">milka chocolate strawberry cilekli</t>
  </si>
  <si>
    <t xml:space="preserve">Borgat Bear Jelly 80 Grams</t>
  </si>
  <si>
    <t xml:space="preserve">Americana Quality Premium Butter Cookies 100g</t>
  </si>
  <si>
    <t xml:space="preserve">dream coconut milk drink with banana 290ml</t>
  </si>
  <si>
    <t xml:space="preserve">dream coconut milk with chocolate 290ml</t>
  </si>
  <si>
    <t xml:space="preserve">my boba cola 170g</t>
  </si>
  <si>
    <t xml:space="preserve">sun sip Can Popping Boba Tea With peach 325ml</t>
  </si>
  <si>
    <t xml:space="preserve">borgat gummy sour strawberry 10g</t>
  </si>
  <si>
    <t xml:space="preserve">Borgat Sour Buzz Assorted Filled Sticks 50g</t>
  </si>
  <si>
    <t xml:space="preserve">MOGU MOGU Pineapple Flavored Drink</t>
  </si>
  <si>
    <t xml:space="preserve">milka chocolate broken hazelnut</t>
  </si>
  <si>
    <t xml:space="preserve">tiffany marie biscuits 80g</t>
  </si>
  <si>
    <t xml:space="preserve">Taeshop Ringo Sandwich Biscuits with Chocolate</t>
  </si>
  <si>
    <t xml:space="preserve">damla sour sticks blackberry 30g</t>
  </si>
  <si>
    <t xml:space="preserve">deemah cream banana biscuits 27g</t>
  </si>
  <si>
    <t xml:space="preserve">nescafe arabiana with saffron 1 pac 30g 1 pack of 10 pcs</t>
  </si>
  <si>
    <t xml:space="preserve">luban Musk ibraq</t>
  </si>
  <si>
    <t xml:space="preserve">Shuhrah Elixir Rasasi</t>
  </si>
  <si>
    <t xml:space="preserve">Jadayel rich oil</t>
  </si>
  <si>
    <t xml:space="preserve">Tamreya ghandour 24 pack</t>
  </si>
  <si>
    <t xml:space="preserve">Alwazah Pure Cylon Tea 1kg</t>
  </si>
  <si>
    <t xml:space="preserve">Baja salted pistachio 24 pack</t>
  </si>
  <si>
    <t xml:space="preserve">Baja salted almond 24 pc</t>
  </si>
  <si>
    <t xml:space="preserve">french coffee 250g</t>
  </si>
  <si>
    <t xml:space="preserve">french coffee mistka 250g</t>
  </si>
  <si>
    <t xml:space="preserve">rio mare tuna salad kukurydza 160g</t>
  </si>
  <si>
    <t xml:space="preserve">rio mare tuna salad kuskus 160g</t>
  </si>
  <si>
    <t xml:space="preserve">rio mare tuna salad meksykan 160g</t>
  </si>
  <si>
    <t xml:space="preserve">alameed turkish coffee 250g</t>
  </si>
  <si>
    <t xml:space="preserve">turkish black coffee 250g</t>
  </si>
  <si>
    <t xml:space="preserve">Al Ameed turkish Light Coffee 250g</t>
  </si>
  <si>
    <t xml:space="preserve">top fruit mango jelly candy 800g</t>
  </si>
  <si>
    <t xml:space="preserve">elyamama cake cocoa vanilla 230g</t>
  </si>
  <si>
    <t xml:space="preserve">elyamama cake double chocolate 230g</t>
  </si>
  <si>
    <t xml:space="preserve">protein bar one reese,s 18g protein</t>
  </si>
  <si>
    <t xml:space="preserve">carmoush chips cheese flavour</t>
  </si>
  <si>
    <t xml:space="preserve">keef elmosafer Saudi Coffee with Saffron, 12 pieces (5g)</t>
  </si>
  <si>
    <t xml:space="preserve">goody tuna light 185g</t>
  </si>
  <si>
    <t xml:space="preserve">galaxy smooth caramel 135g</t>
  </si>
  <si>
    <t xml:space="preserve">borgat sour buzz spaghetti strawberry 100g</t>
  </si>
  <si>
    <t xml:space="preserve">Kettle Cooked Chips - salt &amp; black pepper - 150g</t>
  </si>
  <si>
    <t xml:space="preserve">Kettle Cooked Chips - Salt &amp; Vinegar - 150g</t>
  </si>
  <si>
    <t xml:space="preserve">Kettle Cooked Chips - sour cream &amp; onion - 150g</t>
  </si>
  <si>
    <t xml:space="preserve">kettle cooked sea salt 150g</t>
  </si>
  <si>
    <t xml:space="preserve">Clown Corn salt &amp; black pepper Rice Crackers 88.2g</t>
  </si>
  <si>
    <t xml:space="preserve">clown spicy  rice cracker 88.2g</t>
  </si>
  <si>
    <t xml:space="preserve">just kettle chips salt &amp; black pepper 125g</t>
  </si>
  <si>
    <t xml:space="preserve">Bifa Escape Fiyonk Kraker 200g</t>
  </si>
  <si>
    <t xml:space="preserve">golden potato spicy 65g</t>
  </si>
  <si>
    <t xml:space="preserve">white chocolate dragee</t>
  </si>
  <si>
    <t xml:space="preserve">dried red  apple 70g</t>
  </si>
  <si>
    <t xml:space="preserve">Ulker Square Chocolate with Baklava Pieces</t>
  </si>
  <si>
    <t xml:space="preserve">white coconut dragees</t>
  </si>
  <si>
    <t xml:space="preserve">fini jelly cola botellas 90g</t>
  </si>
  <si>
    <t xml:space="preserve">FINI Magic Carpet 90g</t>
  </si>
  <si>
    <t xml:space="preserve">dream coconut milk drink original 290ml</t>
  </si>
  <si>
    <t xml:space="preserve">dream coconut milk drink with pistachio 290ml</t>
  </si>
  <si>
    <t xml:space="preserve">dream coconut milk drink with strawberry 290ml</t>
  </si>
  <si>
    <t xml:space="preserve">borgat gummy watermelon 36g</t>
  </si>
  <si>
    <t xml:space="preserve">mega chips lemon &amp; chili 50g</t>
  </si>
  <si>
    <t xml:space="preserve">gonuts peanut energy</t>
  </si>
  <si>
    <t xml:space="preserve">wow chocolate waffer 20g</t>
  </si>
  <si>
    <t xml:space="preserve">crazy roll bubble gum</t>
  </si>
  <si>
    <t xml:space="preserve">Trolly Fruit</t>
  </si>
  <si>
    <t xml:space="preserve">milka chocolate riso soffiato</t>
  </si>
  <si>
    <t xml:space="preserve">Al Ameed Decaf without cardamom Coffee 250g</t>
  </si>
  <si>
    <t xml:space="preserve">Bestsoy Corn Soya Bean Drink - 320ml</t>
  </si>
  <si>
    <t xml:space="preserve">clown original rice cracker 88.2g</t>
  </si>
  <si>
    <t xml:space="preserve">fini laces sour 85g</t>
  </si>
  <si>
    <t xml:space="preserve">golden potato chips salt &amp; vinger 65g</t>
  </si>
  <si>
    <t xml:space="preserve">mega chips thai pepper 50g</t>
  </si>
  <si>
    <t xml:space="preserve">mega chips tomato spicy 50g</t>
  </si>
  <si>
    <t xml:space="preserve">milka chocolate cherry creme</t>
  </si>
  <si>
    <t xml:space="preserve">sanabel alshahed Maamoul Fingers Stuffed with Premium Saudi Dates (400g)</t>
  </si>
  <si>
    <t xml:space="preserve">Puf Marshmallow white</t>
  </si>
  <si>
    <t xml:space="preserve">TOTAL</t>
  </si>
  <si>
    <t xml:space="preserve">Notes &amp; definitions</t>
  </si>
  <si>
    <t xml:space="preserve">Period</t>
  </si>
  <si>
    <t xml:space="preserve">1 Jan 2026 – 22 Oct 2026 (store timezone, EEST)</t>
  </si>
  <si>
    <t xml:space="preserve">Data source</t>
  </si>
  <si>
    <t xml:space="preserve">Shopify Analytics: FROM sales … GROUP BY product_title</t>
  </si>
  <si>
    <t xml:space="preserve">Sort order</t>
  </si>
  <si>
    <t xml:space="preserve">Units Sold (net of returns) descending; ties broken by Net Revenue descending</t>
  </si>
  <si>
    <t xml:space="preserve">Net items sold = items ordered minus items returned</t>
  </si>
  <si>
    <t xml:space="preserve">Gross Sales</t>
  </si>
  <si>
    <t xml:space="preserve">Price × quantity before discounts and returns</t>
  </si>
  <si>
    <t xml:space="preserve">Net Revenue</t>
  </si>
  <si>
    <t xml:space="preserve">Gross Sales + Discounts + Returns (discounts and returns are negative). Excludes shipping and taxes.</t>
  </si>
  <si>
    <t xml:space="preserve">Blue numbers</t>
  </si>
  <si>
    <t xml:space="preserve">Values exported from Shopify; black = formulas</t>
  </si>
  <si>
    <t xml:space="preserve">Reconciliation</t>
  </si>
  <si>
    <t xml:space="preserve">Totals match Shopify store totals for the period: 84,070 units, 13,471,631.81 gross, 12,071,690.72 net, 9,462 orders</t>
  </si>
  <si>
    <t xml:space="preserve">Rows</t>
  </si>
  <si>
    <t xml:space="preserve">1,177 products (includes a few with 0 / negative net units where everything sold was returned)</t>
  </si>
  <si>
    <t xml:space="preserve">Pricing inputs for next step</t>
  </si>
  <si>
    <t xml:space="preserve">SAR→EGP rate used in current prices</t>
  </si>
  <si>
    <t xml:space="preserve">SAR→EGP rate today</t>
  </si>
  <si>
    <t xml:space="preserve">Implied currency increase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</si>
</sst>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;\(#,##0.00\);\-"/>
    <numFmt numFmtId="167" formatCode="0.0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  <font>
      <b val="true"/>
      <sz val="12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 style="medium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58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17"/>
    <col collapsed="false" customWidth="true" hidden="false" outlineLevel="0" max="7" min="6" style="1" width="15"/>
    <col collapsed="false" customWidth="true" hidden="false" outlineLevel="0" max="8" min="8" style="1" width="18"/>
    <col collapsed="false" customWidth="true" hidden="false" outlineLevel="0" max="9" min="9" style="1" width="12"/>
    <col collapsed="false" customWidth="true" hidden="false" outlineLevel="0" max="10" min="10" style="1" width="14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31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15" hidden="false" customHeight="true" outlineLevel="0" collapsed="false">
      <c r="A5" s="5" t="n">
        <v>1</v>
      </c>
      <c r="B5" s="5" t="s">
        <v>12</v>
      </c>
      <c r="C5" s="6" t="n">
        <v>3695</v>
      </c>
      <c r="D5" s="6" t="n">
        <v>832</v>
      </c>
      <c r="E5" s="7" t="n">
        <v>1518355.16</v>
      </c>
      <c r="F5" s="7" t="n">
        <v>-8260.48</v>
      </c>
      <c r="G5" s="7" t="n">
        <v>-35101.2</v>
      </c>
      <c r="H5" s="8" t="n">
        <f aca="false">E5+F5+G5</f>
        <v>1474993.48</v>
      </c>
      <c r="I5" s="9" t="n">
        <f aca="false">IF($H$1182=0,0,H5/$H$1182)</f>
        <v>0.122186155544581</v>
      </c>
      <c r="J5" s="10" t="n">
        <f aca="false">IF(C5&lt;=0,0,H5/C5)</f>
        <v>399.186327469553</v>
      </c>
    </row>
    <row r="6" customFormat="false" ht="15" hidden="false" customHeight="true" outlineLevel="0" collapsed="false">
      <c r="A6" s="11" t="n">
        <v>2</v>
      </c>
      <c r="B6" s="11" t="s">
        <v>13</v>
      </c>
      <c r="C6" s="12" t="n">
        <v>1414</v>
      </c>
      <c r="D6" s="12" t="n">
        <v>485</v>
      </c>
      <c r="E6" s="13" t="n">
        <v>67674.49</v>
      </c>
      <c r="F6" s="13" t="n">
        <v>-401.61</v>
      </c>
      <c r="G6" s="13" t="n">
        <v>-5567.47</v>
      </c>
      <c r="H6" s="14" t="n">
        <f aca="false">E6+F6+G6</f>
        <v>61705.41</v>
      </c>
      <c r="I6" s="15" t="n">
        <f aca="false">IF($H$1182=0,0,H6/$H$1182)</f>
        <v>0.00511157976386592</v>
      </c>
      <c r="J6" s="16" t="n">
        <f aca="false">IF(C6&lt;=0,0,H6/C6)</f>
        <v>43.6389038189533</v>
      </c>
    </row>
    <row r="7" customFormat="false" ht="15" hidden="false" customHeight="true" outlineLevel="0" collapsed="false">
      <c r="A7" s="5" t="n">
        <v>3</v>
      </c>
      <c r="B7" s="5" t="s">
        <v>14</v>
      </c>
      <c r="C7" s="6" t="n">
        <v>1093</v>
      </c>
      <c r="D7" s="6" t="n">
        <v>143</v>
      </c>
      <c r="E7" s="7" t="n">
        <v>1140000</v>
      </c>
      <c r="F7" s="7" t="n">
        <v>-63960.92</v>
      </c>
      <c r="G7" s="7" t="n">
        <v>-46215</v>
      </c>
      <c r="H7" s="8" t="n">
        <f aca="false">E7+F7+G7</f>
        <v>1029824.08</v>
      </c>
      <c r="I7" s="9" t="n">
        <f aca="false">IF($H$1182=0,0,H7/$H$1182)</f>
        <v>0.0853090179235473</v>
      </c>
      <c r="J7" s="10" t="n">
        <f aca="false">IF(C7&lt;=0,0,H7/C7)</f>
        <v>942.199524245197</v>
      </c>
    </row>
    <row r="8" customFormat="false" ht="15" hidden="false" customHeight="true" outlineLevel="0" collapsed="false">
      <c r="A8" s="11" t="n">
        <v>4</v>
      </c>
      <c r="B8" s="11" t="s">
        <v>15</v>
      </c>
      <c r="C8" s="12" t="n">
        <v>1002</v>
      </c>
      <c r="D8" s="12" t="n">
        <v>90</v>
      </c>
      <c r="E8" s="13" t="n">
        <v>6942.1</v>
      </c>
      <c r="F8" s="13" t="n">
        <v>-51.56</v>
      </c>
      <c r="G8" s="13" t="n">
        <v>-702.4</v>
      </c>
      <c r="H8" s="14" t="n">
        <f aca="false">E8+F8+G8</f>
        <v>6188.14</v>
      </c>
      <c r="I8" s="15" t="n">
        <f aca="false">IF($H$1182=0,0,H8/$H$1182)</f>
        <v>0.000512615850052196</v>
      </c>
      <c r="J8" s="16" t="n">
        <f aca="false">IF(C8&lt;=0,0,H8/C8)</f>
        <v>6.17578842315369</v>
      </c>
    </row>
    <row r="9" customFormat="false" ht="15" hidden="false" customHeight="true" outlineLevel="0" collapsed="false">
      <c r="A9" s="5" t="n">
        <v>5</v>
      </c>
      <c r="B9" s="5" t="s">
        <v>16</v>
      </c>
      <c r="C9" s="6" t="n">
        <v>985</v>
      </c>
      <c r="D9" s="6" t="n">
        <v>323</v>
      </c>
      <c r="E9" s="7" t="n">
        <v>33223.77</v>
      </c>
      <c r="F9" s="7" t="n">
        <v>-202.78</v>
      </c>
      <c r="G9" s="7" t="n">
        <v>-4064.74</v>
      </c>
      <c r="H9" s="8" t="n">
        <f aca="false">E9+F9+G9</f>
        <v>28956.25</v>
      </c>
      <c r="I9" s="9" t="n">
        <f aca="false">IF($H$1182=0,0,H9/$H$1182)</f>
        <v>0.00239869051250843</v>
      </c>
      <c r="J9" s="10" t="n">
        <f aca="false">IF(C9&lt;=0,0,H9/C9)</f>
        <v>29.3972081218274</v>
      </c>
    </row>
    <row r="10" customFormat="false" ht="15" hidden="false" customHeight="true" outlineLevel="0" collapsed="false">
      <c r="A10" s="11" t="n">
        <v>6</v>
      </c>
      <c r="B10" s="11" t="s">
        <v>17</v>
      </c>
      <c r="C10" s="12" t="n">
        <v>979</v>
      </c>
      <c r="D10" s="12" t="n">
        <v>439</v>
      </c>
      <c r="E10" s="13" t="n">
        <v>108001.82</v>
      </c>
      <c r="F10" s="13" t="n">
        <v>-781.47</v>
      </c>
      <c r="G10" s="13" t="n">
        <v>-12827.29</v>
      </c>
      <c r="H10" s="14" t="n">
        <f aca="false">E10+F10+G10</f>
        <v>94393.06</v>
      </c>
      <c r="I10" s="15" t="n">
        <f aca="false">IF($H$1182=0,0,H10/$H$1182)</f>
        <v>0.00781937362291866</v>
      </c>
      <c r="J10" s="16" t="n">
        <f aca="false">IF(C10&lt;=0,0,H10/C10)</f>
        <v>96.4178345250255</v>
      </c>
    </row>
    <row r="11" customFormat="false" ht="15" hidden="false" customHeight="true" outlineLevel="0" collapsed="false">
      <c r="A11" s="5" t="n">
        <v>7</v>
      </c>
      <c r="B11" s="5" t="s">
        <v>18</v>
      </c>
      <c r="C11" s="6" t="n">
        <v>958</v>
      </c>
      <c r="D11" s="6" t="n">
        <v>549</v>
      </c>
      <c r="E11" s="7" t="n">
        <v>167784.68</v>
      </c>
      <c r="F11" s="7" t="n">
        <v>-783.11</v>
      </c>
      <c r="G11" s="7" t="n">
        <v>-24769.39</v>
      </c>
      <c r="H11" s="8" t="n">
        <f aca="false">E11+F11+G11</f>
        <v>142232.18</v>
      </c>
      <c r="I11" s="9" t="n">
        <f aca="false">IF($H$1182=0,0,H11/$H$1182)</f>
        <v>0.0117822915860787</v>
      </c>
      <c r="J11" s="10" t="n">
        <f aca="false">IF(C11&lt;=0,0,H11/C11)</f>
        <v>148.467828810021</v>
      </c>
    </row>
    <row r="12" customFormat="false" ht="15" hidden="false" customHeight="true" outlineLevel="0" collapsed="false">
      <c r="A12" s="11" t="n">
        <v>8</v>
      </c>
      <c r="B12" s="11" t="s">
        <v>19</v>
      </c>
      <c r="C12" s="12" t="n">
        <v>918</v>
      </c>
      <c r="D12" s="12" t="n">
        <v>300</v>
      </c>
      <c r="E12" s="13" t="n">
        <v>135592.18</v>
      </c>
      <c r="F12" s="13" t="n">
        <v>-1177.3</v>
      </c>
      <c r="G12" s="13" t="n">
        <v>-13082.09</v>
      </c>
      <c r="H12" s="14" t="n">
        <f aca="false">E12+F12+G12</f>
        <v>121332.79</v>
      </c>
      <c r="I12" s="15" t="n">
        <f aca="false">IF($H$1182=0,0,H12/$H$1182)</f>
        <v>0.0100510187689765</v>
      </c>
      <c r="J12" s="16" t="n">
        <f aca="false">IF(C12&lt;=0,0,H12/C12)</f>
        <v>132.170795206972</v>
      </c>
    </row>
    <row r="13" customFormat="false" ht="15" hidden="false" customHeight="true" outlineLevel="0" collapsed="false">
      <c r="A13" s="5" t="n">
        <v>9</v>
      </c>
      <c r="B13" s="5" t="s">
        <v>20</v>
      </c>
      <c r="C13" s="6" t="n">
        <v>831</v>
      </c>
      <c r="D13" s="6" t="n">
        <v>532</v>
      </c>
      <c r="E13" s="7" t="n">
        <v>645690.36</v>
      </c>
      <c r="F13" s="7" t="n">
        <v>-10020.76</v>
      </c>
      <c r="G13" s="7" t="n">
        <v>-42697.4</v>
      </c>
      <c r="H13" s="8" t="n">
        <f aca="false">E13+F13+G13</f>
        <v>592972.2</v>
      </c>
      <c r="I13" s="9" t="n">
        <f aca="false">IF($H$1182=0,0,H13/$H$1182)</f>
        <v>0.0491208906650981</v>
      </c>
      <c r="J13" s="10" t="n">
        <f aca="false">IF(C13&lt;=0,0,H13/C13)</f>
        <v>713.564620938628</v>
      </c>
    </row>
    <row r="14" customFormat="false" ht="15" hidden="false" customHeight="true" outlineLevel="0" collapsed="false">
      <c r="A14" s="11" t="n">
        <v>10</v>
      </c>
      <c r="B14" s="11" t="s">
        <v>21</v>
      </c>
      <c r="C14" s="12" t="n">
        <v>769</v>
      </c>
      <c r="D14" s="12" t="n">
        <v>167</v>
      </c>
      <c r="E14" s="13" t="n">
        <v>37623.83</v>
      </c>
      <c r="F14" s="13" t="n">
        <v>-5563.83</v>
      </c>
      <c r="G14" s="13" t="n">
        <v>-2590.96</v>
      </c>
      <c r="H14" s="14" t="n">
        <f aca="false">E14+F14+G14</f>
        <v>29469.04</v>
      </c>
      <c r="I14" s="15" t="n">
        <f aca="false">IF($H$1182=0,0,H14/$H$1182)</f>
        <v>0.0024411692349918</v>
      </c>
      <c r="J14" s="16" t="n">
        <f aca="false">IF(C14&lt;=0,0,H14/C14)</f>
        <v>38.3212483745124</v>
      </c>
    </row>
    <row r="15" customFormat="false" ht="15" hidden="false" customHeight="true" outlineLevel="0" collapsed="false">
      <c r="A15" s="5" t="n">
        <v>11</v>
      </c>
      <c r="B15" s="5" t="s">
        <v>22</v>
      </c>
      <c r="C15" s="6" t="n">
        <v>766</v>
      </c>
      <c r="D15" s="6" t="n">
        <v>301</v>
      </c>
      <c r="E15" s="7" t="n">
        <v>16298.71</v>
      </c>
      <c r="F15" s="7" t="n">
        <v>-86.79</v>
      </c>
      <c r="G15" s="7" t="n">
        <v>-1885.64</v>
      </c>
      <c r="H15" s="8" t="n">
        <f aca="false">E15+F15+G15</f>
        <v>14326.28</v>
      </c>
      <c r="I15" s="9" t="n">
        <f aca="false">IF($H$1182=0,0,H15/$H$1182)</f>
        <v>0.00118676665367716</v>
      </c>
      <c r="J15" s="10" t="n">
        <f aca="false">IF(C15&lt;=0,0,H15/C15)</f>
        <v>18.7027154046997</v>
      </c>
    </row>
    <row r="16" customFormat="false" ht="15" hidden="false" customHeight="true" outlineLevel="0" collapsed="false">
      <c r="A16" s="11" t="n">
        <v>12</v>
      </c>
      <c r="B16" s="11" t="s">
        <v>23</v>
      </c>
      <c r="C16" s="12" t="n">
        <v>681</v>
      </c>
      <c r="D16" s="12" t="n">
        <v>229</v>
      </c>
      <c r="E16" s="13" t="n">
        <v>72177.84</v>
      </c>
      <c r="F16" s="13" t="n">
        <v>-2873.22</v>
      </c>
      <c r="G16" s="13" t="n">
        <v>-4175.76</v>
      </c>
      <c r="H16" s="14" t="n">
        <f aca="false">E16+F16+G16</f>
        <v>65128.86</v>
      </c>
      <c r="I16" s="15" t="n">
        <f aca="false">IF($H$1182=0,0,H16/$H$1182)</f>
        <v>0.0053951730135114</v>
      </c>
      <c r="J16" s="16" t="n">
        <f aca="false">IF(C16&lt;=0,0,H16/C16)</f>
        <v>95.6370925110132</v>
      </c>
    </row>
    <row r="17" customFormat="false" ht="15" hidden="false" customHeight="true" outlineLevel="0" collapsed="false">
      <c r="A17" s="5" t="n">
        <v>13</v>
      </c>
      <c r="B17" s="5" t="s">
        <v>24</v>
      </c>
      <c r="C17" s="6" t="n">
        <v>678</v>
      </c>
      <c r="D17" s="6" t="n">
        <v>264</v>
      </c>
      <c r="E17" s="7" t="n">
        <v>28118</v>
      </c>
      <c r="F17" s="7" t="n">
        <v>-177.49</v>
      </c>
      <c r="G17" s="7" t="n">
        <v>-1965.35</v>
      </c>
      <c r="H17" s="8" t="n">
        <f aca="false">E17+F17+G17</f>
        <v>25975.16</v>
      </c>
      <c r="I17" s="9" t="n">
        <f aca="false">IF($H$1182=0,0,H17/$H$1182)</f>
        <v>0.00215174167417702</v>
      </c>
      <c r="J17" s="10" t="n">
        <f aca="false">IF(C17&lt;=0,0,H17/C17)</f>
        <v>38.3114454277286</v>
      </c>
    </row>
    <row r="18" customFormat="false" ht="15" hidden="false" customHeight="true" outlineLevel="0" collapsed="false">
      <c r="A18" s="11" t="n">
        <v>14</v>
      </c>
      <c r="B18" s="11" t="s">
        <v>25</v>
      </c>
      <c r="C18" s="12" t="n">
        <v>653</v>
      </c>
      <c r="D18" s="12" t="n">
        <v>79</v>
      </c>
      <c r="E18" s="13" t="n">
        <v>6407.72</v>
      </c>
      <c r="F18" s="13" t="n">
        <v>-10.55</v>
      </c>
      <c r="G18" s="13" t="n">
        <v>-683.87</v>
      </c>
      <c r="H18" s="14" t="n">
        <f aca="false">E18+F18+G18</f>
        <v>5713.3</v>
      </c>
      <c r="I18" s="15" t="n">
        <f aca="false">IF($H$1182=0,0,H18/$H$1182)</f>
        <v>0.000473280846280661</v>
      </c>
      <c r="J18" s="16" t="n">
        <f aca="false">IF(C18&lt;=0,0,H18/C18)</f>
        <v>8.74931087289433</v>
      </c>
    </row>
    <row r="19" customFormat="false" ht="15" hidden="false" customHeight="true" outlineLevel="0" collapsed="false">
      <c r="A19" s="5" t="n">
        <v>15</v>
      </c>
      <c r="B19" s="5" t="s">
        <v>26</v>
      </c>
      <c r="C19" s="6" t="n">
        <v>636</v>
      </c>
      <c r="D19" s="6" t="n">
        <v>206</v>
      </c>
      <c r="E19" s="7" t="n">
        <v>204445.59</v>
      </c>
      <c r="F19" s="7" t="n">
        <v>-489.55</v>
      </c>
      <c r="G19" s="7" t="n">
        <v>-21122.11</v>
      </c>
      <c r="H19" s="8" t="n">
        <f aca="false">E19+F19+G19</f>
        <v>182833.93</v>
      </c>
      <c r="I19" s="9" t="n">
        <f aca="false">IF($H$1182=0,0,H19/$H$1182)</f>
        <v>0.0151456771251674</v>
      </c>
      <c r="J19" s="10" t="n">
        <f aca="false">IF(C19&lt;=0,0,H19/C19)</f>
        <v>287.474732704403</v>
      </c>
    </row>
    <row r="20" customFormat="false" ht="15" hidden="false" customHeight="true" outlineLevel="0" collapsed="false">
      <c r="A20" s="11" t="n">
        <v>16</v>
      </c>
      <c r="B20" s="11" t="s">
        <v>27</v>
      </c>
      <c r="C20" s="12" t="n">
        <v>635</v>
      </c>
      <c r="D20" s="12" t="n">
        <v>69</v>
      </c>
      <c r="E20" s="13" t="n">
        <v>53251.67</v>
      </c>
      <c r="F20" s="13" t="n">
        <v>-4357.54</v>
      </c>
      <c r="G20" s="13" t="n">
        <v>-947.96</v>
      </c>
      <c r="H20" s="14" t="n">
        <f aca="false">E20+F20+G20</f>
        <v>47946.17</v>
      </c>
      <c r="I20" s="15" t="n">
        <f aca="false">IF($H$1182=0,0,H20/$H$1182)</f>
        <v>0.00397178581791897</v>
      </c>
      <c r="J20" s="16" t="n">
        <f aca="false">IF(C20&lt;=0,0,H20/C20)</f>
        <v>75.5057795275591</v>
      </c>
    </row>
    <row r="21" customFormat="false" ht="15" hidden="false" customHeight="true" outlineLevel="0" collapsed="false">
      <c r="A21" s="5" t="n">
        <v>17</v>
      </c>
      <c r="B21" s="5" t="s">
        <v>28</v>
      </c>
      <c r="C21" s="6" t="n">
        <v>611</v>
      </c>
      <c r="D21" s="6" t="n">
        <v>221</v>
      </c>
      <c r="E21" s="7" t="n">
        <v>28244.5</v>
      </c>
      <c r="F21" s="7" t="n">
        <v>-547.67</v>
      </c>
      <c r="G21" s="7" t="n">
        <v>-1424.91</v>
      </c>
      <c r="H21" s="8" t="n">
        <f aca="false">E21+F21+G21</f>
        <v>26271.92</v>
      </c>
      <c r="I21" s="9" t="n">
        <f aca="false">IF($H$1182=0,0,H21/$H$1182)</f>
        <v>0.00217632480895766</v>
      </c>
      <c r="J21" s="10" t="n">
        <f aca="false">IF(C21&lt;=0,0,H21/C21)</f>
        <v>42.998232405892</v>
      </c>
    </row>
    <row r="22" customFormat="false" ht="15" hidden="false" customHeight="true" outlineLevel="0" collapsed="false">
      <c r="A22" s="11" t="n">
        <v>18</v>
      </c>
      <c r="B22" s="11" t="s">
        <v>29</v>
      </c>
      <c r="C22" s="12" t="n">
        <v>590</v>
      </c>
      <c r="D22" s="12" t="n">
        <v>348</v>
      </c>
      <c r="E22" s="13" t="n">
        <v>25708.5</v>
      </c>
      <c r="F22" s="13" t="n">
        <v>-253.99</v>
      </c>
      <c r="G22" s="13" t="n">
        <v>-3024.68</v>
      </c>
      <c r="H22" s="14" t="n">
        <f aca="false">E22+F22+G22</f>
        <v>22429.83</v>
      </c>
      <c r="I22" s="15" t="n">
        <f aca="false">IF($H$1182=0,0,H22/$H$1182)</f>
        <v>0.00185805207574105</v>
      </c>
      <c r="J22" s="16" t="n">
        <f aca="false">IF(C22&lt;=0,0,H22/C22)</f>
        <v>38.0166610169492</v>
      </c>
    </row>
    <row r="23" customFormat="false" ht="15" hidden="false" customHeight="true" outlineLevel="0" collapsed="false">
      <c r="A23" s="5" t="n">
        <v>19</v>
      </c>
      <c r="B23" s="5" t="s">
        <v>30</v>
      </c>
      <c r="C23" s="6" t="n">
        <v>579</v>
      </c>
      <c r="D23" s="6" t="n">
        <v>85</v>
      </c>
      <c r="E23" s="7" t="n">
        <v>3312.69</v>
      </c>
      <c r="F23" s="7" t="n">
        <v>-29.6</v>
      </c>
      <c r="G23" s="7" t="n">
        <v>-234.88</v>
      </c>
      <c r="H23" s="8" t="n">
        <f aca="false">E23+F23+G23</f>
        <v>3048.21</v>
      </c>
      <c r="I23" s="9" t="n">
        <f aca="false">IF($H$1182=0,0,H23/$H$1182)</f>
        <v>0.000252508954271817</v>
      </c>
      <c r="J23" s="10" t="n">
        <f aca="false">IF(C23&lt;=0,0,H23/C23)</f>
        <v>5.26461139896373</v>
      </c>
    </row>
    <row r="24" customFormat="false" ht="15" hidden="false" customHeight="true" outlineLevel="0" collapsed="false">
      <c r="A24" s="11" t="n">
        <v>20</v>
      </c>
      <c r="B24" s="11" t="s">
        <v>31</v>
      </c>
      <c r="C24" s="12" t="n">
        <v>577</v>
      </c>
      <c r="D24" s="12" t="n">
        <v>164</v>
      </c>
      <c r="E24" s="13" t="n">
        <v>11872.66</v>
      </c>
      <c r="F24" s="13" t="n">
        <v>-105.22</v>
      </c>
      <c r="G24" s="13" t="n">
        <v>-1822.22</v>
      </c>
      <c r="H24" s="14" t="n">
        <f aca="false">E24+F24+G24</f>
        <v>9945.22</v>
      </c>
      <c r="I24" s="15" t="n">
        <f aca="false">IF($H$1182=0,0,H24/$H$1182)</f>
        <v>0.000823846487677411</v>
      </c>
      <c r="J24" s="16" t="n">
        <f aca="false">IF(C24&lt;=0,0,H24/C24)</f>
        <v>17.2360831889081</v>
      </c>
    </row>
    <row r="25" customFormat="false" ht="15" hidden="false" customHeight="true" outlineLevel="0" collapsed="false">
      <c r="A25" s="5" t="n">
        <v>21</v>
      </c>
      <c r="B25" s="5" t="s">
        <v>32</v>
      </c>
      <c r="C25" s="6" t="n">
        <v>569</v>
      </c>
      <c r="D25" s="6" t="n">
        <v>224</v>
      </c>
      <c r="E25" s="7" t="n">
        <v>34029.91</v>
      </c>
      <c r="F25" s="7" t="n">
        <v>-205</v>
      </c>
      <c r="G25" s="7" t="n">
        <v>-2414.8</v>
      </c>
      <c r="H25" s="8" t="n">
        <f aca="false">E25+F25+G25</f>
        <v>31410.11</v>
      </c>
      <c r="I25" s="9" t="n">
        <f aca="false">IF($H$1182=0,0,H25/$H$1182)</f>
        <v>0.00260196444131564</v>
      </c>
      <c r="J25" s="10" t="n">
        <f aca="false">IF(C25&lt;=0,0,H25/C25)</f>
        <v>55.20230228471</v>
      </c>
    </row>
    <row r="26" customFormat="false" ht="15" hidden="false" customHeight="true" outlineLevel="0" collapsed="false">
      <c r="A26" s="11" t="n">
        <v>22</v>
      </c>
      <c r="B26" s="11" t="s">
        <v>33</v>
      </c>
      <c r="C26" s="12" t="n">
        <v>562</v>
      </c>
      <c r="D26" s="12" t="n">
        <v>73</v>
      </c>
      <c r="E26" s="13" t="n">
        <v>47914.15</v>
      </c>
      <c r="F26" s="13" t="n">
        <v>-13.16</v>
      </c>
      <c r="G26" s="13" t="n">
        <v>-5013.63</v>
      </c>
      <c r="H26" s="14" t="n">
        <f aca="false">E26+F26+G26</f>
        <v>42887.36</v>
      </c>
      <c r="I26" s="15" t="n">
        <f aca="false">IF($H$1182=0,0,H26/$H$1182)</f>
        <v>0.00355272190074797</v>
      </c>
      <c r="J26" s="16" t="n">
        <f aca="false">IF(C26&lt;=0,0,H26/C26)</f>
        <v>76.3120284697509</v>
      </c>
    </row>
    <row r="27" customFormat="false" ht="15" hidden="false" customHeight="true" outlineLevel="0" collapsed="false">
      <c r="A27" s="5" t="n">
        <v>23</v>
      </c>
      <c r="B27" s="5" t="s">
        <v>34</v>
      </c>
      <c r="C27" s="6" t="n">
        <v>556</v>
      </c>
      <c r="D27" s="6" t="n">
        <v>182</v>
      </c>
      <c r="E27" s="7" t="n">
        <v>66803.6</v>
      </c>
      <c r="F27" s="7" t="n">
        <v>-768.3</v>
      </c>
      <c r="G27" s="7" t="n">
        <v>0</v>
      </c>
      <c r="H27" s="8" t="n">
        <f aca="false">E27+F27+G27</f>
        <v>66035.3</v>
      </c>
      <c r="I27" s="9" t="n">
        <f aca="false">IF($H$1182=0,0,H27/$H$1182)</f>
        <v>0.00547026108700704</v>
      </c>
      <c r="J27" s="10" t="n">
        <f aca="false">IF(C27&lt;=0,0,H27/C27)</f>
        <v>118.768525179856</v>
      </c>
    </row>
    <row r="28" customFormat="false" ht="15" hidden="false" customHeight="true" outlineLevel="0" collapsed="false">
      <c r="A28" s="11" t="n">
        <v>24</v>
      </c>
      <c r="B28" s="11" t="s">
        <v>35</v>
      </c>
      <c r="C28" s="12" t="n">
        <v>552</v>
      </c>
      <c r="D28" s="12" t="n">
        <v>149</v>
      </c>
      <c r="E28" s="13" t="n">
        <v>15852.85</v>
      </c>
      <c r="F28" s="13" t="n">
        <v>-135.58</v>
      </c>
      <c r="G28" s="13" t="n">
        <v>-1105.9</v>
      </c>
      <c r="H28" s="14" t="n">
        <f aca="false">E28+F28+G28</f>
        <v>14611.37</v>
      </c>
      <c r="I28" s="15" t="n">
        <f aca="false">IF($H$1182=0,0,H28/$H$1182)</f>
        <v>0.0012103830638895</v>
      </c>
      <c r="J28" s="16" t="n">
        <f aca="false">IF(C28&lt;=0,0,H28/C28)</f>
        <v>26.4698731884058</v>
      </c>
    </row>
    <row r="29" customFormat="false" ht="15" hidden="false" customHeight="true" outlineLevel="0" collapsed="false">
      <c r="A29" s="5" t="n">
        <v>25</v>
      </c>
      <c r="B29" s="5" t="s">
        <v>36</v>
      </c>
      <c r="C29" s="6" t="n">
        <v>543</v>
      </c>
      <c r="D29" s="6" t="n">
        <v>127</v>
      </c>
      <c r="E29" s="7" t="n">
        <v>47964</v>
      </c>
      <c r="F29" s="7" t="n">
        <v>-1891.62</v>
      </c>
      <c r="G29" s="7" t="n">
        <v>-433</v>
      </c>
      <c r="H29" s="8" t="n">
        <f aca="false">E29+F29+G29</f>
        <v>45639.38</v>
      </c>
      <c r="I29" s="9" t="n">
        <f aca="false">IF($H$1182=0,0,H29/$H$1182)</f>
        <v>0.00378069493814865</v>
      </c>
      <c r="J29" s="10" t="n">
        <f aca="false">IF(C29&lt;=0,0,H29/C29)</f>
        <v>84.050423572744</v>
      </c>
    </row>
    <row r="30" customFormat="false" ht="15" hidden="false" customHeight="true" outlineLevel="0" collapsed="false">
      <c r="A30" s="11" t="n">
        <v>26</v>
      </c>
      <c r="B30" s="11" t="s">
        <v>37</v>
      </c>
      <c r="C30" s="12" t="n">
        <v>536</v>
      </c>
      <c r="D30" s="12" t="n">
        <v>222</v>
      </c>
      <c r="E30" s="13" t="n">
        <v>13266.58</v>
      </c>
      <c r="F30" s="13" t="n">
        <v>-160.78</v>
      </c>
      <c r="G30" s="13" t="n">
        <v>-1292.44</v>
      </c>
      <c r="H30" s="14" t="n">
        <f aca="false">E30+F30+G30</f>
        <v>11813.36</v>
      </c>
      <c r="I30" s="15" t="n">
        <f aca="false">IF($H$1182=0,0,H30/$H$1182)</f>
        <v>0.000978600286737631</v>
      </c>
      <c r="J30" s="16" t="n">
        <f aca="false">IF(C30&lt;=0,0,H30/C30)</f>
        <v>22.0398507462687</v>
      </c>
    </row>
    <row r="31" customFormat="false" ht="15" hidden="false" customHeight="true" outlineLevel="0" collapsed="false">
      <c r="A31" s="5" t="n">
        <v>27</v>
      </c>
      <c r="B31" s="5" t="s">
        <v>38</v>
      </c>
      <c r="C31" s="6" t="n">
        <v>531</v>
      </c>
      <c r="D31" s="6" t="n">
        <v>185</v>
      </c>
      <c r="E31" s="7" t="n">
        <v>12332.66</v>
      </c>
      <c r="F31" s="7" t="n">
        <v>-78.68</v>
      </c>
      <c r="G31" s="7" t="n">
        <v>-249.96</v>
      </c>
      <c r="H31" s="8" t="n">
        <f aca="false">E31+F31+G31</f>
        <v>12004.02</v>
      </c>
      <c r="I31" s="9" t="n">
        <f aca="false">IF($H$1182=0,0,H31/$H$1182)</f>
        <v>0.000994394263275161</v>
      </c>
      <c r="J31" s="10" t="n">
        <f aca="false">IF(C31&lt;=0,0,H31/C31)</f>
        <v>22.6064406779661</v>
      </c>
    </row>
    <row r="32" customFormat="false" ht="15" hidden="false" customHeight="true" outlineLevel="0" collapsed="false">
      <c r="A32" s="11" t="n">
        <v>28</v>
      </c>
      <c r="B32" s="11" t="s">
        <v>39</v>
      </c>
      <c r="C32" s="12" t="n">
        <v>518</v>
      </c>
      <c r="D32" s="12" t="n">
        <v>292</v>
      </c>
      <c r="E32" s="13" t="n">
        <v>24295.7</v>
      </c>
      <c r="F32" s="13" t="n">
        <v>-147.24</v>
      </c>
      <c r="G32" s="13" t="n">
        <v>-3324.1</v>
      </c>
      <c r="H32" s="14" t="n">
        <f aca="false">E32+F32+G32</f>
        <v>20824.36</v>
      </c>
      <c r="I32" s="15" t="n">
        <f aca="false">IF($H$1182=0,0,H32/$H$1182)</f>
        <v>0.00172505744911927</v>
      </c>
      <c r="J32" s="16" t="n">
        <f aca="false">IF(C32&lt;=0,0,H32/C32)</f>
        <v>40.2014671814672</v>
      </c>
    </row>
    <row r="33" customFormat="false" ht="15" hidden="false" customHeight="true" outlineLevel="0" collapsed="false">
      <c r="A33" s="5" t="n">
        <v>29</v>
      </c>
      <c r="B33" s="5" t="s">
        <v>40</v>
      </c>
      <c r="C33" s="6" t="n">
        <v>515</v>
      </c>
      <c r="D33" s="6" t="n">
        <v>115</v>
      </c>
      <c r="E33" s="7" t="n">
        <v>32636.14</v>
      </c>
      <c r="F33" s="7" t="n">
        <v>-258.51</v>
      </c>
      <c r="G33" s="7" t="n">
        <v>-2857.91</v>
      </c>
      <c r="H33" s="8" t="n">
        <f aca="false">E33+F33+G33</f>
        <v>29519.72</v>
      </c>
      <c r="I33" s="9" t="n">
        <f aca="false">IF($H$1182=0,0,H33/$H$1182)</f>
        <v>0.00244536748701594</v>
      </c>
      <c r="J33" s="10" t="n">
        <f aca="false">IF(C33&lt;=0,0,H33/C33)</f>
        <v>57.3198446601942</v>
      </c>
    </row>
    <row r="34" customFormat="false" ht="15" hidden="false" customHeight="true" outlineLevel="0" collapsed="false">
      <c r="A34" s="11" t="n">
        <v>30</v>
      </c>
      <c r="B34" s="11" t="s">
        <v>41</v>
      </c>
      <c r="C34" s="12" t="n">
        <v>500</v>
      </c>
      <c r="D34" s="12" t="n">
        <v>253</v>
      </c>
      <c r="E34" s="13" t="n">
        <v>66610.73</v>
      </c>
      <c r="F34" s="13" t="n">
        <v>-3129.92</v>
      </c>
      <c r="G34" s="13" t="n">
        <v>-4059.81</v>
      </c>
      <c r="H34" s="14" t="n">
        <f aca="false">E34+F34+G34</f>
        <v>59421</v>
      </c>
      <c r="I34" s="15" t="n">
        <f aca="false">IF($H$1182=0,0,H34/$H$1182)</f>
        <v>0.00492234280833199</v>
      </c>
      <c r="J34" s="16" t="n">
        <f aca="false">IF(C34&lt;=0,0,H34/C34)</f>
        <v>118.842</v>
      </c>
    </row>
    <row r="35" customFormat="false" ht="15" hidden="false" customHeight="true" outlineLevel="0" collapsed="false">
      <c r="A35" s="5" t="n">
        <v>31</v>
      </c>
      <c r="B35" s="5" t="s">
        <v>42</v>
      </c>
      <c r="C35" s="6" t="n">
        <v>498</v>
      </c>
      <c r="D35" s="6" t="n">
        <v>233</v>
      </c>
      <c r="E35" s="7" t="n">
        <v>18631.25</v>
      </c>
      <c r="F35" s="7" t="n">
        <v>-119.45</v>
      </c>
      <c r="G35" s="7" t="n">
        <v>-1305.68</v>
      </c>
      <c r="H35" s="8" t="n">
        <f aca="false">E35+F35+G35</f>
        <v>17206.12</v>
      </c>
      <c r="I35" s="9" t="n">
        <f aca="false">IF($H$1182=0,0,H35/$H$1182)</f>
        <v>0.00142532810018844</v>
      </c>
      <c r="J35" s="10" t="n">
        <f aca="false">IF(C35&lt;=0,0,H35/C35)</f>
        <v>34.5504417670683</v>
      </c>
    </row>
    <row r="36" customFormat="false" ht="15" hidden="false" customHeight="true" outlineLevel="0" collapsed="false">
      <c r="A36" s="11" t="n">
        <v>32</v>
      </c>
      <c r="B36" s="11" t="s">
        <v>43</v>
      </c>
      <c r="C36" s="12" t="n">
        <v>489</v>
      </c>
      <c r="D36" s="12" t="n">
        <v>333</v>
      </c>
      <c r="E36" s="13" t="n">
        <v>195582.9</v>
      </c>
      <c r="F36" s="13" t="n">
        <v>-2192.4</v>
      </c>
      <c r="G36" s="13" t="n">
        <v>-21199.65</v>
      </c>
      <c r="H36" s="14" t="n">
        <f aca="false">E36+F36+G36</f>
        <v>172190.85</v>
      </c>
      <c r="I36" s="15" t="n">
        <f aca="false">IF($H$1182=0,0,H36/$H$1182)</f>
        <v>0.014264021005336</v>
      </c>
      <c r="J36" s="16" t="n">
        <f aca="false">IF(C36&lt;=0,0,H36/C36)</f>
        <v>352.128527607362</v>
      </c>
    </row>
    <row r="37" customFormat="false" ht="15" hidden="false" customHeight="true" outlineLevel="0" collapsed="false">
      <c r="A37" s="5" t="n">
        <v>33</v>
      </c>
      <c r="B37" s="5" t="s">
        <v>44</v>
      </c>
      <c r="C37" s="6" t="n">
        <v>469</v>
      </c>
      <c r="D37" s="6" t="n">
        <v>285</v>
      </c>
      <c r="E37" s="7" t="n">
        <v>135814.59</v>
      </c>
      <c r="F37" s="7" t="n">
        <v>-2122.39</v>
      </c>
      <c r="G37" s="7" t="n">
        <v>-10684.4</v>
      </c>
      <c r="H37" s="8" t="n">
        <f aca="false">E37+F37+G37</f>
        <v>123007.8</v>
      </c>
      <c r="I37" s="9" t="n">
        <f aca="false">IF($H$1182=0,0,H37/$H$1182)</f>
        <v>0.010189773980558</v>
      </c>
      <c r="J37" s="10" t="n">
        <f aca="false">IF(C37&lt;=0,0,H37/C37)</f>
        <v>262.276759061834</v>
      </c>
    </row>
    <row r="38" customFormat="false" ht="15" hidden="false" customHeight="true" outlineLevel="0" collapsed="false">
      <c r="A38" s="11" t="n">
        <v>34</v>
      </c>
      <c r="B38" s="11" t="s">
        <v>45</v>
      </c>
      <c r="C38" s="12" t="n">
        <v>468</v>
      </c>
      <c r="D38" s="12" t="n">
        <v>217</v>
      </c>
      <c r="E38" s="13" t="n">
        <v>15712.9</v>
      </c>
      <c r="F38" s="13" t="n">
        <v>-68.27</v>
      </c>
      <c r="G38" s="13" t="n">
        <v>-1258.24</v>
      </c>
      <c r="H38" s="14" t="n">
        <f aca="false">E38+F38+G38</f>
        <v>14386.39</v>
      </c>
      <c r="I38" s="15" t="n">
        <f aca="false">IF($H$1182=0,0,H38/$H$1182)</f>
        <v>0.00119174607216909</v>
      </c>
      <c r="J38" s="16" t="n">
        <f aca="false">IF(C38&lt;=0,0,H38/C38)</f>
        <v>30.7401495726496</v>
      </c>
    </row>
    <row r="39" customFormat="false" ht="15" hidden="false" customHeight="true" outlineLevel="0" collapsed="false">
      <c r="A39" s="5" t="n">
        <v>35</v>
      </c>
      <c r="B39" s="5" t="s">
        <v>46</v>
      </c>
      <c r="C39" s="6" t="n">
        <v>467</v>
      </c>
      <c r="D39" s="6" t="n">
        <v>180</v>
      </c>
      <c r="E39" s="7" t="n">
        <v>4777</v>
      </c>
      <c r="F39" s="7" t="n">
        <v>-21.95</v>
      </c>
      <c r="G39" s="7" t="n">
        <v>-918.18</v>
      </c>
      <c r="H39" s="8" t="n">
        <f aca="false">E39+F39+G39</f>
        <v>3836.87</v>
      </c>
      <c r="I39" s="9" t="n">
        <f aca="false">IF($H$1182=0,0,H39/$H$1182)</f>
        <v>0.000317840316571663</v>
      </c>
      <c r="J39" s="10" t="n">
        <f aca="false">IF(C39&lt;=0,0,H39/C39)</f>
        <v>8.21599571734475</v>
      </c>
    </row>
    <row r="40" customFormat="false" ht="15" hidden="false" customHeight="true" outlineLevel="0" collapsed="false">
      <c r="A40" s="11" t="n">
        <v>36</v>
      </c>
      <c r="B40" s="11" t="s">
        <v>47</v>
      </c>
      <c r="C40" s="12" t="n">
        <v>467</v>
      </c>
      <c r="D40" s="12" t="n">
        <v>79</v>
      </c>
      <c r="E40" s="13" t="n">
        <v>3980.84</v>
      </c>
      <c r="F40" s="13" t="n">
        <v>-7.52</v>
      </c>
      <c r="G40" s="13" t="n">
        <v>-399.95</v>
      </c>
      <c r="H40" s="14" t="n">
        <f aca="false">E40+F40+G40</f>
        <v>3573.37</v>
      </c>
      <c r="I40" s="15" t="n">
        <f aca="false">IF($H$1182=0,0,H40/$H$1182)</f>
        <v>0.000296012388229907</v>
      </c>
      <c r="J40" s="16" t="n">
        <f aca="false">IF(C40&lt;=0,0,H40/C40)</f>
        <v>7.65175588865096</v>
      </c>
    </row>
    <row r="41" customFormat="false" ht="15" hidden="false" customHeight="true" outlineLevel="0" collapsed="false">
      <c r="A41" s="5" t="n">
        <v>37</v>
      </c>
      <c r="B41" s="5" t="s">
        <v>48</v>
      </c>
      <c r="C41" s="6" t="n">
        <v>464</v>
      </c>
      <c r="D41" s="6" t="n">
        <v>132</v>
      </c>
      <c r="E41" s="7" t="n">
        <v>33651.75</v>
      </c>
      <c r="F41" s="7" t="n">
        <v>-383.11</v>
      </c>
      <c r="G41" s="7" t="n">
        <v>-7757.86</v>
      </c>
      <c r="H41" s="8" t="n">
        <f aca="false">E41+F41+G41</f>
        <v>25510.78</v>
      </c>
      <c r="I41" s="9" t="n">
        <f aca="false">IF($H$1182=0,0,H41/$H$1182)</f>
        <v>0.00211327316046414</v>
      </c>
      <c r="J41" s="10" t="n">
        <f aca="false">IF(C41&lt;=0,0,H41/C41)</f>
        <v>54.9801293103448</v>
      </c>
    </row>
    <row r="42" customFormat="false" ht="15" hidden="false" customHeight="true" outlineLevel="0" collapsed="false">
      <c r="A42" s="11" t="n">
        <v>38</v>
      </c>
      <c r="B42" s="11" t="s">
        <v>49</v>
      </c>
      <c r="C42" s="12" t="n">
        <v>456</v>
      </c>
      <c r="D42" s="12" t="n">
        <v>145</v>
      </c>
      <c r="E42" s="13" t="n">
        <v>46427.82</v>
      </c>
      <c r="F42" s="13" t="n">
        <v>-49.64</v>
      </c>
      <c r="G42" s="13" t="n">
        <v>-4509.35</v>
      </c>
      <c r="H42" s="14" t="n">
        <f aca="false">E42+F42+G42</f>
        <v>41868.83</v>
      </c>
      <c r="I42" s="15" t="n">
        <f aca="false">IF($H$1182=0,0,H42/$H$1182)</f>
        <v>0.00346834846676721</v>
      </c>
      <c r="J42" s="16" t="n">
        <f aca="false">IF(C42&lt;=0,0,H42/C42)</f>
        <v>91.8176096491228</v>
      </c>
    </row>
    <row r="43" customFormat="false" ht="15" hidden="false" customHeight="true" outlineLevel="0" collapsed="false">
      <c r="A43" s="5" t="n">
        <v>39</v>
      </c>
      <c r="B43" s="5" t="s">
        <v>50</v>
      </c>
      <c r="C43" s="6" t="n">
        <v>456</v>
      </c>
      <c r="D43" s="6" t="n">
        <v>254</v>
      </c>
      <c r="E43" s="7" t="n">
        <v>15807.1</v>
      </c>
      <c r="F43" s="7" t="n">
        <v>-223.28</v>
      </c>
      <c r="G43" s="7" t="n">
        <v>-1828.44</v>
      </c>
      <c r="H43" s="8" t="n">
        <f aca="false">E43+F43+G43</f>
        <v>13755.38</v>
      </c>
      <c r="I43" s="9" t="n">
        <f aca="false">IF($H$1182=0,0,H43/$H$1182)</f>
        <v>0.00113947418957732</v>
      </c>
      <c r="J43" s="10" t="n">
        <f aca="false">IF(C43&lt;=0,0,H43/C43)</f>
        <v>30.1653070175439</v>
      </c>
    </row>
    <row r="44" customFormat="false" ht="15" hidden="false" customHeight="true" outlineLevel="0" collapsed="false">
      <c r="A44" s="11" t="n">
        <v>40</v>
      </c>
      <c r="B44" s="11" t="s">
        <v>51</v>
      </c>
      <c r="C44" s="12" t="n">
        <v>451</v>
      </c>
      <c r="D44" s="12" t="n">
        <v>180</v>
      </c>
      <c r="E44" s="13" t="n">
        <v>5148.05</v>
      </c>
      <c r="F44" s="13" t="n">
        <v>-55.45</v>
      </c>
      <c r="G44" s="13" t="n">
        <v>-481.06</v>
      </c>
      <c r="H44" s="14" t="n">
        <f aca="false">E44+F44+G44</f>
        <v>4611.54</v>
      </c>
      <c r="I44" s="15" t="n">
        <f aca="false">IF($H$1182=0,0,H44/$H$1182)</f>
        <v>0.00038201276912767</v>
      </c>
      <c r="J44" s="16" t="n">
        <f aca="false">IF(C44&lt;=0,0,H44/C44)</f>
        <v>10.2251441241685</v>
      </c>
    </row>
    <row r="45" customFormat="false" ht="15" hidden="false" customHeight="true" outlineLevel="0" collapsed="false">
      <c r="A45" s="5" t="n">
        <v>41</v>
      </c>
      <c r="B45" s="5" t="s">
        <v>52</v>
      </c>
      <c r="C45" s="6" t="n">
        <v>434</v>
      </c>
      <c r="D45" s="6" t="n">
        <v>175</v>
      </c>
      <c r="E45" s="7" t="n">
        <v>20384.63</v>
      </c>
      <c r="F45" s="7" t="n">
        <v>-246.38</v>
      </c>
      <c r="G45" s="7" t="n">
        <v>-3058.33</v>
      </c>
      <c r="H45" s="8" t="n">
        <f aca="false">E45+F45+G45</f>
        <v>17079.92</v>
      </c>
      <c r="I45" s="9" t="n">
        <f aca="false">IF($H$1182=0,0,H45/$H$1182)</f>
        <v>0.00141487388934696</v>
      </c>
      <c r="J45" s="10" t="n">
        <f aca="false">IF(C45&lt;=0,0,H45/C45)</f>
        <v>39.3546543778802</v>
      </c>
    </row>
    <row r="46" customFormat="false" ht="15" hidden="false" customHeight="true" outlineLevel="0" collapsed="false">
      <c r="A46" s="11" t="n">
        <v>42</v>
      </c>
      <c r="B46" s="11" t="s">
        <v>53</v>
      </c>
      <c r="C46" s="12" t="n">
        <v>429</v>
      </c>
      <c r="D46" s="12" t="n">
        <v>129</v>
      </c>
      <c r="E46" s="13" t="n">
        <v>13127.9</v>
      </c>
      <c r="F46" s="13" t="n">
        <v>-89.38</v>
      </c>
      <c r="G46" s="13" t="n">
        <v>-1338.9</v>
      </c>
      <c r="H46" s="14" t="n">
        <f aca="false">E46+F46+G46</f>
        <v>11699.62</v>
      </c>
      <c r="I46" s="15" t="n">
        <f aca="false">IF($H$1182=0,0,H46/$H$1182)</f>
        <v>0.000969178242830264</v>
      </c>
      <c r="J46" s="16" t="n">
        <f aca="false">IF(C46&lt;=0,0,H46/C46)</f>
        <v>27.2718414918415</v>
      </c>
    </row>
    <row r="47" customFormat="false" ht="15" hidden="false" customHeight="true" outlineLevel="0" collapsed="false">
      <c r="A47" s="5" t="n">
        <v>43</v>
      </c>
      <c r="B47" s="5" t="s">
        <v>54</v>
      </c>
      <c r="C47" s="6" t="n">
        <v>428</v>
      </c>
      <c r="D47" s="6" t="n">
        <v>213</v>
      </c>
      <c r="E47" s="7" t="n">
        <v>9333</v>
      </c>
      <c r="F47" s="7" t="n">
        <v>-126.07</v>
      </c>
      <c r="G47" s="7" t="n">
        <v>-685.58</v>
      </c>
      <c r="H47" s="8" t="n">
        <f aca="false">E47+F47+G47</f>
        <v>8521.35</v>
      </c>
      <c r="I47" s="9" t="n">
        <f aca="false">IF($H$1182=0,0,H47/$H$1182)</f>
        <v>0.000705895321347332</v>
      </c>
      <c r="J47" s="10" t="n">
        <f aca="false">IF(C47&lt;=0,0,H47/C47)</f>
        <v>19.9096962616822</v>
      </c>
    </row>
    <row r="48" customFormat="false" ht="15" hidden="false" customHeight="true" outlineLevel="0" collapsed="false">
      <c r="A48" s="11" t="n">
        <v>44</v>
      </c>
      <c r="B48" s="11" t="s">
        <v>55</v>
      </c>
      <c r="C48" s="12" t="n">
        <v>416</v>
      </c>
      <c r="D48" s="12" t="n">
        <v>308</v>
      </c>
      <c r="E48" s="13" t="n">
        <v>65429.69</v>
      </c>
      <c r="F48" s="13" t="n">
        <v>-378.37</v>
      </c>
      <c r="G48" s="13" t="n">
        <v>-9569.76</v>
      </c>
      <c r="H48" s="14" t="n">
        <f aca="false">E48+F48+G48</f>
        <v>55481.56</v>
      </c>
      <c r="I48" s="15" t="n">
        <f aca="false">IF($H$1182=0,0,H48/$H$1182)</f>
        <v>0.0045960057532024</v>
      </c>
      <c r="J48" s="16" t="n">
        <f aca="false">IF(C48&lt;=0,0,H48/C48)</f>
        <v>133.369134615385</v>
      </c>
    </row>
    <row r="49" customFormat="false" ht="15" hidden="false" customHeight="true" outlineLevel="0" collapsed="false">
      <c r="A49" s="5" t="n">
        <v>45</v>
      </c>
      <c r="B49" s="5" t="s">
        <v>56</v>
      </c>
      <c r="C49" s="6" t="n">
        <v>409</v>
      </c>
      <c r="D49" s="6" t="n">
        <v>141</v>
      </c>
      <c r="E49" s="7" t="n">
        <v>16642.07</v>
      </c>
      <c r="F49" s="7" t="n">
        <v>-77.9</v>
      </c>
      <c r="G49" s="7" t="n">
        <v>-798.93</v>
      </c>
      <c r="H49" s="8" t="n">
        <f aca="false">E49+F49+G49</f>
        <v>15765.24</v>
      </c>
      <c r="I49" s="9" t="n">
        <f aca="false">IF($H$1182=0,0,H49/$H$1182)</f>
        <v>0.00130596785203258</v>
      </c>
      <c r="J49" s="10" t="n">
        <f aca="false">IF(C49&lt;=0,0,H49/C49)</f>
        <v>38.5458190709046</v>
      </c>
    </row>
    <row r="50" customFormat="false" ht="15" hidden="false" customHeight="true" outlineLevel="0" collapsed="false">
      <c r="A50" s="11" t="n">
        <v>46</v>
      </c>
      <c r="B50" s="11" t="s">
        <v>57</v>
      </c>
      <c r="C50" s="12" t="n">
        <v>404</v>
      </c>
      <c r="D50" s="12" t="n">
        <v>89</v>
      </c>
      <c r="E50" s="13" t="n">
        <v>27316.84</v>
      </c>
      <c r="F50" s="13" t="n">
        <v>-5282.81</v>
      </c>
      <c r="G50" s="13" t="n">
        <v>-239.24</v>
      </c>
      <c r="H50" s="14" t="n">
        <f aca="false">E50+F50+G50</f>
        <v>21794.79</v>
      </c>
      <c r="I50" s="15" t="n">
        <f aca="false">IF($H$1182=0,0,H50/$H$1182)</f>
        <v>0.00180544635424523</v>
      </c>
      <c r="J50" s="16" t="n">
        <f aca="false">IF(C50&lt;=0,0,H50/C50)</f>
        <v>53.9475</v>
      </c>
    </row>
    <row r="51" customFormat="false" ht="15" hidden="false" customHeight="true" outlineLevel="0" collapsed="false">
      <c r="A51" s="5" t="n">
        <v>47</v>
      </c>
      <c r="B51" s="5" t="s">
        <v>58</v>
      </c>
      <c r="C51" s="6" t="n">
        <v>397</v>
      </c>
      <c r="D51" s="6" t="n">
        <v>221</v>
      </c>
      <c r="E51" s="7" t="n">
        <v>13891.33</v>
      </c>
      <c r="F51" s="7" t="n">
        <v>-402.61</v>
      </c>
      <c r="G51" s="7" t="n">
        <v>-1655.8</v>
      </c>
      <c r="H51" s="8" t="n">
        <f aca="false">E51+F51+G51</f>
        <v>11832.92</v>
      </c>
      <c r="I51" s="9" t="n">
        <f aca="false">IF($H$1182=0,0,H51/$H$1182)</f>
        <v>0.000980220606579622</v>
      </c>
      <c r="J51" s="10" t="n">
        <f aca="false">IF(C51&lt;=0,0,H51/C51)</f>
        <v>29.8058438287154</v>
      </c>
    </row>
    <row r="52" customFormat="false" ht="15" hidden="false" customHeight="true" outlineLevel="0" collapsed="false">
      <c r="A52" s="11" t="n">
        <v>48</v>
      </c>
      <c r="B52" s="11" t="s">
        <v>59</v>
      </c>
      <c r="C52" s="12" t="n">
        <v>387</v>
      </c>
      <c r="D52" s="12" t="n">
        <v>204</v>
      </c>
      <c r="E52" s="13" t="n">
        <v>22625.93</v>
      </c>
      <c r="F52" s="13" t="n">
        <v>-224.11</v>
      </c>
      <c r="G52" s="13" t="n">
        <v>-2786.1</v>
      </c>
      <c r="H52" s="14" t="n">
        <f aca="false">E52+F52+G52</f>
        <v>19615.72</v>
      </c>
      <c r="I52" s="15" t="n">
        <f aca="false">IF($H$1182=0,0,H52/$H$1182)</f>
        <v>0.00162493559974174</v>
      </c>
      <c r="J52" s="16" t="n">
        <f aca="false">IF(C52&lt;=0,0,H52/C52)</f>
        <v>50.6866149870801</v>
      </c>
    </row>
    <row r="53" customFormat="false" ht="15" hidden="false" customHeight="true" outlineLevel="0" collapsed="false">
      <c r="A53" s="5" t="n">
        <v>49</v>
      </c>
      <c r="B53" s="5" t="s">
        <v>60</v>
      </c>
      <c r="C53" s="6" t="n">
        <v>382</v>
      </c>
      <c r="D53" s="6" t="n">
        <v>123</v>
      </c>
      <c r="E53" s="7" t="n">
        <v>30463.16</v>
      </c>
      <c r="F53" s="7" t="n">
        <v>-5315.72</v>
      </c>
      <c r="G53" s="7" t="n">
        <v>-1342.12</v>
      </c>
      <c r="H53" s="8" t="n">
        <f aca="false">E53+F53+G53</f>
        <v>23805.32</v>
      </c>
      <c r="I53" s="9" t="n">
        <f aca="false">IF($H$1182=0,0,H53/$H$1182)</f>
        <v>0.00197199551845377</v>
      </c>
      <c r="J53" s="10" t="n">
        <f aca="false">IF(C53&lt;=0,0,H53/C53)</f>
        <v>62.3175916230367</v>
      </c>
    </row>
    <row r="54" customFormat="false" ht="15" hidden="false" customHeight="true" outlineLevel="0" collapsed="false">
      <c r="A54" s="11" t="n">
        <v>50</v>
      </c>
      <c r="B54" s="11" t="s">
        <v>61</v>
      </c>
      <c r="C54" s="12" t="n">
        <v>358</v>
      </c>
      <c r="D54" s="12" t="n">
        <v>139</v>
      </c>
      <c r="E54" s="13" t="n">
        <v>11082.94</v>
      </c>
      <c r="F54" s="13" t="n">
        <v>-56.39</v>
      </c>
      <c r="G54" s="13" t="n">
        <v>-1229.65</v>
      </c>
      <c r="H54" s="14" t="n">
        <f aca="false">E54+F54+G54</f>
        <v>9796.9</v>
      </c>
      <c r="I54" s="15" t="n">
        <f aca="false">IF($H$1182=0,0,H54/$H$1182)</f>
        <v>0.000811559890593354</v>
      </c>
      <c r="J54" s="16" t="n">
        <f aca="false">IF(C54&lt;=0,0,H54/C54)</f>
        <v>27.3656424581006</v>
      </c>
    </row>
    <row r="55" customFormat="false" ht="15" hidden="false" customHeight="true" outlineLevel="0" collapsed="false">
      <c r="A55" s="5" t="n">
        <v>51</v>
      </c>
      <c r="B55" s="5" t="s">
        <v>62</v>
      </c>
      <c r="C55" s="6" t="n">
        <v>357</v>
      </c>
      <c r="D55" s="6" t="n">
        <v>158</v>
      </c>
      <c r="E55" s="7" t="n">
        <v>16755.7</v>
      </c>
      <c r="F55" s="7" t="n">
        <v>-139.56</v>
      </c>
      <c r="G55" s="7" t="n">
        <v>-1286.28</v>
      </c>
      <c r="H55" s="8" t="n">
        <f aca="false">E55+F55+G55</f>
        <v>15329.86</v>
      </c>
      <c r="I55" s="9" t="n">
        <f aca="false">IF($H$1182=0,0,H55/$H$1182)</f>
        <v>0.00126990165301385</v>
      </c>
      <c r="J55" s="10" t="n">
        <f aca="false">IF(C55&lt;=0,0,H55/C55)</f>
        <v>42.9407843137255</v>
      </c>
    </row>
    <row r="56" customFormat="false" ht="15" hidden="false" customHeight="true" outlineLevel="0" collapsed="false">
      <c r="A56" s="11" t="n">
        <v>52</v>
      </c>
      <c r="B56" s="11" t="s">
        <v>63</v>
      </c>
      <c r="C56" s="12" t="n">
        <v>356</v>
      </c>
      <c r="D56" s="12" t="n">
        <v>131</v>
      </c>
      <c r="E56" s="13" t="n">
        <v>24502.55</v>
      </c>
      <c r="F56" s="13" t="n">
        <v>-261.51</v>
      </c>
      <c r="G56" s="13" t="n">
        <v>-2661.66</v>
      </c>
      <c r="H56" s="14" t="n">
        <f aca="false">E56+F56+G56</f>
        <v>21579.38</v>
      </c>
      <c r="I56" s="15" t="n">
        <f aca="false">IF($H$1182=0,0,H56/$H$1182)</f>
        <v>0.00178760212637389</v>
      </c>
      <c r="J56" s="16" t="n">
        <f aca="false">IF(C56&lt;=0,0,H56/C56)</f>
        <v>60.6162359550562</v>
      </c>
    </row>
    <row r="57" customFormat="false" ht="15" hidden="false" customHeight="true" outlineLevel="0" collapsed="false">
      <c r="A57" s="5" t="n">
        <v>53</v>
      </c>
      <c r="B57" s="5" t="s">
        <v>64</v>
      </c>
      <c r="C57" s="6" t="n">
        <v>349</v>
      </c>
      <c r="D57" s="6" t="n">
        <v>156</v>
      </c>
      <c r="E57" s="7" t="n">
        <v>22567.71</v>
      </c>
      <c r="F57" s="7" t="n">
        <v>-79.98</v>
      </c>
      <c r="G57" s="7" t="n">
        <v>-6629.52</v>
      </c>
      <c r="H57" s="8" t="n">
        <f aca="false">E57+F57+G57</f>
        <v>15858.21</v>
      </c>
      <c r="I57" s="9" t="n">
        <f aca="false">IF($H$1182=0,0,H57/$H$1182)</f>
        <v>0.0013136693415883</v>
      </c>
      <c r="J57" s="10" t="n">
        <f aca="false">IF(C57&lt;=0,0,H57/C57)</f>
        <v>45.4389971346705</v>
      </c>
    </row>
    <row r="58" customFormat="false" ht="15" hidden="false" customHeight="true" outlineLevel="0" collapsed="false">
      <c r="A58" s="11" t="n">
        <v>54</v>
      </c>
      <c r="B58" s="11" t="s">
        <v>65</v>
      </c>
      <c r="C58" s="12" t="n">
        <v>334</v>
      </c>
      <c r="D58" s="12" t="n">
        <v>199</v>
      </c>
      <c r="E58" s="13" t="n">
        <v>10541.39</v>
      </c>
      <c r="F58" s="13" t="n">
        <v>-104.54</v>
      </c>
      <c r="G58" s="13" t="n">
        <v>-1341.05</v>
      </c>
      <c r="H58" s="14" t="n">
        <f aca="false">E58+F58+G58</f>
        <v>9095.8</v>
      </c>
      <c r="I58" s="15" t="n">
        <f aca="false">IF($H$1182=0,0,H58/$H$1182)</f>
        <v>0.000753481861901114</v>
      </c>
      <c r="J58" s="16" t="n">
        <f aca="false">IF(C58&lt;=0,0,H58/C58)</f>
        <v>27.2329341317365</v>
      </c>
    </row>
    <row r="59" customFormat="false" ht="15" hidden="false" customHeight="true" outlineLevel="0" collapsed="false">
      <c r="A59" s="5" t="n">
        <v>55</v>
      </c>
      <c r="B59" s="5" t="s">
        <v>66</v>
      </c>
      <c r="C59" s="6" t="n">
        <v>328</v>
      </c>
      <c r="D59" s="6" t="n">
        <v>145</v>
      </c>
      <c r="E59" s="7" t="n">
        <v>12674</v>
      </c>
      <c r="F59" s="7" t="n">
        <v>-153.73</v>
      </c>
      <c r="G59" s="7" t="n">
        <v>-1325.26</v>
      </c>
      <c r="H59" s="8" t="n">
        <f aca="false">E59+F59+G59</f>
        <v>11195.01</v>
      </c>
      <c r="I59" s="9" t="n">
        <f aca="false">IF($H$1182=0,0,H59/$H$1182)</f>
        <v>0.000927377138767518</v>
      </c>
      <c r="J59" s="10" t="n">
        <f aca="false">IF(C59&lt;=0,0,H59/C59)</f>
        <v>34.1311280487805</v>
      </c>
    </row>
    <row r="60" customFormat="false" ht="15" hidden="false" customHeight="true" outlineLevel="0" collapsed="false">
      <c r="A60" s="11" t="n">
        <v>56</v>
      </c>
      <c r="B60" s="11" t="s">
        <v>67</v>
      </c>
      <c r="C60" s="12" t="n">
        <v>324</v>
      </c>
      <c r="D60" s="12" t="n">
        <v>79</v>
      </c>
      <c r="E60" s="13" t="n">
        <v>7647</v>
      </c>
      <c r="F60" s="13" t="n">
        <v>-13.68</v>
      </c>
      <c r="G60" s="13" t="n">
        <v>-452.98</v>
      </c>
      <c r="H60" s="14" t="n">
        <f aca="false">E60+F60+G60</f>
        <v>7180.34</v>
      </c>
      <c r="I60" s="15" t="n">
        <f aca="false">IF($H$1182=0,0,H60/$H$1182)</f>
        <v>0.000594808147967529</v>
      </c>
      <c r="J60" s="16" t="n">
        <f aca="false">IF(C60&lt;=0,0,H60/C60)</f>
        <v>22.1615432098765</v>
      </c>
    </row>
    <row r="61" customFormat="false" ht="15" hidden="false" customHeight="true" outlineLevel="0" collapsed="false">
      <c r="A61" s="5" t="n">
        <v>57</v>
      </c>
      <c r="B61" s="5" t="s">
        <v>68</v>
      </c>
      <c r="C61" s="6" t="n">
        <v>321</v>
      </c>
      <c r="D61" s="6" t="n">
        <v>170</v>
      </c>
      <c r="E61" s="7" t="n">
        <v>10446.16</v>
      </c>
      <c r="F61" s="7" t="n">
        <v>-171.83</v>
      </c>
      <c r="G61" s="7" t="n">
        <v>-1193.37</v>
      </c>
      <c r="H61" s="8" t="n">
        <f aca="false">E61+F61+G61</f>
        <v>9080.96</v>
      </c>
      <c r="I61" s="9" t="n">
        <f aca="false">IF($H$1182=0,0,H61/$H$1182)</f>
        <v>0.000752252539485206</v>
      </c>
      <c r="J61" s="10" t="n">
        <f aca="false">IF(C61&lt;=0,0,H61/C61)</f>
        <v>28.2895950155763</v>
      </c>
    </row>
    <row r="62" customFormat="false" ht="15" hidden="false" customHeight="true" outlineLevel="0" collapsed="false">
      <c r="A62" s="11" t="n">
        <v>58</v>
      </c>
      <c r="B62" s="11" t="s">
        <v>69</v>
      </c>
      <c r="C62" s="12" t="n">
        <v>315</v>
      </c>
      <c r="D62" s="12" t="n">
        <v>54</v>
      </c>
      <c r="E62" s="13" t="n">
        <v>7455.5</v>
      </c>
      <c r="F62" s="13" t="n">
        <v>-40.65</v>
      </c>
      <c r="G62" s="13" t="n">
        <v>-1004.09</v>
      </c>
      <c r="H62" s="14" t="n">
        <f aca="false">E62+F62+G62</f>
        <v>6410.76</v>
      </c>
      <c r="I62" s="15" t="n">
        <f aca="false">IF($H$1182=0,0,H62/$H$1182)</f>
        <v>0.000531057343059564</v>
      </c>
      <c r="J62" s="16" t="n">
        <f aca="false">IF(C62&lt;=0,0,H62/C62)</f>
        <v>20.3516190476191</v>
      </c>
    </row>
    <row r="63" customFormat="false" ht="15" hidden="false" customHeight="true" outlineLevel="0" collapsed="false">
      <c r="A63" s="5" t="n">
        <v>59</v>
      </c>
      <c r="B63" s="5" t="s">
        <v>70</v>
      </c>
      <c r="C63" s="6" t="n">
        <v>312</v>
      </c>
      <c r="D63" s="6" t="n">
        <v>63</v>
      </c>
      <c r="E63" s="7" t="n">
        <v>3514.28</v>
      </c>
      <c r="F63" s="7" t="n">
        <v>-14.06</v>
      </c>
      <c r="G63" s="7" t="n">
        <v>-146</v>
      </c>
      <c r="H63" s="8" t="n">
        <f aca="false">E63+F63+G63</f>
        <v>3354.22</v>
      </c>
      <c r="I63" s="9" t="n">
        <f aca="false">IF($H$1182=0,0,H63/$H$1182)</f>
        <v>0.000277858344601459</v>
      </c>
      <c r="J63" s="10" t="n">
        <f aca="false">IF(C63&lt;=0,0,H63/C63)</f>
        <v>10.7507051282051</v>
      </c>
    </row>
    <row r="64" customFormat="false" ht="15" hidden="false" customHeight="true" outlineLevel="0" collapsed="false">
      <c r="A64" s="11" t="n">
        <v>60</v>
      </c>
      <c r="B64" s="11" t="s">
        <v>71</v>
      </c>
      <c r="C64" s="12" t="n">
        <v>306</v>
      </c>
      <c r="D64" s="12" t="n">
        <v>101</v>
      </c>
      <c r="E64" s="13" t="n">
        <v>21576.1</v>
      </c>
      <c r="F64" s="13" t="n">
        <v>-763.65</v>
      </c>
      <c r="G64" s="13" t="n">
        <v>-1213.3</v>
      </c>
      <c r="H64" s="14" t="n">
        <f aca="false">E64+F64+G64</f>
        <v>19599.15</v>
      </c>
      <c r="I64" s="15" t="n">
        <f aca="false">IF($H$1182=0,0,H64/$H$1182)</f>
        <v>0.00162356296682856</v>
      </c>
      <c r="J64" s="16" t="n">
        <f aca="false">IF(C64&lt;=0,0,H64/C64)</f>
        <v>64.0495098039216</v>
      </c>
    </row>
    <row r="65" customFormat="false" ht="15" hidden="false" customHeight="true" outlineLevel="0" collapsed="false">
      <c r="A65" s="5" t="n">
        <v>61</v>
      </c>
      <c r="B65" s="5" t="s">
        <v>72</v>
      </c>
      <c r="C65" s="6" t="n">
        <v>303</v>
      </c>
      <c r="D65" s="6" t="n">
        <v>128</v>
      </c>
      <c r="E65" s="7" t="n">
        <v>15956.86</v>
      </c>
      <c r="F65" s="7" t="n">
        <v>-42.14</v>
      </c>
      <c r="G65" s="7" t="n">
        <v>-669</v>
      </c>
      <c r="H65" s="8" t="n">
        <f aca="false">E65+F65+G65</f>
        <v>15245.72</v>
      </c>
      <c r="I65" s="9" t="n">
        <f aca="false">IF($H$1182=0,0,H65/$H$1182)</f>
        <v>0.00126293162686328</v>
      </c>
      <c r="J65" s="10" t="n">
        <f aca="false">IF(C65&lt;=0,0,H65/C65)</f>
        <v>50.3159075907591</v>
      </c>
    </row>
    <row r="66" customFormat="false" ht="15" hidden="false" customHeight="true" outlineLevel="0" collapsed="false">
      <c r="A66" s="11" t="n">
        <v>62</v>
      </c>
      <c r="B66" s="11" t="s">
        <v>73</v>
      </c>
      <c r="C66" s="12" t="n">
        <v>303</v>
      </c>
      <c r="D66" s="12" t="n">
        <v>51</v>
      </c>
      <c r="E66" s="13" t="n">
        <v>9205.82</v>
      </c>
      <c r="F66" s="13" t="n">
        <v>-111.89</v>
      </c>
      <c r="G66" s="13" t="n">
        <v>-911.06</v>
      </c>
      <c r="H66" s="14" t="n">
        <f aca="false">E66+F66+G66</f>
        <v>8182.87</v>
      </c>
      <c r="I66" s="15" t="n">
        <f aca="false">IF($H$1182=0,0,H66/$H$1182)</f>
        <v>0.000677856166944608</v>
      </c>
      <c r="J66" s="16" t="n">
        <f aca="false">IF(C66&lt;=0,0,H66/C66)</f>
        <v>27.0061716171617</v>
      </c>
    </row>
    <row r="67" customFormat="false" ht="15" hidden="false" customHeight="true" outlineLevel="0" collapsed="false">
      <c r="A67" s="5" t="n">
        <v>63</v>
      </c>
      <c r="B67" s="5" t="s">
        <v>74</v>
      </c>
      <c r="C67" s="6" t="n">
        <v>298</v>
      </c>
      <c r="D67" s="6" t="n">
        <v>118</v>
      </c>
      <c r="E67" s="7" t="n">
        <v>6897.13</v>
      </c>
      <c r="F67" s="7" t="n">
        <v>-60.11</v>
      </c>
      <c r="G67" s="7" t="n">
        <v>-1673.38</v>
      </c>
      <c r="H67" s="8" t="n">
        <f aca="false">E67+F67+G67</f>
        <v>5163.64</v>
      </c>
      <c r="I67" s="9" t="n">
        <f aca="false">IF($H$1182=0,0,H67/$H$1182)</f>
        <v>0.000427747870598196</v>
      </c>
      <c r="J67" s="10" t="n">
        <f aca="false">IF(C67&lt;=0,0,H67/C67)</f>
        <v>17.3276510067114</v>
      </c>
    </row>
    <row r="68" customFormat="false" ht="15" hidden="false" customHeight="true" outlineLevel="0" collapsed="false">
      <c r="A68" s="11" t="n">
        <v>64</v>
      </c>
      <c r="B68" s="11" t="s">
        <v>75</v>
      </c>
      <c r="C68" s="12" t="n">
        <v>294</v>
      </c>
      <c r="D68" s="12" t="n">
        <v>196</v>
      </c>
      <c r="E68" s="13" t="n">
        <v>26330.92</v>
      </c>
      <c r="F68" s="13" t="n">
        <v>-279</v>
      </c>
      <c r="G68" s="13" t="n">
        <v>-2832.06</v>
      </c>
      <c r="H68" s="14" t="n">
        <f aca="false">E68+F68+G68</f>
        <v>23219.86</v>
      </c>
      <c r="I68" s="15" t="n">
        <f aca="false">IF($H$1182=0,0,H68/$H$1182)</f>
        <v>0.00192349692670059</v>
      </c>
      <c r="J68" s="16" t="n">
        <f aca="false">IF(C68&lt;=0,0,H68/C68)</f>
        <v>78.9791156462585</v>
      </c>
    </row>
    <row r="69" customFormat="false" ht="15" hidden="false" customHeight="true" outlineLevel="0" collapsed="false">
      <c r="A69" s="5" t="n">
        <v>65</v>
      </c>
      <c r="B69" s="5" t="s">
        <v>76</v>
      </c>
      <c r="C69" s="6" t="n">
        <v>291</v>
      </c>
      <c r="D69" s="6" t="n">
        <v>113</v>
      </c>
      <c r="E69" s="7" t="n">
        <v>9914.75</v>
      </c>
      <c r="F69" s="7" t="n">
        <v>-115.46</v>
      </c>
      <c r="G69" s="7" t="n">
        <v>-1217.45</v>
      </c>
      <c r="H69" s="8" t="n">
        <f aca="false">E69+F69+G69</f>
        <v>8581.84</v>
      </c>
      <c r="I69" s="9" t="n">
        <f aca="false">IF($H$1182=0,0,H69/$H$1182)</f>
        <v>0.000710906218445596</v>
      </c>
      <c r="J69" s="10" t="n">
        <f aca="false">IF(C69&lt;=0,0,H69/C69)</f>
        <v>29.4908591065292</v>
      </c>
    </row>
    <row r="70" customFormat="false" ht="15" hidden="false" customHeight="true" outlineLevel="0" collapsed="false">
      <c r="A70" s="11" t="n">
        <v>66</v>
      </c>
      <c r="B70" s="11" t="s">
        <v>77</v>
      </c>
      <c r="C70" s="12" t="n">
        <v>284</v>
      </c>
      <c r="D70" s="12" t="n">
        <v>51</v>
      </c>
      <c r="E70" s="13" t="n">
        <v>58586.07</v>
      </c>
      <c r="F70" s="13" t="n">
        <v>-690.8</v>
      </c>
      <c r="G70" s="13" t="n">
        <v>-1549.95</v>
      </c>
      <c r="H70" s="14" t="n">
        <f aca="false">E70+F70+G70</f>
        <v>56345.32</v>
      </c>
      <c r="I70" s="15" t="n">
        <f aca="false">IF($H$1182=0,0,H70/$H$1182)</f>
        <v>0.00466755828217574</v>
      </c>
      <c r="J70" s="16" t="n">
        <f aca="false">IF(C70&lt;=0,0,H70/C70)</f>
        <v>198.399014084507</v>
      </c>
    </row>
    <row r="71" customFormat="false" ht="15" hidden="false" customHeight="true" outlineLevel="0" collapsed="false">
      <c r="A71" s="5" t="n">
        <v>67</v>
      </c>
      <c r="B71" s="5" t="s">
        <v>78</v>
      </c>
      <c r="C71" s="6" t="n">
        <v>279</v>
      </c>
      <c r="D71" s="6" t="n">
        <v>69</v>
      </c>
      <c r="E71" s="7" t="n">
        <v>27972.04</v>
      </c>
      <c r="F71" s="7" t="n">
        <v>-1534.18</v>
      </c>
      <c r="G71" s="7" t="n">
        <v>-1680</v>
      </c>
      <c r="H71" s="8" t="n">
        <f aca="false">E71+F71+G71</f>
        <v>24757.86</v>
      </c>
      <c r="I71" s="9" t="n">
        <f aca="false">IF($H$1182=0,0,H71/$H$1182)</f>
        <v>0.00205090244392875</v>
      </c>
      <c r="J71" s="10" t="n">
        <f aca="false">IF(C71&lt;=0,0,H71/C71)</f>
        <v>88.7378494623656</v>
      </c>
    </row>
    <row r="72" customFormat="false" ht="15" hidden="false" customHeight="true" outlineLevel="0" collapsed="false">
      <c r="A72" s="11" t="n">
        <v>68</v>
      </c>
      <c r="B72" s="11" t="s">
        <v>79</v>
      </c>
      <c r="C72" s="12" t="n">
        <v>277</v>
      </c>
      <c r="D72" s="12" t="n">
        <v>134</v>
      </c>
      <c r="E72" s="13" t="n">
        <v>95217.58</v>
      </c>
      <c r="F72" s="13" t="n">
        <v>-236.84</v>
      </c>
      <c r="G72" s="13" t="n">
        <v>-3010.95</v>
      </c>
      <c r="H72" s="14" t="n">
        <f aca="false">E72+F72+G72</f>
        <v>91969.79</v>
      </c>
      <c r="I72" s="15" t="n">
        <f aca="false">IF($H$1182=0,0,H72/$H$1182)</f>
        <v>0.0076186337219216</v>
      </c>
      <c r="J72" s="16" t="n">
        <f aca="false">IF(C72&lt;=0,0,H72/C72)</f>
        <v>332.020902527076</v>
      </c>
    </row>
    <row r="73" customFormat="false" ht="15" hidden="false" customHeight="true" outlineLevel="0" collapsed="false">
      <c r="A73" s="5" t="n">
        <v>69</v>
      </c>
      <c r="B73" s="5" t="s">
        <v>80</v>
      </c>
      <c r="C73" s="6" t="n">
        <v>277</v>
      </c>
      <c r="D73" s="6" t="n">
        <v>108</v>
      </c>
      <c r="E73" s="7" t="n">
        <v>12258.38</v>
      </c>
      <c r="F73" s="7" t="n">
        <v>-172.94</v>
      </c>
      <c r="G73" s="7" t="n">
        <v>-307.41</v>
      </c>
      <c r="H73" s="8" t="n">
        <f aca="false">E73+F73+G73</f>
        <v>11778.03</v>
      </c>
      <c r="I73" s="9" t="n">
        <f aca="false">IF($H$1182=0,0,H73/$H$1182)</f>
        <v>0.000975673604732643</v>
      </c>
      <c r="J73" s="10" t="n">
        <f aca="false">IF(C73&lt;=0,0,H73/C73)</f>
        <v>42.519963898917</v>
      </c>
    </row>
    <row r="74" customFormat="false" ht="15" hidden="false" customHeight="true" outlineLevel="0" collapsed="false">
      <c r="A74" s="11" t="n">
        <v>70</v>
      </c>
      <c r="B74" s="11" t="s">
        <v>81</v>
      </c>
      <c r="C74" s="12" t="n">
        <v>276</v>
      </c>
      <c r="D74" s="12" t="n">
        <v>80</v>
      </c>
      <c r="E74" s="13" t="n">
        <v>19412.71</v>
      </c>
      <c r="F74" s="13" t="n">
        <v>-1576.81</v>
      </c>
      <c r="G74" s="13" t="n">
        <v>-797.86</v>
      </c>
      <c r="H74" s="14" t="n">
        <f aca="false">E74+F74+G74</f>
        <v>17038.04</v>
      </c>
      <c r="I74" s="15" t="n">
        <f aca="false">IF($H$1182=0,0,H74/$H$1182)</f>
        <v>0.00141140461557484</v>
      </c>
      <c r="J74" s="16" t="n">
        <f aca="false">IF(C74&lt;=0,0,H74/C74)</f>
        <v>61.7320289855072</v>
      </c>
    </row>
    <row r="75" customFormat="false" ht="15" hidden="false" customHeight="true" outlineLevel="0" collapsed="false">
      <c r="A75" s="5" t="n">
        <v>71</v>
      </c>
      <c r="B75" s="5" t="s">
        <v>82</v>
      </c>
      <c r="C75" s="6" t="n">
        <v>273</v>
      </c>
      <c r="D75" s="6" t="n">
        <v>83</v>
      </c>
      <c r="E75" s="7" t="n">
        <v>5213.38</v>
      </c>
      <c r="F75" s="7" t="n">
        <v>-45.67</v>
      </c>
      <c r="G75" s="7" t="n">
        <v>-199.17</v>
      </c>
      <c r="H75" s="8" t="n">
        <f aca="false">E75+F75+G75</f>
        <v>4968.54</v>
      </c>
      <c r="I75" s="9" t="n">
        <f aca="false">IF($H$1182=0,0,H75/$H$1182)</f>
        <v>0.000411586091397146</v>
      </c>
      <c r="J75" s="10" t="n">
        <f aca="false">IF(C75&lt;=0,0,H75/C75)</f>
        <v>18.1997802197802</v>
      </c>
    </row>
    <row r="76" customFormat="false" ht="15" hidden="false" customHeight="true" outlineLevel="0" collapsed="false">
      <c r="A76" s="11" t="n">
        <v>72</v>
      </c>
      <c r="B76" s="11" t="s">
        <v>83</v>
      </c>
      <c r="C76" s="12" t="n">
        <v>272</v>
      </c>
      <c r="D76" s="12" t="n">
        <v>123</v>
      </c>
      <c r="E76" s="13" t="n">
        <v>2937.14</v>
      </c>
      <c r="F76" s="13" t="n">
        <v>-18.07</v>
      </c>
      <c r="G76" s="13" t="n">
        <v>-203.8</v>
      </c>
      <c r="H76" s="14" t="n">
        <f aca="false">E76+F76+G76</f>
        <v>2715.27</v>
      </c>
      <c r="I76" s="15" t="n">
        <f aca="false">IF($H$1182=0,0,H76/$H$1182)</f>
        <v>0.000224928724814116</v>
      </c>
      <c r="J76" s="16" t="n">
        <f aca="false">IF(C76&lt;=0,0,H76/C76)</f>
        <v>9.98261029411765</v>
      </c>
    </row>
    <row r="77" customFormat="false" ht="15" hidden="false" customHeight="true" outlineLevel="0" collapsed="false">
      <c r="A77" s="5" t="n">
        <v>73</v>
      </c>
      <c r="B77" s="5" t="s">
        <v>84</v>
      </c>
      <c r="C77" s="6" t="n">
        <v>272</v>
      </c>
      <c r="D77" s="6" t="n">
        <v>90</v>
      </c>
      <c r="E77" s="7" t="n">
        <v>2679.98</v>
      </c>
      <c r="F77" s="7" t="n">
        <v>-11.61</v>
      </c>
      <c r="G77" s="7" t="n">
        <v>-395.06</v>
      </c>
      <c r="H77" s="8" t="n">
        <f aca="false">E77+F77+G77</f>
        <v>2273.31</v>
      </c>
      <c r="I77" s="9" t="n">
        <f aca="false">IF($H$1182=0,0,H77/$H$1182)</f>
        <v>0.000188317448875132</v>
      </c>
      <c r="J77" s="10" t="n">
        <f aca="false">IF(C77&lt;=0,0,H77/C77)</f>
        <v>8.35775735294118</v>
      </c>
    </row>
    <row r="78" customFormat="false" ht="15" hidden="false" customHeight="true" outlineLevel="0" collapsed="false">
      <c r="A78" s="11" t="n">
        <v>74</v>
      </c>
      <c r="B78" s="11" t="s">
        <v>85</v>
      </c>
      <c r="C78" s="12" t="n">
        <v>260</v>
      </c>
      <c r="D78" s="12" t="n">
        <v>132</v>
      </c>
      <c r="E78" s="13" t="n">
        <v>7544.8</v>
      </c>
      <c r="F78" s="13" t="n">
        <v>-67.01</v>
      </c>
      <c r="G78" s="13" t="n">
        <v>-680.72</v>
      </c>
      <c r="H78" s="14" t="n">
        <f aca="false">E78+F78+G78</f>
        <v>6797.07</v>
      </c>
      <c r="I78" s="15" t="n">
        <f aca="false">IF($H$1182=0,0,H78/$H$1182)</f>
        <v>0.000563058659938895</v>
      </c>
      <c r="J78" s="16" t="n">
        <f aca="false">IF(C78&lt;=0,0,H78/C78)</f>
        <v>26.1425769230769</v>
      </c>
    </row>
    <row r="79" customFormat="false" ht="15" hidden="false" customHeight="true" outlineLevel="0" collapsed="false">
      <c r="A79" s="5" t="n">
        <v>75</v>
      </c>
      <c r="B79" s="5" t="s">
        <v>86</v>
      </c>
      <c r="C79" s="6" t="n">
        <v>254</v>
      </c>
      <c r="D79" s="6" t="n">
        <v>42</v>
      </c>
      <c r="E79" s="7" t="n">
        <v>19451.84</v>
      </c>
      <c r="F79" s="7" t="n">
        <v>-8.26</v>
      </c>
      <c r="G79" s="7" t="n">
        <v>-1319.8</v>
      </c>
      <c r="H79" s="8" t="n">
        <f aca="false">E79+F79+G79</f>
        <v>18123.78</v>
      </c>
      <c r="I79" s="9" t="n">
        <f aca="false">IF($H$1182=0,0,H79/$H$1182)</f>
        <v>0.00150134562095541</v>
      </c>
      <c r="J79" s="10" t="n">
        <f aca="false">IF(C79&lt;=0,0,H79/C79)</f>
        <v>71.3534645669292</v>
      </c>
    </row>
    <row r="80" customFormat="false" ht="15" hidden="false" customHeight="true" outlineLevel="0" collapsed="false">
      <c r="A80" s="11" t="n">
        <v>76</v>
      </c>
      <c r="B80" s="11" t="s">
        <v>87</v>
      </c>
      <c r="C80" s="12" t="n">
        <v>246</v>
      </c>
      <c r="D80" s="12" t="n">
        <v>124</v>
      </c>
      <c r="E80" s="13" t="n">
        <v>10840.08</v>
      </c>
      <c r="F80" s="13" t="n">
        <v>-124.24</v>
      </c>
      <c r="G80" s="13" t="n">
        <v>-290.92</v>
      </c>
      <c r="H80" s="14" t="n">
        <f aca="false">E80+F80+G80</f>
        <v>10424.92</v>
      </c>
      <c r="I80" s="15" t="n">
        <f aca="false">IF($H$1182=0,0,H80/$H$1182)</f>
        <v>0.000863584086256312</v>
      </c>
      <c r="J80" s="16" t="n">
        <f aca="false">IF(C80&lt;=0,0,H80/C80)</f>
        <v>42.3777235772358</v>
      </c>
    </row>
    <row r="81" customFormat="false" ht="15" hidden="false" customHeight="true" outlineLevel="0" collapsed="false">
      <c r="A81" s="5" t="n">
        <v>77</v>
      </c>
      <c r="B81" s="5" t="s">
        <v>88</v>
      </c>
      <c r="C81" s="6" t="n">
        <v>241</v>
      </c>
      <c r="D81" s="6" t="n">
        <v>85</v>
      </c>
      <c r="E81" s="7" t="n">
        <v>19836.7</v>
      </c>
      <c r="F81" s="7" t="n">
        <v>-5133.73</v>
      </c>
      <c r="G81" s="7" t="n">
        <v>-482.91</v>
      </c>
      <c r="H81" s="8" t="n">
        <f aca="false">E81+F81+G81</f>
        <v>14220.06</v>
      </c>
      <c r="I81" s="9" t="n">
        <f aca="false">IF($H$1182=0,0,H81/$H$1182)</f>
        <v>0.00117796755482152</v>
      </c>
      <c r="J81" s="10" t="n">
        <f aca="false">IF(C81&lt;=0,0,H81/C81)</f>
        <v>59.004398340249</v>
      </c>
    </row>
    <row r="82" customFormat="false" ht="15" hidden="false" customHeight="true" outlineLevel="0" collapsed="false">
      <c r="A82" s="11" t="n">
        <v>78</v>
      </c>
      <c r="B82" s="11" t="s">
        <v>89</v>
      </c>
      <c r="C82" s="12" t="n">
        <v>240</v>
      </c>
      <c r="D82" s="12" t="n">
        <v>107</v>
      </c>
      <c r="E82" s="13" t="n">
        <v>2507.8</v>
      </c>
      <c r="F82" s="13" t="n">
        <v>-22.23</v>
      </c>
      <c r="G82" s="13" t="n">
        <v>-177.64</v>
      </c>
      <c r="H82" s="14" t="n">
        <f aca="false">E82+F82+G82</f>
        <v>2307.93</v>
      </c>
      <c r="I82" s="15" t="n">
        <f aca="false">IF($H$1182=0,0,H82/$H$1182)</f>
        <v>0.000191185315589331</v>
      </c>
      <c r="J82" s="16" t="n">
        <f aca="false">IF(C82&lt;=0,0,H82/C82)</f>
        <v>9.616375</v>
      </c>
    </row>
    <row r="83" customFormat="false" ht="15" hidden="false" customHeight="true" outlineLevel="0" collapsed="false">
      <c r="A83" s="5" t="n">
        <v>79</v>
      </c>
      <c r="B83" s="5" t="s">
        <v>90</v>
      </c>
      <c r="C83" s="6" t="n">
        <v>236</v>
      </c>
      <c r="D83" s="6" t="n">
        <v>138</v>
      </c>
      <c r="E83" s="7" t="n">
        <v>28413.24</v>
      </c>
      <c r="F83" s="7" t="n">
        <v>-237.67</v>
      </c>
      <c r="G83" s="7" t="n">
        <v>-2822.37</v>
      </c>
      <c r="H83" s="8" t="n">
        <f aca="false">E83+F83+G83</f>
        <v>25353.2</v>
      </c>
      <c r="I83" s="9" t="n">
        <f aca="false">IF($H$1182=0,0,H83/$H$1182)</f>
        <v>0.0021002194794467</v>
      </c>
      <c r="J83" s="10" t="n">
        <f aca="false">IF(C83&lt;=0,0,H83/C83)</f>
        <v>107.428813559322</v>
      </c>
    </row>
    <row r="84" customFormat="false" ht="15" hidden="false" customHeight="true" outlineLevel="0" collapsed="false">
      <c r="A84" s="11" t="n">
        <v>80</v>
      </c>
      <c r="B84" s="11" t="s">
        <v>91</v>
      </c>
      <c r="C84" s="12" t="n">
        <v>234</v>
      </c>
      <c r="D84" s="12" t="n">
        <v>137</v>
      </c>
      <c r="E84" s="13" t="n">
        <v>4733.54</v>
      </c>
      <c r="F84" s="13" t="n">
        <v>-33.57</v>
      </c>
      <c r="G84" s="13" t="n">
        <v>-332.16</v>
      </c>
      <c r="H84" s="14" t="n">
        <f aca="false">E84+F84+G84</f>
        <v>4367.81</v>
      </c>
      <c r="I84" s="15" t="n">
        <f aca="false">IF($H$1182=0,0,H84/$H$1182)</f>
        <v>0.000361822556699829</v>
      </c>
      <c r="J84" s="16" t="n">
        <f aca="false">IF(C84&lt;=0,0,H84/C84)</f>
        <v>18.6658547008547</v>
      </c>
    </row>
    <row r="85" customFormat="false" ht="15" hidden="false" customHeight="true" outlineLevel="0" collapsed="false">
      <c r="A85" s="5" t="n">
        <v>81</v>
      </c>
      <c r="B85" s="5" t="s">
        <v>92</v>
      </c>
      <c r="C85" s="6" t="n">
        <v>232</v>
      </c>
      <c r="D85" s="6" t="n">
        <v>37</v>
      </c>
      <c r="E85" s="7" t="n">
        <v>9375.6</v>
      </c>
      <c r="F85" s="7" t="n">
        <v>0</v>
      </c>
      <c r="G85" s="7" t="n">
        <v>-940.92</v>
      </c>
      <c r="H85" s="8" t="n">
        <f aca="false">E85+F85+G85</f>
        <v>8434.68</v>
      </c>
      <c r="I85" s="9" t="n">
        <f aca="false">IF($H$1182=0,0,H85/$H$1182)</f>
        <v>0.000698715713949305</v>
      </c>
      <c r="J85" s="10" t="n">
        <f aca="false">IF(C85&lt;=0,0,H85/C85)</f>
        <v>36.3563793103448</v>
      </c>
    </row>
    <row r="86" customFormat="false" ht="15" hidden="false" customHeight="true" outlineLevel="0" collapsed="false">
      <c r="A86" s="11" t="n">
        <v>82</v>
      </c>
      <c r="B86" s="11" t="s">
        <v>93</v>
      </c>
      <c r="C86" s="12" t="n">
        <v>230</v>
      </c>
      <c r="D86" s="12" t="n">
        <v>89</v>
      </c>
      <c r="E86" s="13" t="n">
        <v>3195.93</v>
      </c>
      <c r="F86" s="13" t="n">
        <v>-59.07</v>
      </c>
      <c r="G86" s="13" t="n">
        <v>-208.08</v>
      </c>
      <c r="H86" s="14" t="n">
        <f aca="false">E86+F86+G86</f>
        <v>2928.78</v>
      </c>
      <c r="I86" s="15" t="n">
        <f aca="false">IF($H$1182=0,0,H86/$H$1182)</f>
        <v>0.000242615559653768</v>
      </c>
      <c r="J86" s="16" t="n">
        <f aca="false">IF(C86&lt;=0,0,H86/C86)</f>
        <v>12.7338260869565</v>
      </c>
    </row>
    <row r="87" customFormat="false" ht="15" hidden="false" customHeight="true" outlineLevel="0" collapsed="false">
      <c r="A87" s="5" t="n">
        <v>83</v>
      </c>
      <c r="B87" s="5" t="s">
        <v>94</v>
      </c>
      <c r="C87" s="6" t="n">
        <v>228</v>
      </c>
      <c r="D87" s="6" t="n">
        <v>162</v>
      </c>
      <c r="E87" s="7" t="n">
        <v>20153.64</v>
      </c>
      <c r="F87" s="7" t="n">
        <v>-222.41</v>
      </c>
      <c r="G87" s="7" t="n">
        <v>-3663.55</v>
      </c>
      <c r="H87" s="8" t="n">
        <f aca="false">E87+F87+G87</f>
        <v>16267.68</v>
      </c>
      <c r="I87" s="9" t="n">
        <f aca="false">IF($H$1182=0,0,H87/$H$1182)</f>
        <v>0.00134758919668545</v>
      </c>
      <c r="J87" s="10" t="n">
        <f aca="false">IF(C87&lt;=0,0,H87/C87)</f>
        <v>71.3494736842105</v>
      </c>
    </row>
    <row r="88" customFormat="false" ht="15" hidden="false" customHeight="true" outlineLevel="0" collapsed="false">
      <c r="A88" s="11" t="n">
        <v>84</v>
      </c>
      <c r="B88" s="11" t="s">
        <v>95</v>
      </c>
      <c r="C88" s="12" t="n">
        <v>228</v>
      </c>
      <c r="D88" s="12" t="n">
        <v>105</v>
      </c>
      <c r="E88" s="13" t="n">
        <v>9938.48</v>
      </c>
      <c r="F88" s="13" t="n">
        <v>-109.83</v>
      </c>
      <c r="G88" s="13" t="n">
        <v>-1150.09</v>
      </c>
      <c r="H88" s="14" t="n">
        <f aca="false">E88+F88+G88</f>
        <v>8678.56</v>
      </c>
      <c r="I88" s="15" t="n">
        <f aca="false">IF($H$1182=0,0,H88/$H$1182)</f>
        <v>0.000718918352142806</v>
      </c>
      <c r="J88" s="16" t="n">
        <f aca="false">IF(C88&lt;=0,0,H88/C88)</f>
        <v>38.0638596491228</v>
      </c>
    </row>
    <row r="89" customFormat="false" ht="15" hidden="false" customHeight="true" outlineLevel="0" collapsed="false">
      <c r="A89" s="5" t="n">
        <v>85</v>
      </c>
      <c r="B89" s="5" t="s">
        <v>96</v>
      </c>
      <c r="C89" s="6" t="n">
        <v>225</v>
      </c>
      <c r="D89" s="6" t="n">
        <v>104</v>
      </c>
      <c r="E89" s="7" t="n">
        <v>14778.13</v>
      </c>
      <c r="F89" s="7" t="n">
        <v>-1103.75</v>
      </c>
      <c r="G89" s="7" t="n">
        <v>-64.99</v>
      </c>
      <c r="H89" s="8" t="n">
        <f aca="false">E89+F89+G89</f>
        <v>13609.39</v>
      </c>
      <c r="I89" s="9" t="n">
        <f aca="false">IF($H$1182=0,0,H89/$H$1182)</f>
        <v>0.00112738060605317</v>
      </c>
      <c r="J89" s="10" t="n">
        <f aca="false">IF(C89&lt;=0,0,H89/C89)</f>
        <v>60.4861777777778</v>
      </c>
    </row>
    <row r="90" customFormat="false" ht="15" hidden="false" customHeight="true" outlineLevel="0" collapsed="false">
      <c r="A90" s="11" t="n">
        <v>86</v>
      </c>
      <c r="B90" s="11" t="s">
        <v>97</v>
      </c>
      <c r="C90" s="12" t="n">
        <v>224</v>
      </c>
      <c r="D90" s="12" t="n">
        <v>143</v>
      </c>
      <c r="E90" s="13" t="n">
        <v>70545.6</v>
      </c>
      <c r="F90" s="13" t="n">
        <v>-1090.36</v>
      </c>
      <c r="G90" s="13" t="n">
        <v>-5659.74</v>
      </c>
      <c r="H90" s="14" t="n">
        <f aca="false">E90+F90+G90</f>
        <v>63795.5</v>
      </c>
      <c r="I90" s="15" t="n">
        <f aca="false">IF($H$1182=0,0,H90/$H$1182)</f>
        <v>0.00528471955418023</v>
      </c>
      <c r="J90" s="16" t="n">
        <f aca="false">IF(C90&lt;=0,0,H90/C90)</f>
        <v>284.801339285714</v>
      </c>
    </row>
    <row r="91" customFormat="false" ht="15" hidden="false" customHeight="true" outlineLevel="0" collapsed="false">
      <c r="A91" s="5" t="n">
        <v>87</v>
      </c>
      <c r="B91" s="5" t="s">
        <v>98</v>
      </c>
      <c r="C91" s="6" t="n">
        <v>222</v>
      </c>
      <c r="D91" s="6" t="n">
        <v>111</v>
      </c>
      <c r="E91" s="7" t="n">
        <v>14499.03</v>
      </c>
      <c r="F91" s="7" t="n">
        <v>-300.18</v>
      </c>
      <c r="G91" s="7" t="n">
        <v>-1717.17</v>
      </c>
      <c r="H91" s="8" t="n">
        <f aca="false">E91+F91+G91</f>
        <v>12481.68</v>
      </c>
      <c r="I91" s="9" t="n">
        <f aca="false">IF($H$1182=0,0,H91/$H$1182)</f>
        <v>0.00103396287144109</v>
      </c>
      <c r="J91" s="10" t="n">
        <f aca="false">IF(C91&lt;=0,0,H91/C91)</f>
        <v>56.2237837837838</v>
      </c>
    </row>
    <row r="92" customFormat="false" ht="15" hidden="false" customHeight="true" outlineLevel="0" collapsed="false">
      <c r="A92" s="11" t="n">
        <v>88</v>
      </c>
      <c r="B92" s="11" t="s">
        <v>99</v>
      </c>
      <c r="C92" s="12" t="n">
        <v>220</v>
      </c>
      <c r="D92" s="12" t="n">
        <v>79</v>
      </c>
      <c r="E92" s="13" t="n">
        <v>13401.79</v>
      </c>
      <c r="F92" s="13" t="n">
        <v>-1144.58</v>
      </c>
      <c r="G92" s="13" t="n">
        <v>-407.99</v>
      </c>
      <c r="H92" s="14" t="n">
        <f aca="false">E92+F92+G92</f>
        <v>11849.22</v>
      </c>
      <c r="I92" s="15" t="n">
        <f aca="false">IF($H$1182=0,0,H92/$H$1182)</f>
        <v>0.000981570873114616</v>
      </c>
      <c r="J92" s="16" t="n">
        <f aca="false">IF(C92&lt;=0,0,H92/C92)</f>
        <v>53.8600909090909</v>
      </c>
    </row>
    <row r="93" customFormat="false" ht="15" hidden="false" customHeight="true" outlineLevel="0" collapsed="false">
      <c r="A93" s="5" t="n">
        <v>89</v>
      </c>
      <c r="B93" s="5" t="s">
        <v>100</v>
      </c>
      <c r="C93" s="6" t="n">
        <v>219</v>
      </c>
      <c r="D93" s="6" t="n">
        <v>159</v>
      </c>
      <c r="E93" s="7" t="n">
        <v>18563.87</v>
      </c>
      <c r="F93" s="7" t="n">
        <v>-183.78</v>
      </c>
      <c r="G93" s="7" t="n">
        <v>-2551.48</v>
      </c>
      <c r="H93" s="8" t="n">
        <f aca="false">E93+F93+G93</f>
        <v>15828.61</v>
      </c>
      <c r="I93" s="9" t="n">
        <f aca="false">IF($H$1182=0,0,H93/$H$1182)</f>
        <v>0.0013112173238315</v>
      </c>
      <c r="J93" s="10" t="n">
        <f aca="false">IF(C93&lt;=0,0,H93/C93)</f>
        <v>72.2767579908676</v>
      </c>
    </row>
    <row r="94" customFormat="false" ht="15" hidden="false" customHeight="true" outlineLevel="0" collapsed="false">
      <c r="A94" s="11" t="n">
        <v>90</v>
      </c>
      <c r="B94" s="11" t="s">
        <v>101</v>
      </c>
      <c r="C94" s="12" t="n">
        <v>215</v>
      </c>
      <c r="D94" s="12" t="n">
        <v>110</v>
      </c>
      <c r="E94" s="13" t="n">
        <v>6731.06</v>
      </c>
      <c r="F94" s="13" t="n">
        <v>-88.4</v>
      </c>
      <c r="G94" s="13" t="n">
        <v>-622.9</v>
      </c>
      <c r="H94" s="14" t="n">
        <f aca="false">E94+F94+G94</f>
        <v>6019.76</v>
      </c>
      <c r="I94" s="15" t="n">
        <f aca="false">IF($H$1182=0,0,H94/$H$1182)</f>
        <v>0.000498667513907282</v>
      </c>
      <c r="J94" s="16" t="n">
        <f aca="false">IF(C94&lt;=0,0,H94/C94)</f>
        <v>27.9988837209302</v>
      </c>
    </row>
    <row r="95" customFormat="false" ht="15" hidden="false" customHeight="true" outlineLevel="0" collapsed="false">
      <c r="A95" s="5" t="n">
        <v>91</v>
      </c>
      <c r="B95" s="5" t="s">
        <v>102</v>
      </c>
      <c r="C95" s="6" t="n">
        <v>214</v>
      </c>
      <c r="D95" s="6" t="n">
        <v>75</v>
      </c>
      <c r="E95" s="7" t="n">
        <v>11724.44</v>
      </c>
      <c r="F95" s="7" t="n">
        <v>-71.91</v>
      </c>
      <c r="G95" s="7" t="n">
        <v>-153.99</v>
      </c>
      <c r="H95" s="8" t="n">
        <f aca="false">E95+F95+G95</f>
        <v>11498.54</v>
      </c>
      <c r="I95" s="9" t="n">
        <f aca="false">IF($H$1182=0,0,H95/$H$1182)</f>
        <v>0.000952521089771591</v>
      </c>
      <c r="J95" s="10" t="n">
        <f aca="false">IF(C95&lt;=0,0,H95/C95)</f>
        <v>53.7314953271028</v>
      </c>
    </row>
    <row r="96" customFormat="false" ht="15" hidden="false" customHeight="true" outlineLevel="0" collapsed="false">
      <c r="A96" s="11" t="n">
        <v>92</v>
      </c>
      <c r="B96" s="11" t="s">
        <v>103</v>
      </c>
      <c r="C96" s="12" t="n">
        <v>210</v>
      </c>
      <c r="D96" s="12" t="n">
        <v>145</v>
      </c>
      <c r="E96" s="13" t="n">
        <v>18790.68</v>
      </c>
      <c r="F96" s="13" t="n">
        <v>-88.68</v>
      </c>
      <c r="G96" s="13" t="n">
        <v>-1783.78</v>
      </c>
      <c r="H96" s="14" t="n">
        <f aca="false">E96+F96+G96</f>
        <v>16918.22</v>
      </c>
      <c r="I96" s="15" t="n">
        <f aca="false">IF($H$1182=0,0,H96/$H$1182)</f>
        <v>0.00140147891396608</v>
      </c>
      <c r="J96" s="16" t="n">
        <f aca="false">IF(C96&lt;=0,0,H96/C96)</f>
        <v>80.5629523809524</v>
      </c>
    </row>
    <row r="97" customFormat="false" ht="15" hidden="false" customHeight="true" outlineLevel="0" collapsed="false">
      <c r="A97" s="5" t="n">
        <v>93</v>
      </c>
      <c r="B97" s="5" t="s">
        <v>104</v>
      </c>
      <c r="C97" s="6" t="n">
        <v>210</v>
      </c>
      <c r="D97" s="6" t="n">
        <v>113</v>
      </c>
      <c r="E97" s="7" t="n">
        <v>16500</v>
      </c>
      <c r="F97" s="7" t="n">
        <v>-522.36</v>
      </c>
      <c r="G97" s="7" t="n">
        <v>-728</v>
      </c>
      <c r="H97" s="8" t="n">
        <f aca="false">E97+F97+G97</f>
        <v>15249.64</v>
      </c>
      <c r="I97" s="9" t="n">
        <f aca="false">IF($H$1182=0,0,H97/$H$1182)</f>
        <v>0.00126325635353918</v>
      </c>
      <c r="J97" s="10" t="n">
        <f aca="false">IF(C97&lt;=0,0,H97/C97)</f>
        <v>72.6173333333333</v>
      </c>
    </row>
    <row r="98" customFormat="false" ht="15" hidden="false" customHeight="true" outlineLevel="0" collapsed="false">
      <c r="A98" s="11" t="n">
        <v>94</v>
      </c>
      <c r="B98" s="11" t="s">
        <v>105</v>
      </c>
      <c r="C98" s="12" t="n">
        <v>209</v>
      </c>
      <c r="D98" s="12" t="n">
        <v>98</v>
      </c>
      <c r="E98" s="13" t="n">
        <v>3854.76</v>
      </c>
      <c r="F98" s="13" t="n">
        <v>-23.87</v>
      </c>
      <c r="G98" s="13" t="n">
        <v>-426.95</v>
      </c>
      <c r="H98" s="14" t="n">
        <f aca="false">E98+F98+G98</f>
        <v>3403.94</v>
      </c>
      <c r="I98" s="15" t="n">
        <f aca="false">IF($H$1182=0,0,H98/$H$1182)</f>
        <v>0.000281977071725376</v>
      </c>
      <c r="J98" s="16" t="n">
        <f aca="false">IF(C98&lt;=0,0,H98/C98)</f>
        <v>16.2867942583732</v>
      </c>
    </row>
    <row r="99" customFormat="false" ht="15" hidden="false" customHeight="true" outlineLevel="0" collapsed="false">
      <c r="A99" s="5" t="n">
        <v>95</v>
      </c>
      <c r="B99" s="5" t="s">
        <v>106</v>
      </c>
      <c r="C99" s="6" t="n">
        <v>206</v>
      </c>
      <c r="D99" s="6" t="n">
        <v>114</v>
      </c>
      <c r="E99" s="7" t="n">
        <v>8307.52</v>
      </c>
      <c r="F99" s="7" t="n">
        <v>-363.34</v>
      </c>
      <c r="G99" s="7" t="n">
        <v>-1752.74</v>
      </c>
      <c r="H99" s="8" t="n">
        <f aca="false">E99+F99+G99</f>
        <v>6191.44</v>
      </c>
      <c r="I99" s="9" t="n">
        <f aca="false">IF($H$1182=0,0,H99/$H$1182)</f>
        <v>0.000512889216896703</v>
      </c>
      <c r="J99" s="10" t="n">
        <f aca="false">IF(C99&lt;=0,0,H99/C99)</f>
        <v>30.0555339805825</v>
      </c>
    </row>
    <row r="100" customFormat="false" ht="15" hidden="false" customHeight="true" outlineLevel="0" collapsed="false">
      <c r="A100" s="11" t="n">
        <v>96</v>
      </c>
      <c r="B100" s="11" t="s">
        <v>107</v>
      </c>
      <c r="C100" s="12" t="n">
        <v>206</v>
      </c>
      <c r="D100" s="12" t="n">
        <v>125</v>
      </c>
      <c r="E100" s="13" t="n">
        <v>6605.09</v>
      </c>
      <c r="F100" s="13" t="n">
        <v>-50.76</v>
      </c>
      <c r="G100" s="13" t="n">
        <v>-573.8</v>
      </c>
      <c r="H100" s="14" t="n">
        <f aca="false">E100+F100+G100</f>
        <v>5980.53</v>
      </c>
      <c r="I100" s="15" t="n">
        <f aca="false">IF($H$1182=0,0,H100/$H$1182)</f>
        <v>0.000495417761995148</v>
      </c>
      <c r="J100" s="16" t="n">
        <f aca="false">IF(C100&lt;=0,0,H100/C100)</f>
        <v>29.0316990291262</v>
      </c>
    </row>
    <row r="101" customFormat="false" ht="15" hidden="false" customHeight="true" outlineLevel="0" collapsed="false">
      <c r="A101" s="5" t="n">
        <v>97</v>
      </c>
      <c r="B101" s="5" t="s">
        <v>108</v>
      </c>
      <c r="C101" s="6" t="n">
        <v>202</v>
      </c>
      <c r="D101" s="6" t="n">
        <v>125</v>
      </c>
      <c r="E101" s="7" t="n">
        <v>9750</v>
      </c>
      <c r="F101" s="7" t="n">
        <v>-51.76</v>
      </c>
      <c r="G101" s="7" t="n">
        <v>-1872</v>
      </c>
      <c r="H101" s="8" t="n">
        <f aca="false">E101+F101+G101</f>
        <v>7826.24</v>
      </c>
      <c r="I101" s="9" t="n">
        <f aca="false">IF($H$1182=0,0,H101/$H$1182)</f>
        <v>0.000648313494897093</v>
      </c>
      <c r="J101" s="10" t="n">
        <f aca="false">IF(C101&lt;=0,0,H101/C101)</f>
        <v>38.7437623762376</v>
      </c>
    </row>
    <row r="102" customFormat="false" ht="15" hidden="false" customHeight="true" outlineLevel="0" collapsed="false">
      <c r="A102" s="11" t="n">
        <v>98</v>
      </c>
      <c r="B102" s="11" t="s">
        <v>109</v>
      </c>
      <c r="C102" s="12" t="n">
        <v>200</v>
      </c>
      <c r="D102" s="12" t="n">
        <v>94</v>
      </c>
      <c r="E102" s="13" t="n">
        <v>13846</v>
      </c>
      <c r="F102" s="13" t="n">
        <v>-164.54</v>
      </c>
      <c r="G102" s="13" t="n">
        <v>-1621.65</v>
      </c>
      <c r="H102" s="14" t="n">
        <f aca="false">E102+F102+G102</f>
        <v>12059.81</v>
      </c>
      <c r="I102" s="15" t="n">
        <f aca="false">IF($H$1182=0,0,H102/$H$1182)</f>
        <v>0.000999015819716097</v>
      </c>
      <c r="J102" s="16" t="n">
        <f aca="false">IF(C102&lt;=0,0,H102/C102)</f>
        <v>60.29905</v>
      </c>
    </row>
    <row r="103" customFormat="false" ht="15" hidden="false" customHeight="true" outlineLevel="0" collapsed="false">
      <c r="A103" s="5" t="n">
        <v>99</v>
      </c>
      <c r="B103" s="5" t="s">
        <v>110</v>
      </c>
      <c r="C103" s="6" t="n">
        <v>199</v>
      </c>
      <c r="D103" s="6" t="n">
        <v>82</v>
      </c>
      <c r="E103" s="7" t="n">
        <v>3719.52</v>
      </c>
      <c r="F103" s="7" t="n">
        <v>-8.85</v>
      </c>
      <c r="G103" s="7" t="n">
        <v>-697.31</v>
      </c>
      <c r="H103" s="8" t="n">
        <f aca="false">E103+F103+G103</f>
        <v>3013.36</v>
      </c>
      <c r="I103" s="9" t="n">
        <f aca="false">IF($H$1182=0,0,H103/$H$1182)</f>
        <v>0.00024962203471694</v>
      </c>
      <c r="J103" s="10" t="n">
        <f aca="false">IF(C103&lt;=0,0,H103/C103)</f>
        <v>15.1425125628141</v>
      </c>
    </row>
    <row r="104" customFormat="false" ht="15" hidden="false" customHeight="true" outlineLevel="0" collapsed="false">
      <c r="A104" s="11" t="n">
        <v>100</v>
      </c>
      <c r="B104" s="11" t="s">
        <v>111</v>
      </c>
      <c r="C104" s="12" t="n">
        <v>195</v>
      </c>
      <c r="D104" s="12" t="n">
        <v>77</v>
      </c>
      <c r="E104" s="13" t="n">
        <v>3146.28</v>
      </c>
      <c r="F104" s="13" t="n">
        <v>-24.69</v>
      </c>
      <c r="G104" s="13" t="n">
        <v>-360.25</v>
      </c>
      <c r="H104" s="14" t="n">
        <f aca="false">E104+F104+G104</f>
        <v>2761.34</v>
      </c>
      <c r="I104" s="15" t="n">
        <f aca="false">IF($H$1182=0,0,H104/$H$1182)</f>
        <v>0.00022874509164032</v>
      </c>
      <c r="J104" s="16" t="n">
        <f aca="false">IF(C104&lt;=0,0,H104/C104)</f>
        <v>14.1607179487179</v>
      </c>
    </row>
    <row r="105" customFormat="false" ht="15" hidden="false" customHeight="true" outlineLevel="0" collapsed="false">
      <c r="A105" s="5" t="n">
        <v>101</v>
      </c>
      <c r="B105" s="5" t="s">
        <v>112</v>
      </c>
      <c r="C105" s="6" t="n">
        <v>193</v>
      </c>
      <c r="D105" s="6" t="n">
        <v>69</v>
      </c>
      <c r="E105" s="7" t="n">
        <v>19560.86</v>
      </c>
      <c r="F105" s="7" t="n">
        <v>-39.88</v>
      </c>
      <c r="G105" s="7" t="n">
        <v>-693.99</v>
      </c>
      <c r="H105" s="8" t="n">
        <f aca="false">E105+F105+G105</f>
        <v>18826.99</v>
      </c>
      <c r="I105" s="9" t="n">
        <f aca="false">IF($H$1182=0,0,H105/$H$1182)</f>
        <v>0.00155959843875125</v>
      </c>
      <c r="J105" s="10" t="n">
        <f aca="false">IF(C105&lt;=0,0,H105/C105)</f>
        <v>97.5491709844559</v>
      </c>
    </row>
    <row r="106" customFormat="false" ht="15" hidden="false" customHeight="true" outlineLevel="0" collapsed="false">
      <c r="A106" s="11" t="n">
        <v>102</v>
      </c>
      <c r="B106" s="11" t="s">
        <v>113</v>
      </c>
      <c r="C106" s="12" t="n">
        <v>191</v>
      </c>
      <c r="D106" s="12" t="n">
        <v>115</v>
      </c>
      <c r="E106" s="13" t="n">
        <v>39903.97</v>
      </c>
      <c r="F106" s="13" t="n">
        <v>-169.64</v>
      </c>
      <c r="G106" s="13" t="n">
        <v>-2376.79</v>
      </c>
      <c r="H106" s="14" t="n">
        <f aca="false">E106+F106+G106</f>
        <v>37357.54</v>
      </c>
      <c r="I106" s="15" t="n">
        <f aca="false">IF($H$1182=0,0,H106/$H$1182)</f>
        <v>0.00309464025102194</v>
      </c>
      <c r="J106" s="16" t="n">
        <f aca="false">IF(C106&lt;=0,0,H106/C106)</f>
        <v>195.589214659686</v>
      </c>
    </row>
    <row r="107" customFormat="false" ht="15" hidden="false" customHeight="true" outlineLevel="0" collapsed="false">
      <c r="A107" s="5" t="n">
        <v>103</v>
      </c>
      <c r="B107" s="5" t="s">
        <v>114</v>
      </c>
      <c r="C107" s="6" t="n">
        <v>187</v>
      </c>
      <c r="D107" s="6" t="n">
        <v>119</v>
      </c>
      <c r="E107" s="7" t="n">
        <v>4482.15</v>
      </c>
      <c r="F107" s="7" t="n">
        <v>-45.37</v>
      </c>
      <c r="G107" s="7" t="n">
        <v>-322</v>
      </c>
      <c r="H107" s="8" t="n">
        <f aca="false">E107+F107+G107</f>
        <v>4114.78</v>
      </c>
      <c r="I107" s="9" t="n">
        <f aca="false">IF($H$1182=0,0,H107/$H$1182)</f>
        <v>0.000340861946801102</v>
      </c>
      <c r="J107" s="10" t="n">
        <f aca="false">IF(C107&lt;=0,0,H107/C107)</f>
        <v>22.0041711229947</v>
      </c>
    </row>
    <row r="108" customFormat="false" ht="15" hidden="false" customHeight="true" outlineLevel="0" collapsed="false">
      <c r="A108" s="11" t="n">
        <v>104</v>
      </c>
      <c r="B108" s="11" t="s">
        <v>115</v>
      </c>
      <c r="C108" s="12" t="n">
        <v>184</v>
      </c>
      <c r="D108" s="12" t="n">
        <v>142</v>
      </c>
      <c r="E108" s="13" t="n">
        <v>14140</v>
      </c>
      <c r="F108" s="13" t="n">
        <v>-144.99</v>
      </c>
      <c r="G108" s="13" t="n">
        <v>-2250.28</v>
      </c>
      <c r="H108" s="14" t="n">
        <f aca="false">E108+F108+G108</f>
        <v>11744.73</v>
      </c>
      <c r="I108" s="15" t="n">
        <f aca="false">IF($H$1182=0,0,H108/$H$1182)</f>
        <v>0.000972915084756247</v>
      </c>
      <c r="J108" s="16" t="n">
        <f aca="false">IF(C108&lt;=0,0,H108/C108)</f>
        <v>63.8300543478261</v>
      </c>
    </row>
    <row r="109" customFormat="false" ht="15" hidden="false" customHeight="true" outlineLevel="0" collapsed="false">
      <c r="A109" s="5" t="n">
        <v>105</v>
      </c>
      <c r="B109" s="5" t="s">
        <v>116</v>
      </c>
      <c r="C109" s="6" t="n">
        <v>181</v>
      </c>
      <c r="D109" s="6" t="n">
        <v>85</v>
      </c>
      <c r="E109" s="7" t="n">
        <v>11932.08</v>
      </c>
      <c r="F109" s="7" t="n">
        <v>-119.53</v>
      </c>
      <c r="G109" s="7" t="n">
        <v>-1162.23</v>
      </c>
      <c r="H109" s="8" t="n">
        <f aca="false">E109+F109+G109</f>
        <v>10650.32</v>
      </c>
      <c r="I109" s="9" t="n">
        <f aca="false">IF($H$1182=0,0,H109/$H$1182)</f>
        <v>0.000882255870120569</v>
      </c>
      <c r="J109" s="10" t="n">
        <f aca="false">IF(C109&lt;=0,0,H109/C109)</f>
        <v>58.841546961326</v>
      </c>
    </row>
    <row r="110" customFormat="false" ht="15" hidden="false" customHeight="true" outlineLevel="0" collapsed="false">
      <c r="A110" s="11" t="n">
        <v>106</v>
      </c>
      <c r="B110" s="11" t="s">
        <v>117</v>
      </c>
      <c r="C110" s="12" t="n">
        <v>179</v>
      </c>
      <c r="D110" s="12" t="n">
        <v>112</v>
      </c>
      <c r="E110" s="13" t="n">
        <v>7691.54</v>
      </c>
      <c r="F110" s="13" t="n">
        <v>-104.22</v>
      </c>
      <c r="G110" s="13" t="n">
        <v>-901.03</v>
      </c>
      <c r="H110" s="14" t="n">
        <f aca="false">E110+F110+G110</f>
        <v>6686.29</v>
      </c>
      <c r="I110" s="15" t="n">
        <f aca="false">IF($H$1182=0,0,H110/$H$1182)</f>
        <v>0.000553881817807208</v>
      </c>
      <c r="J110" s="16" t="n">
        <f aca="false">IF(C110&lt;=0,0,H110/C110)</f>
        <v>37.3535754189944</v>
      </c>
    </row>
    <row r="111" customFormat="false" ht="15" hidden="false" customHeight="true" outlineLevel="0" collapsed="false">
      <c r="A111" s="5" t="n">
        <v>107</v>
      </c>
      <c r="B111" s="5" t="s">
        <v>118</v>
      </c>
      <c r="C111" s="6" t="n">
        <v>178</v>
      </c>
      <c r="D111" s="6" t="n">
        <v>25</v>
      </c>
      <c r="E111" s="7" t="n">
        <v>3402.78</v>
      </c>
      <c r="F111" s="7" t="n">
        <v>-22.12</v>
      </c>
      <c r="G111" s="7" t="n">
        <v>0</v>
      </c>
      <c r="H111" s="8" t="n">
        <f aca="false">E111+F111+G111</f>
        <v>3380.66</v>
      </c>
      <c r="I111" s="9" t="n">
        <f aca="false">IF($H$1182=0,0,H111/$H$1182)</f>
        <v>0.000280048592895031</v>
      </c>
      <c r="J111" s="10" t="n">
        <f aca="false">IF(C111&lt;=0,0,H111/C111)</f>
        <v>18.9924719101124</v>
      </c>
    </row>
    <row r="112" customFormat="false" ht="15" hidden="false" customHeight="true" outlineLevel="0" collapsed="false">
      <c r="A112" s="11" t="n">
        <v>108</v>
      </c>
      <c r="B112" s="11" t="s">
        <v>119</v>
      </c>
      <c r="C112" s="12" t="n">
        <v>177</v>
      </c>
      <c r="D112" s="12" t="n">
        <v>131</v>
      </c>
      <c r="E112" s="13" t="n">
        <v>45259.72</v>
      </c>
      <c r="F112" s="13" t="n">
        <v>-1088.23</v>
      </c>
      <c r="G112" s="13" t="n">
        <v>-7066.79</v>
      </c>
      <c r="H112" s="14" t="n">
        <f aca="false">E112+F112+G112</f>
        <v>37104.7</v>
      </c>
      <c r="I112" s="15" t="n">
        <f aca="false">IF($H$1182=0,0,H112/$H$1182)</f>
        <v>0.00307369538042638</v>
      </c>
      <c r="J112" s="16" t="n">
        <f aca="false">IF(C112&lt;=0,0,H112/C112)</f>
        <v>209.631073446328</v>
      </c>
    </row>
    <row r="113" customFormat="false" ht="15" hidden="false" customHeight="true" outlineLevel="0" collapsed="false">
      <c r="A113" s="5" t="n">
        <v>109</v>
      </c>
      <c r="B113" s="5" t="s">
        <v>120</v>
      </c>
      <c r="C113" s="6" t="n">
        <v>176</v>
      </c>
      <c r="D113" s="6" t="n">
        <v>95</v>
      </c>
      <c r="E113" s="7" t="n">
        <v>7165.2</v>
      </c>
      <c r="F113" s="7" t="n">
        <v>-369.68</v>
      </c>
      <c r="G113" s="7" t="n">
        <v>-593.99</v>
      </c>
      <c r="H113" s="8" t="n">
        <f aca="false">E113+F113+G113</f>
        <v>6201.53</v>
      </c>
      <c r="I113" s="9" t="n">
        <f aca="false">IF($H$1182=0,0,H113/$H$1182)</f>
        <v>0.000513725056733395</v>
      </c>
      <c r="J113" s="10" t="n">
        <f aca="false">IF(C113&lt;=0,0,H113/C113)</f>
        <v>35.2359659090909</v>
      </c>
    </row>
    <row r="114" customFormat="false" ht="15" hidden="false" customHeight="true" outlineLevel="0" collapsed="false">
      <c r="A114" s="11" t="n">
        <v>110</v>
      </c>
      <c r="B114" s="11" t="s">
        <v>121</v>
      </c>
      <c r="C114" s="12" t="n">
        <v>176</v>
      </c>
      <c r="D114" s="12" t="n">
        <v>136</v>
      </c>
      <c r="E114" s="13" t="n">
        <v>6492.4</v>
      </c>
      <c r="F114" s="13" t="n">
        <v>-52.84</v>
      </c>
      <c r="G114" s="13" t="n">
        <v>-575.78</v>
      </c>
      <c r="H114" s="14" t="n">
        <f aca="false">E114+F114+G114</f>
        <v>5863.78</v>
      </c>
      <c r="I114" s="15" t="n">
        <f aca="false">IF($H$1182=0,0,H114/$H$1182)</f>
        <v>0.000485746374390215</v>
      </c>
      <c r="J114" s="16" t="n">
        <f aca="false">IF(C114&lt;=0,0,H114/C114)</f>
        <v>33.3169318181818</v>
      </c>
    </row>
    <row r="115" customFormat="false" ht="15" hidden="false" customHeight="true" outlineLevel="0" collapsed="false">
      <c r="A115" s="5" t="n">
        <v>111</v>
      </c>
      <c r="B115" s="5" t="s">
        <v>122</v>
      </c>
      <c r="C115" s="6" t="n">
        <v>172</v>
      </c>
      <c r="D115" s="6" t="n">
        <v>118</v>
      </c>
      <c r="E115" s="7" t="n">
        <v>21480.47</v>
      </c>
      <c r="F115" s="7" t="n">
        <v>-199.98</v>
      </c>
      <c r="G115" s="7" t="n">
        <v>-1822.09</v>
      </c>
      <c r="H115" s="8" t="n">
        <f aca="false">E115+F115+G115</f>
        <v>19458.4</v>
      </c>
      <c r="I115" s="9" t="n">
        <f aca="false">IF($H$1182=0,0,H115/$H$1182)</f>
        <v>0.00161190345671812</v>
      </c>
      <c r="J115" s="10" t="n">
        <f aca="false">IF(C115&lt;=0,0,H115/C115)</f>
        <v>113.13023255814</v>
      </c>
    </row>
    <row r="116" customFormat="false" ht="15" hidden="false" customHeight="true" outlineLevel="0" collapsed="false">
      <c r="A116" s="11" t="n">
        <v>112</v>
      </c>
      <c r="B116" s="11" t="s">
        <v>123</v>
      </c>
      <c r="C116" s="12" t="n">
        <v>169</v>
      </c>
      <c r="D116" s="12" t="n">
        <v>98</v>
      </c>
      <c r="E116" s="13" t="n">
        <v>41244.9</v>
      </c>
      <c r="F116" s="13" t="n">
        <v>-1124.32</v>
      </c>
      <c r="G116" s="13" t="n">
        <v>-6013.1</v>
      </c>
      <c r="H116" s="14" t="n">
        <f aca="false">E116+F116+G116</f>
        <v>34107.48</v>
      </c>
      <c r="I116" s="15" t="n">
        <f aca="false">IF($H$1182=0,0,H116/$H$1182)</f>
        <v>0.0028254103580944</v>
      </c>
      <c r="J116" s="16" t="n">
        <f aca="false">IF(C116&lt;=0,0,H116/C116)</f>
        <v>201.819408284024</v>
      </c>
    </row>
    <row r="117" customFormat="false" ht="15" hidden="false" customHeight="true" outlineLevel="0" collapsed="false">
      <c r="A117" s="5" t="n">
        <v>113</v>
      </c>
      <c r="B117" s="5" t="s">
        <v>124</v>
      </c>
      <c r="C117" s="6" t="n">
        <v>169</v>
      </c>
      <c r="D117" s="6" t="n">
        <v>60</v>
      </c>
      <c r="E117" s="7" t="n">
        <v>6150.21</v>
      </c>
      <c r="F117" s="7" t="n">
        <v>-21.8</v>
      </c>
      <c r="G117" s="7" t="n">
        <v>-417.26</v>
      </c>
      <c r="H117" s="8" t="n">
        <f aca="false">E117+F117+G117</f>
        <v>5711.15</v>
      </c>
      <c r="I117" s="9" t="n">
        <f aca="false">IF($H$1182=0,0,H117/$H$1182)</f>
        <v>0.000473102743639542</v>
      </c>
      <c r="J117" s="10" t="n">
        <f aca="false">IF(C117&lt;=0,0,H117/C117)</f>
        <v>33.7937869822485</v>
      </c>
    </row>
    <row r="118" customFormat="false" ht="15" hidden="false" customHeight="true" outlineLevel="0" collapsed="false">
      <c r="A118" s="11" t="n">
        <v>114</v>
      </c>
      <c r="B118" s="11" t="s">
        <v>125</v>
      </c>
      <c r="C118" s="12" t="n">
        <v>169</v>
      </c>
      <c r="D118" s="12" t="n">
        <v>104</v>
      </c>
      <c r="E118" s="13" t="n">
        <v>4348.37</v>
      </c>
      <c r="F118" s="13" t="n">
        <v>-33.45</v>
      </c>
      <c r="G118" s="13" t="n">
        <v>-869.06</v>
      </c>
      <c r="H118" s="14" t="n">
        <f aca="false">E118+F118+G118</f>
        <v>3445.86</v>
      </c>
      <c r="I118" s="15" t="n">
        <f aca="false">IF($H$1182=0,0,H118/$H$1182)</f>
        <v>0.000285449659035002</v>
      </c>
      <c r="J118" s="16" t="n">
        <f aca="false">IF(C118&lt;=0,0,H118/C118)</f>
        <v>20.3897041420118</v>
      </c>
    </row>
    <row r="119" customFormat="false" ht="15" hidden="false" customHeight="true" outlineLevel="0" collapsed="false">
      <c r="A119" s="5" t="n">
        <v>115</v>
      </c>
      <c r="B119" s="5" t="s">
        <v>126</v>
      </c>
      <c r="C119" s="6" t="n">
        <v>168</v>
      </c>
      <c r="D119" s="6" t="n">
        <v>124</v>
      </c>
      <c r="E119" s="7" t="n">
        <v>9137.62</v>
      </c>
      <c r="F119" s="7" t="n">
        <v>-62.68</v>
      </c>
      <c r="G119" s="7" t="n">
        <v>-860.98</v>
      </c>
      <c r="H119" s="8" t="n">
        <f aca="false">E119+F119+G119</f>
        <v>8213.96</v>
      </c>
      <c r="I119" s="9" t="n">
        <f aca="false">IF($H$1182=0,0,H119/$H$1182)</f>
        <v>0.000680431613973623</v>
      </c>
      <c r="J119" s="10" t="n">
        <f aca="false">IF(C119&lt;=0,0,H119/C119)</f>
        <v>48.8926190476191</v>
      </c>
    </row>
    <row r="120" customFormat="false" ht="15" hidden="false" customHeight="true" outlineLevel="0" collapsed="false">
      <c r="A120" s="11" t="n">
        <v>116</v>
      </c>
      <c r="B120" s="11" t="s">
        <v>127</v>
      </c>
      <c r="C120" s="12" t="n">
        <v>168</v>
      </c>
      <c r="D120" s="12" t="n">
        <v>104</v>
      </c>
      <c r="E120" s="13" t="n">
        <v>3001.8</v>
      </c>
      <c r="F120" s="13" t="n">
        <v>-9.73</v>
      </c>
      <c r="G120" s="13" t="n">
        <v>-291.98</v>
      </c>
      <c r="H120" s="14" t="n">
        <f aca="false">E120+F120+G120</f>
        <v>2700.09</v>
      </c>
      <c r="I120" s="15" t="n">
        <f aca="false">IF($H$1182=0,0,H120/$H$1182)</f>
        <v>0.00022367123732938</v>
      </c>
      <c r="J120" s="16" t="n">
        <f aca="false">IF(C120&lt;=0,0,H120/C120)</f>
        <v>16.0719642857143</v>
      </c>
    </row>
    <row r="121" customFormat="false" ht="15" hidden="false" customHeight="true" outlineLevel="0" collapsed="false">
      <c r="A121" s="5" t="n">
        <v>117</v>
      </c>
      <c r="B121" s="5" t="s">
        <v>128</v>
      </c>
      <c r="C121" s="6" t="n">
        <v>167</v>
      </c>
      <c r="D121" s="6" t="n">
        <v>41</v>
      </c>
      <c r="E121" s="7" t="n">
        <v>1532</v>
      </c>
      <c r="F121" s="7" t="n">
        <v>-23.33</v>
      </c>
      <c r="G121" s="7" t="n">
        <v>-112</v>
      </c>
      <c r="H121" s="8" t="n">
        <f aca="false">E121+F121+G121</f>
        <v>1396.67</v>
      </c>
      <c r="I121" s="9" t="n">
        <f aca="false">IF($H$1182=0,0,H121/$H$1182)</f>
        <v>0.000115697960823834</v>
      </c>
      <c r="J121" s="10" t="n">
        <f aca="false">IF(C121&lt;=0,0,H121/C121)</f>
        <v>8.36329341317365</v>
      </c>
    </row>
    <row r="122" customFormat="false" ht="15" hidden="false" customHeight="true" outlineLevel="0" collapsed="false">
      <c r="A122" s="11" t="n">
        <v>118</v>
      </c>
      <c r="B122" s="11" t="s">
        <v>129</v>
      </c>
      <c r="C122" s="12" t="n">
        <v>163</v>
      </c>
      <c r="D122" s="12" t="n">
        <v>128</v>
      </c>
      <c r="E122" s="13" t="n">
        <v>3819.13</v>
      </c>
      <c r="F122" s="13" t="n">
        <v>-30.35</v>
      </c>
      <c r="G122" s="13" t="n">
        <v>-382.49</v>
      </c>
      <c r="H122" s="14" t="n">
        <f aca="false">E122+F122+G122</f>
        <v>3406.29</v>
      </c>
      <c r="I122" s="15" t="n">
        <f aca="false">IF($H$1182=0,0,H122/$H$1182)</f>
        <v>0.000282171742054041</v>
      </c>
      <c r="J122" s="16" t="n">
        <f aca="false">IF(C122&lt;=0,0,H122/C122)</f>
        <v>20.8974846625767</v>
      </c>
    </row>
    <row r="123" customFormat="false" ht="15" hidden="false" customHeight="true" outlineLevel="0" collapsed="false">
      <c r="A123" s="5" t="n">
        <v>119</v>
      </c>
      <c r="B123" s="5" t="s">
        <v>130</v>
      </c>
      <c r="C123" s="6" t="n">
        <v>163</v>
      </c>
      <c r="D123" s="6" t="n">
        <v>98</v>
      </c>
      <c r="E123" s="7" t="n">
        <v>2972.63</v>
      </c>
      <c r="F123" s="7" t="n">
        <v>-31.04</v>
      </c>
      <c r="G123" s="7" t="n">
        <v>-229.11</v>
      </c>
      <c r="H123" s="8" t="n">
        <f aca="false">E123+F123+G123</f>
        <v>2712.48</v>
      </c>
      <c r="I123" s="9" t="n">
        <f aca="false">IF($H$1182=0,0,H123/$H$1182)</f>
        <v>0.000224697605572851</v>
      </c>
      <c r="J123" s="10" t="n">
        <f aca="false">IF(C123&lt;=0,0,H123/C123)</f>
        <v>16.640981595092</v>
      </c>
    </row>
    <row r="124" customFormat="false" ht="15" hidden="false" customHeight="true" outlineLevel="0" collapsed="false">
      <c r="A124" s="11" t="n">
        <v>120</v>
      </c>
      <c r="B124" s="11" t="s">
        <v>131</v>
      </c>
      <c r="C124" s="12" t="n">
        <v>162</v>
      </c>
      <c r="D124" s="12" t="n">
        <v>67</v>
      </c>
      <c r="E124" s="13" t="n">
        <v>27118.54</v>
      </c>
      <c r="F124" s="13" t="n">
        <v>-146.99</v>
      </c>
      <c r="G124" s="13" t="n">
        <v>-5280.8</v>
      </c>
      <c r="H124" s="14" t="n">
        <f aca="false">E124+F124+G124</f>
        <v>21690.75</v>
      </c>
      <c r="I124" s="15" t="n">
        <f aca="false">IF($H$1182=0,0,H124/$H$1182)</f>
        <v>0.00179682784318384</v>
      </c>
      <c r="J124" s="16" t="n">
        <f aca="false">IF(C124&lt;=0,0,H124/C124)</f>
        <v>133.893518518519</v>
      </c>
    </row>
    <row r="125" customFormat="false" ht="15" hidden="false" customHeight="true" outlineLevel="0" collapsed="false">
      <c r="A125" s="5" t="n">
        <v>121</v>
      </c>
      <c r="B125" s="5" t="s">
        <v>132</v>
      </c>
      <c r="C125" s="6" t="n">
        <v>162</v>
      </c>
      <c r="D125" s="6" t="n">
        <v>66</v>
      </c>
      <c r="E125" s="7" t="n">
        <v>23547.89</v>
      </c>
      <c r="F125" s="7" t="n">
        <v>-139.44</v>
      </c>
      <c r="G125" s="7" t="n">
        <v>-1856.65</v>
      </c>
      <c r="H125" s="8" t="n">
        <f aca="false">E125+F125+G125</f>
        <v>21551.8</v>
      </c>
      <c r="I125" s="9" t="n">
        <f aca="false">IF($H$1182=0,0,H125/$H$1182)</f>
        <v>0.00178531744226131</v>
      </c>
      <c r="J125" s="10" t="n">
        <f aca="false">IF(C125&lt;=0,0,H125/C125)</f>
        <v>133.035802469136</v>
      </c>
    </row>
    <row r="126" customFormat="false" ht="15" hidden="false" customHeight="true" outlineLevel="0" collapsed="false">
      <c r="A126" s="11" t="n">
        <v>122</v>
      </c>
      <c r="B126" s="11" t="s">
        <v>133</v>
      </c>
      <c r="C126" s="12" t="n">
        <v>161</v>
      </c>
      <c r="D126" s="12" t="n">
        <v>90</v>
      </c>
      <c r="E126" s="13" t="n">
        <v>19548.4</v>
      </c>
      <c r="F126" s="13" t="n">
        <v>-219.83</v>
      </c>
      <c r="G126" s="13" t="n">
        <v>-852.99</v>
      </c>
      <c r="H126" s="14" t="n">
        <f aca="false">E126+F126+G126</f>
        <v>18475.58</v>
      </c>
      <c r="I126" s="15" t="n">
        <f aca="false">IF($H$1182=0,0,H126/$H$1182)</f>
        <v>0.00153048818334869</v>
      </c>
      <c r="J126" s="16" t="n">
        <f aca="false">IF(C126&lt;=0,0,H126/C126)</f>
        <v>114.755155279503</v>
      </c>
    </row>
    <row r="127" customFormat="false" ht="15" hidden="false" customHeight="true" outlineLevel="0" collapsed="false">
      <c r="A127" s="5" t="n">
        <v>123</v>
      </c>
      <c r="B127" s="5" t="s">
        <v>134</v>
      </c>
      <c r="C127" s="6" t="n">
        <v>160</v>
      </c>
      <c r="D127" s="6" t="n">
        <v>75</v>
      </c>
      <c r="E127" s="7" t="n">
        <v>2499.82</v>
      </c>
      <c r="F127" s="7" t="n">
        <v>-30.15</v>
      </c>
      <c r="G127" s="7" t="n">
        <v>-118.02</v>
      </c>
      <c r="H127" s="8" t="n">
        <f aca="false">E127+F127+G127</f>
        <v>2351.65</v>
      </c>
      <c r="I127" s="9" t="n">
        <f aca="false">IF($H$1182=0,0,H127/$H$1182)</f>
        <v>0.00019480701208687</v>
      </c>
      <c r="J127" s="10" t="n">
        <f aca="false">IF(C127&lt;=0,0,H127/C127)</f>
        <v>14.6978125</v>
      </c>
    </row>
    <row r="128" customFormat="false" ht="15" hidden="false" customHeight="true" outlineLevel="0" collapsed="false">
      <c r="A128" s="11" t="n">
        <v>124</v>
      </c>
      <c r="B128" s="11" t="s">
        <v>135</v>
      </c>
      <c r="C128" s="12" t="n">
        <v>159</v>
      </c>
      <c r="D128" s="12" t="n">
        <v>105</v>
      </c>
      <c r="E128" s="13" t="n">
        <v>3271.94</v>
      </c>
      <c r="F128" s="13" t="n">
        <v>-52.63</v>
      </c>
      <c r="G128" s="13" t="n">
        <v>-137.99</v>
      </c>
      <c r="H128" s="14" t="n">
        <f aca="false">E128+F128+G128</f>
        <v>3081.32</v>
      </c>
      <c r="I128" s="15" t="n">
        <f aca="false">IF($H$1182=0,0,H128/$H$1182)</f>
        <v>0.000255251734945045</v>
      </c>
      <c r="J128" s="16" t="n">
        <f aca="false">IF(C128&lt;=0,0,H128/C128)</f>
        <v>19.3793710691824</v>
      </c>
    </row>
    <row r="129" customFormat="false" ht="15" hidden="false" customHeight="true" outlineLevel="0" collapsed="false">
      <c r="A129" s="5" t="n">
        <v>125</v>
      </c>
      <c r="B129" s="5" t="s">
        <v>136</v>
      </c>
      <c r="C129" s="6" t="n">
        <v>158</v>
      </c>
      <c r="D129" s="6" t="n">
        <v>60</v>
      </c>
      <c r="E129" s="7" t="n">
        <v>32510.15</v>
      </c>
      <c r="F129" s="7" t="n">
        <v>-27.08</v>
      </c>
      <c r="G129" s="7" t="n">
        <v>-2378.99</v>
      </c>
      <c r="H129" s="8" t="n">
        <f aca="false">E129+F129+G129</f>
        <v>30104.08</v>
      </c>
      <c r="I129" s="9" t="n">
        <f aca="false">IF($H$1182=0,0,H129/$H$1182)</f>
        <v>0.00249377495648762</v>
      </c>
      <c r="J129" s="10" t="n">
        <f aca="false">IF(C129&lt;=0,0,H129/C129)</f>
        <v>190.532151898734</v>
      </c>
    </row>
    <row r="130" customFormat="false" ht="15" hidden="false" customHeight="true" outlineLevel="0" collapsed="false">
      <c r="A130" s="11" t="n">
        <v>126</v>
      </c>
      <c r="B130" s="11" t="s">
        <v>137</v>
      </c>
      <c r="C130" s="12" t="n">
        <v>157</v>
      </c>
      <c r="D130" s="12" t="n">
        <v>135</v>
      </c>
      <c r="E130" s="13" t="n">
        <v>32961.91</v>
      </c>
      <c r="F130" s="13" t="n">
        <v>-212.45</v>
      </c>
      <c r="G130" s="13" t="n">
        <v>-6829.04</v>
      </c>
      <c r="H130" s="14" t="n">
        <f aca="false">E130+F130+G130</f>
        <v>25920.42</v>
      </c>
      <c r="I130" s="15" t="n">
        <f aca="false">IF($H$1182=0,0,H130/$H$1182)</f>
        <v>0.0021472070980957</v>
      </c>
      <c r="J130" s="16" t="n">
        <f aca="false">IF(C130&lt;=0,0,H130/C130)</f>
        <v>165.09821656051</v>
      </c>
    </row>
    <row r="131" customFormat="false" ht="15" hidden="false" customHeight="true" outlineLevel="0" collapsed="false">
      <c r="A131" s="5" t="n">
        <v>127</v>
      </c>
      <c r="B131" s="5" t="s">
        <v>138</v>
      </c>
      <c r="C131" s="6" t="n">
        <v>156</v>
      </c>
      <c r="D131" s="6" t="n">
        <v>63</v>
      </c>
      <c r="E131" s="7" t="n">
        <v>115980.98</v>
      </c>
      <c r="F131" s="7" t="n">
        <v>-557.24</v>
      </c>
      <c r="G131" s="7" t="n">
        <v>-770</v>
      </c>
      <c r="H131" s="8" t="n">
        <f aca="false">E131+F131+G131</f>
        <v>114653.74</v>
      </c>
      <c r="I131" s="9" t="n">
        <f aca="false">IF($H$1182=0,0,H131/$H$1182)</f>
        <v>0.0094977367014585</v>
      </c>
      <c r="J131" s="10" t="n">
        <f aca="false">IF(C131&lt;=0,0,H131/C131)</f>
        <v>734.959871794872</v>
      </c>
    </row>
    <row r="132" customFormat="false" ht="15" hidden="false" customHeight="true" outlineLevel="0" collapsed="false">
      <c r="A132" s="11" t="n">
        <v>128</v>
      </c>
      <c r="B132" s="11" t="s">
        <v>139</v>
      </c>
      <c r="C132" s="12" t="n">
        <v>156</v>
      </c>
      <c r="D132" s="12" t="n">
        <v>52</v>
      </c>
      <c r="E132" s="13" t="n">
        <v>5644.2</v>
      </c>
      <c r="F132" s="13" t="n">
        <v>-66.01</v>
      </c>
      <c r="G132" s="13" t="n">
        <v>-148.32</v>
      </c>
      <c r="H132" s="14" t="n">
        <f aca="false">E132+F132+G132</f>
        <v>5429.87</v>
      </c>
      <c r="I132" s="15" t="n">
        <f aca="false">IF($H$1182=0,0,H132/$H$1182)</f>
        <v>0.000449801947874954</v>
      </c>
      <c r="J132" s="16" t="n">
        <f aca="false">IF(C132&lt;=0,0,H132/C132)</f>
        <v>34.806858974359</v>
      </c>
    </row>
    <row r="133" customFormat="false" ht="15" hidden="false" customHeight="true" outlineLevel="0" collapsed="false">
      <c r="A133" s="5" t="n">
        <v>129</v>
      </c>
      <c r="B133" s="5" t="s">
        <v>140</v>
      </c>
      <c r="C133" s="6" t="n">
        <v>156</v>
      </c>
      <c r="D133" s="6" t="n">
        <v>105</v>
      </c>
      <c r="E133" s="7" t="n">
        <v>4043.28</v>
      </c>
      <c r="F133" s="7" t="n">
        <v>-44.23</v>
      </c>
      <c r="G133" s="7" t="n">
        <v>-517.22</v>
      </c>
      <c r="H133" s="8" t="n">
        <f aca="false">E133+F133+G133</f>
        <v>3481.83</v>
      </c>
      <c r="I133" s="9" t="n">
        <f aca="false">IF($H$1182=0,0,H133/$H$1182)</f>
        <v>0.000288429357640137</v>
      </c>
      <c r="J133" s="10" t="n">
        <f aca="false">IF(C133&lt;=0,0,H133/C133)</f>
        <v>22.3194230769231</v>
      </c>
    </row>
    <row r="134" customFormat="false" ht="15" hidden="false" customHeight="true" outlineLevel="0" collapsed="false">
      <c r="A134" s="11" t="n">
        <v>130</v>
      </c>
      <c r="B134" s="11" t="s">
        <v>141</v>
      </c>
      <c r="C134" s="12" t="n">
        <v>155</v>
      </c>
      <c r="D134" s="12" t="n">
        <v>123</v>
      </c>
      <c r="E134" s="13" t="n">
        <v>26995.65</v>
      </c>
      <c r="F134" s="13" t="n">
        <v>-447.5</v>
      </c>
      <c r="G134" s="13" t="n">
        <v>-1239.05</v>
      </c>
      <c r="H134" s="14" t="n">
        <f aca="false">E134+F134+G134</f>
        <v>25309.1</v>
      </c>
      <c r="I134" s="15" t="n">
        <f aca="false">IF($H$1182=0,0,H134/$H$1182)</f>
        <v>0.00209656630434283</v>
      </c>
      <c r="J134" s="16" t="n">
        <f aca="false">IF(C134&lt;=0,0,H134/C134)</f>
        <v>163.284516129032</v>
      </c>
    </row>
    <row r="135" customFormat="false" ht="15" hidden="false" customHeight="true" outlineLevel="0" collapsed="false">
      <c r="A135" s="5" t="n">
        <v>131</v>
      </c>
      <c r="B135" s="5" t="s">
        <v>142</v>
      </c>
      <c r="C135" s="6" t="n">
        <v>155</v>
      </c>
      <c r="D135" s="6" t="n">
        <v>63</v>
      </c>
      <c r="E135" s="7" t="n">
        <v>25527.87</v>
      </c>
      <c r="F135" s="7" t="n">
        <v>-41.9</v>
      </c>
      <c r="G135" s="7" t="n">
        <v>-1806.71</v>
      </c>
      <c r="H135" s="8" t="n">
        <f aca="false">E135+F135+G135</f>
        <v>23679.26</v>
      </c>
      <c r="I135" s="9" t="n">
        <f aca="false">IF($H$1182=0,0,H135/$H$1182)</f>
        <v>0.00196155290499358</v>
      </c>
      <c r="J135" s="10" t="n">
        <f aca="false">IF(C135&lt;=0,0,H135/C135)</f>
        <v>152.769419354839</v>
      </c>
    </row>
    <row r="136" customFormat="false" ht="15" hidden="false" customHeight="true" outlineLevel="0" collapsed="false">
      <c r="A136" s="11" t="n">
        <v>132</v>
      </c>
      <c r="B136" s="11" t="s">
        <v>143</v>
      </c>
      <c r="C136" s="12" t="n">
        <v>155</v>
      </c>
      <c r="D136" s="12" t="n">
        <v>42</v>
      </c>
      <c r="E136" s="13" t="n">
        <v>32124.9</v>
      </c>
      <c r="F136" s="13" t="n">
        <v>-389.88</v>
      </c>
      <c r="G136" s="13" t="n">
        <v>-10828.77</v>
      </c>
      <c r="H136" s="14" t="n">
        <f aca="false">E136+F136+G136</f>
        <v>20906.25</v>
      </c>
      <c r="I136" s="15" t="n">
        <f aca="false">IF($H$1182=0,0,H136/$H$1182)</f>
        <v>0.00173184108878495</v>
      </c>
      <c r="J136" s="16" t="n">
        <f aca="false">IF(C136&lt;=0,0,H136/C136)</f>
        <v>134.879032258065</v>
      </c>
    </row>
    <row r="137" customFormat="false" ht="15" hidden="false" customHeight="true" outlineLevel="0" collapsed="false">
      <c r="A137" s="5" t="n">
        <v>133</v>
      </c>
      <c r="B137" s="5" t="s">
        <v>144</v>
      </c>
      <c r="C137" s="6" t="n">
        <v>155</v>
      </c>
      <c r="D137" s="6" t="n">
        <v>77</v>
      </c>
      <c r="E137" s="7" t="n">
        <v>15841.54</v>
      </c>
      <c r="F137" s="7" t="n">
        <v>-188.61</v>
      </c>
      <c r="G137" s="7" t="n">
        <v>-294.97</v>
      </c>
      <c r="H137" s="8" t="n">
        <f aca="false">E137+F137+G137</f>
        <v>15357.96</v>
      </c>
      <c r="I137" s="9" t="n">
        <f aca="false">IF($H$1182=0,0,H137/$H$1182)</f>
        <v>0.00127222941311406</v>
      </c>
      <c r="J137" s="10" t="n">
        <f aca="false">IF(C137&lt;=0,0,H137/C137)</f>
        <v>99.0836129032258</v>
      </c>
    </row>
    <row r="138" customFormat="false" ht="15" hidden="false" customHeight="true" outlineLevel="0" collapsed="false">
      <c r="A138" s="11" t="n">
        <v>134</v>
      </c>
      <c r="B138" s="11" t="s">
        <v>145</v>
      </c>
      <c r="C138" s="12" t="n">
        <v>155</v>
      </c>
      <c r="D138" s="12" t="n">
        <v>65</v>
      </c>
      <c r="E138" s="13" t="n">
        <v>4783.71</v>
      </c>
      <c r="F138" s="13" t="n">
        <v>-18.36</v>
      </c>
      <c r="G138" s="13" t="n">
        <v>-211.7</v>
      </c>
      <c r="H138" s="14" t="n">
        <f aca="false">E138+F138+G138</f>
        <v>4553.65</v>
      </c>
      <c r="I138" s="15" t="n">
        <f aca="false">IF($H$1182=0,0,H138/$H$1182)</f>
        <v>0.000377217251967502</v>
      </c>
      <c r="J138" s="16" t="n">
        <f aca="false">IF(C138&lt;=0,0,H138/C138)</f>
        <v>29.3783870967742</v>
      </c>
    </row>
    <row r="139" customFormat="false" ht="15" hidden="false" customHeight="true" outlineLevel="0" collapsed="false">
      <c r="A139" s="5" t="n">
        <v>135</v>
      </c>
      <c r="B139" s="5" t="s">
        <v>146</v>
      </c>
      <c r="C139" s="6" t="n">
        <v>155</v>
      </c>
      <c r="D139" s="6" t="n">
        <v>76</v>
      </c>
      <c r="E139" s="7" t="n">
        <v>4892.5</v>
      </c>
      <c r="F139" s="7" t="n">
        <v>-22.22</v>
      </c>
      <c r="G139" s="7" t="n">
        <v>-651.55</v>
      </c>
      <c r="H139" s="8" t="n">
        <f aca="false">E139+F139+G139</f>
        <v>4218.73</v>
      </c>
      <c r="I139" s="9" t="n">
        <f aca="false">IF($H$1182=0,0,H139/$H$1182)</f>
        <v>0.000349473002403097</v>
      </c>
      <c r="J139" s="10" t="n">
        <f aca="false">IF(C139&lt;=0,0,H139/C139)</f>
        <v>27.2176129032258</v>
      </c>
    </row>
    <row r="140" customFormat="false" ht="15" hidden="false" customHeight="true" outlineLevel="0" collapsed="false">
      <c r="A140" s="11" t="n">
        <v>136</v>
      </c>
      <c r="B140" s="11" t="s">
        <v>147</v>
      </c>
      <c r="C140" s="12" t="n">
        <v>154</v>
      </c>
      <c r="D140" s="12" t="n">
        <v>67</v>
      </c>
      <c r="E140" s="13" t="n">
        <v>29068</v>
      </c>
      <c r="F140" s="13" t="n">
        <v>-16.9</v>
      </c>
      <c r="G140" s="13" t="n">
        <v>-3032</v>
      </c>
      <c r="H140" s="14" t="n">
        <f aca="false">E140+F140+G140</f>
        <v>26019.1</v>
      </c>
      <c r="I140" s="15" t="n">
        <f aca="false">IF($H$1182=0,0,H140/$H$1182)</f>
        <v>0.00215538159513086</v>
      </c>
      <c r="J140" s="16" t="n">
        <f aca="false">IF(C140&lt;=0,0,H140/C140)</f>
        <v>168.955194805195</v>
      </c>
    </row>
    <row r="141" customFormat="false" ht="15" hidden="false" customHeight="true" outlineLevel="0" collapsed="false">
      <c r="A141" s="5" t="n">
        <v>137</v>
      </c>
      <c r="B141" s="5" t="s">
        <v>148</v>
      </c>
      <c r="C141" s="6" t="n">
        <v>150</v>
      </c>
      <c r="D141" s="6" t="n">
        <v>79</v>
      </c>
      <c r="E141" s="7" t="n">
        <v>5937.32</v>
      </c>
      <c r="F141" s="7" t="n">
        <v>-70.64</v>
      </c>
      <c r="G141" s="7" t="n">
        <v>-708.6</v>
      </c>
      <c r="H141" s="8" t="n">
        <f aca="false">E141+F141+G141</f>
        <v>5158.08</v>
      </c>
      <c r="I141" s="9" t="n">
        <f aca="false">IF($H$1182=0,0,H141/$H$1182)</f>
        <v>0.000427287288884419</v>
      </c>
      <c r="J141" s="10" t="n">
        <f aca="false">IF(C141&lt;=0,0,H141/C141)</f>
        <v>34.3872</v>
      </c>
    </row>
    <row r="142" customFormat="false" ht="15" hidden="false" customHeight="true" outlineLevel="0" collapsed="false">
      <c r="A142" s="11" t="n">
        <v>138</v>
      </c>
      <c r="B142" s="11" t="s">
        <v>149</v>
      </c>
      <c r="C142" s="12" t="n">
        <v>150</v>
      </c>
      <c r="D142" s="12" t="n">
        <v>85</v>
      </c>
      <c r="E142" s="13" t="n">
        <v>3539.72</v>
      </c>
      <c r="F142" s="13" t="n">
        <v>-57.87</v>
      </c>
      <c r="G142" s="13" t="n">
        <v>-373.43</v>
      </c>
      <c r="H142" s="14" t="n">
        <f aca="false">E142+F142+G142</f>
        <v>3108.42</v>
      </c>
      <c r="I142" s="15" t="n">
        <f aca="false">IF($H$1182=0,0,H142/$H$1182)</f>
        <v>0.000257496656607518</v>
      </c>
      <c r="J142" s="16" t="n">
        <f aca="false">IF(C142&lt;=0,0,H142/C142)</f>
        <v>20.7228</v>
      </c>
    </row>
    <row r="143" customFormat="false" ht="15" hidden="false" customHeight="true" outlineLevel="0" collapsed="false">
      <c r="A143" s="5" t="n">
        <v>139</v>
      </c>
      <c r="B143" s="5" t="s">
        <v>150</v>
      </c>
      <c r="C143" s="6" t="n">
        <v>145</v>
      </c>
      <c r="D143" s="6" t="n">
        <v>78</v>
      </c>
      <c r="E143" s="7" t="n">
        <v>21904.98</v>
      </c>
      <c r="F143" s="7" t="n">
        <v>-102.11</v>
      </c>
      <c r="G143" s="7" t="n">
        <v>-1160.03</v>
      </c>
      <c r="H143" s="8" t="n">
        <f aca="false">E143+F143+G143</f>
        <v>20642.84</v>
      </c>
      <c r="I143" s="9" t="n">
        <f aca="false">IF($H$1182=0,0,H143/$H$1182)</f>
        <v>0.00171002061590259</v>
      </c>
      <c r="J143" s="10" t="n">
        <f aca="false">IF(C143&lt;=0,0,H143/C143)</f>
        <v>142.364413793103</v>
      </c>
    </row>
    <row r="144" customFormat="false" ht="15" hidden="false" customHeight="true" outlineLevel="0" collapsed="false">
      <c r="A144" s="11" t="n">
        <v>140</v>
      </c>
      <c r="B144" s="11" t="s">
        <v>151</v>
      </c>
      <c r="C144" s="12" t="n">
        <v>145</v>
      </c>
      <c r="D144" s="12" t="n">
        <v>61</v>
      </c>
      <c r="E144" s="13" t="n">
        <v>9687.47</v>
      </c>
      <c r="F144" s="13" t="n">
        <v>-685.2</v>
      </c>
      <c r="G144" s="13" t="n">
        <v>-670.99</v>
      </c>
      <c r="H144" s="14" t="n">
        <f aca="false">E144+F144+G144</f>
        <v>8331.28</v>
      </c>
      <c r="I144" s="15" t="n">
        <f aca="false">IF($H$1182=0,0,H144/$H$1182)</f>
        <v>0.000690150219488062</v>
      </c>
      <c r="J144" s="16" t="n">
        <f aca="false">IF(C144&lt;=0,0,H144/C144)</f>
        <v>57.4571034482759</v>
      </c>
    </row>
    <row r="145" customFormat="false" ht="15" hidden="false" customHeight="true" outlineLevel="0" collapsed="false">
      <c r="A145" s="5" t="n">
        <v>141</v>
      </c>
      <c r="B145" s="5" t="s">
        <v>152</v>
      </c>
      <c r="C145" s="6" t="n">
        <v>145</v>
      </c>
      <c r="D145" s="6" t="n">
        <v>36</v>
      </c>
      <c r="E145" s="7" t="n">
        <v>3168.58</v>
      </c>
      <c r="F145" s="7" t="n">
        <v>-17.99</v>
      </c>
      <c r="G145" s="7" t="n">
        <v>-280.15</v>
      </c>
      <c r="H145" s="8" t="n">
        <f aca="false">E145+F145+G145</f>
        <v>2870.44</v>
      </c>
      <c r="I145" s="9" t="n">
        <f aca="false">IF($H$1182=0,0,H145/$H$1182)</f>
        <v>0.000237782765196622</v>
      </c>
      <c r="J145" s="10" t="n">
        <f aca="false">IF(C145&lt;=0,0,H145/C145)</f>
        <v>19.7961379310345</v>
      </c>
    </row>
    <row r="146" customFormat="false" ht="15" hidden="false" customHeight="true" outlineLevel="0" collapsed="false">
      <c r="A146" s="11" t="n">
        <v>142</v>
      </c>
      <c r="B146" s="11" t="s">
        <v>153</v>
      </c>
      <c r="C146" s="12" t="n">
        <v>140</v>
      </c>
      <c r="D146" s="12" t="n">
        <v>102</v>
      </c>
      <c r="E146" s="13" t="n">
        <v>97368.7</v>
      </c>
      <c r="F146" s="13" t="n">
        <v>-366.63</v>
      </c>
      <c r="G146" s="13" t="n">
        <v>-6976.13</v>
      </c>
      <c r="H146" s="14" t="n">
        <f aca="false">E146+F146+G146</f>
        <v>90025.94</v>
      </c>
      <c r="I146" s="15" t="n">
        <f aca="false">IF($H$1182=0,0,H146/$H$1182)</f>
        <v>0.00745760822474087</v>
      </c>
      <c r="J146" s="16" t="n">
        <f aca="false">IF(C146&lt;=0,0,H146/C146)</f>
        <v>643.042428571428</v>
      </c>
    </row>
    <row r="147" customFormat="false" ht="15" hidden="false" customHeight="true" outlineLevel="0" collapsed="false">
      <c r="A147" s="5" t="n">
        <v>143</v>
      </c>
      <c r="B147" s="5" t="s">
        <v>154</v>
      </c>
      <c r="C147" s="6" t="n">
        <v>140</v>
      </c>
      <c r="D147" s="6" t="n">
        <v>88</v>
      </c>
      <c r="E147" s="7" t="n">
        <v>42844.09</v>
      </c>
      <c r="F147" s="7" t="n">
        <v>-138.59</v>
      </c>
      <c r="G147" s="7" t="n">
        <v>-1786.96</v>
      </c>
      <c r="H147" s="8" t="n">
        <f aca="false">E147+F147+G147</f>
        <v>40918.54</v>
      </c>
      <c r="I147" s="9" t="n">
        <f aca="false">IF($H$1182=0,0,H147/$H$1182)</f>
        <v>0.00338962792777713</v>
      </c>
      <c r="J147" s="10" t="n">
        <f aca="false">IF(C147&lt;=0,0,H147/C147)</f>
        <v>292.275285714286</v>
      </c>
    </row>
    <row r="148" customFormat="false" ht="15" hidden="false" customHeight="true" outlineLevel="0" collapsed="false">
      <c r="A148" s="11" t="n">
        <v>144</v>
      </c>
      <c r="B148" s="11" t="s">
        <v>155</v>
      </c>
      <c r="C148" s="12" t="n">
        <v>140</v>
      </c>
      <c r="D148" s="12" t="n">
        <v>93</v>
      </c>
      <c r="E148" s="13" t="n">
        <v>4697.21</v>
      </c>
      <c r="F148" s="13" t="n">
        <v>-37.28</v>
      </c>
      <c r="G148" s="13" t="n">
        <v>-397.51</v>
      </c>
      <c r="H148" s="14" t="n">
        <f aca="false">E148+F148+G148</f>
        <v>4262.42</v>
      </c>
      <c r="I148" s="15" t="n">
        <f aca="false">IF($H$1182=0,0,H148/$H$1182)</f>
        <v>0.000353092213747504</v>
      </c>
      <c r="J148" s="16" t="n">
        <f aca="false">IF(C148&lt;=0,0,H148/C148)</f>
        <v>30.4458571428571</v>
      </c>
    </row>
    <row r="149" customFormat="false" ht="15" hidden="false" customHeight="true" outlineLevel="0" collapsed="false">
      <c r="A149" s="5" t="n">
        <v>145</v>
      </c>
      <c r="B149" s="5" t="s">
        <v>156</v>
      </c>
      <c r="C149" s="6" t="n">
        <v>139</v>
      </c>
      <c r="D149" s="6" t="n">
        <v>81</v>
      </c>
      <c r="E149" s="7" t="n">
        <v>6474.8</v>
      </c>
      <c r="F149" s="7" t="n">
        <v>-44.08</v>
      </c>
      <c r="G149" s="7" t="n">
        <v>-853.64</v>
      </c>
      <c r="H149" s="8" t="n">
        <f aca="false">E149+F149+G149</f>
        <v>5577.08</v>
      </c>
      <c r="I149" s="9" t="n">
        <f aca="false">IF($H$1182=0,0,H149/$H$1182)</f>
        <v>0.000461996594293131</v>
      </c>
      <c r="J149" s="10" t="n">
        <f aca="false">IF(C149&lt;=0,0,H149/C149)</f>
        <v>40.1228776978417</v>
      </c>
    </row>
    <row r="150" customFormat="false" ht="15" hidden="false" customHeight="true" outlineLevel="0" collapsed="false">
      <c r="A150" s="11" t="n">
        <v>146</v>
      </c>
      <c r="B150" s="11" t="s">
        <v>157</v>
      </c>
      <c r="C150" s="12" t="n">
        <v>138</v>
      </c>
      <c r="D150" s="12" t="n">
        <v>47</v>
      </c>
      <c r="E150" s="13" t="n">
        <v>8141.65</v>
      </c>
      <c r="F150" s="13" t="n">
        <v>-28.66</v>
      </c>
      <c r="G150" s="13" t="n">
        <v>-621.26</v>
      </c>
      <c r="H150" s="14" t="n">
        <f aca="false">E150+F150+G150</f>
        <v>7491.73</v>
      </c>
      <c r="I150" s="15" t="n">
        <f aca="false">IF($H$1182=0,0,H150/$H$1182)</f>
        <v>0.000620603209092156</v>
      </c>
      <c r="J150" s="16" t="n">
        <f aca="false">IF(C150&lt;=0,0,H150/C150)</f>
        <v>54.2878985507246</v>
      </c>
    </row>
    <row r="151" customFormat="false" ht="15" hidden="false" customHeight="true" outlineLevel="0" collapsed="false">
      <c r="A151" s="5" t="n">
        <v>147</v>
      </c>
      <c r="B151" s="5" t="s">
        <v>158</v>
      </c>
      <c r="C151" s="6" t="n">
        <v>137</v>
      </c>
      <c r="D151" s="6" t="n">
        <v>119</v>
      </c>
      <c r="E151" s="7" t="n">
        <v>33479.6</v>
      </c>
      <c r="F151" s="7" t="n">
        <v>-269.53</v>
      </c>
      <c r="G151" s="7" t="n">
        <v>-4398.7</v>
      </c>
      <c r="H151" s="8" t="n">
        <f aca="false">E151+F151+G151</f>
        <v>28811.37</v>
      </c>
      <c r="I151" s="9" t="n">
        <f aca="false">IF($H$1182=0,0,H151/$H$1182)</f>
        <v>0.00238668887965016</v>
      </c>
      <c r="J151" s="10" t="n">
        <f aca="false">IF(C151&lt;=0,0,H151/C151)</f>
        <v>210.30197080292</v>
      </c>
    </row>
    <row r="152" customFormat="false" ht="15" hidden="false" customHeight="true" outlineLevel="0" collapsed="false">
      <c r="A152" s="11" t="n">
        <v>148</v>
      </c>
      <c r="B152" s="11" t="s">
        <v>159</v>
      </c>
      <c r="C152" s="12" t="n">
        <v>137</v>
      </c>
      <c r="D152" s="12" t="n">
        <v>41</v>
      </c>
      <c r="E152" s="13" t="n">
        <v>1988.41</v>
      </c>
      <c r="F152" s="13" t="n">
        <v>-21.04</v>
      </c>
      <c r="G152" s="13" t="n">
        <v>-52.16</v>
      </c>
      <c r="H152" s="14" t="n">
        <f aca="false">E152+F152+G152</f>
        <v>1915.21</v>
      </c>
      <c r="I152" s="15" t="n">
        <f aca="false">IF($H$1182=0,0,H152/$H$1182)</f>
        <v>0.000158653004324153</v>
      </c>
      <c r="J152" s="16" t="n">
        <f aca="false">IF(C152&lt;=0,0,H152/C152)</f>
        <v>13.9796350364964</v>
      </c>
    </row>
    <row r="153" customFormat="false" ht="15" hidden="false" customHeight="true" outlineLevel="0" collapsed="false">
      <c r="A153" s="5" t="n">
        <v>149</v>
      </c>
      <c r="B153" s="5" t="s">
        <v>160</v>
      </c>
      <c r="C153" s="6" t="n">
        <v>136</v>
      </c>
      <c r="D153" s="6" t="n">
        <v>85</v>
      </c>
      <c r="E153" s="7" t="n">
        <v>73800.11</v>
      </c>
      <c r="F153" s="7" t="n">
        <v>-239.95</v>
      </c>
      <c r="G153" s="7" t="n">
        <v>-6362.67</v>
      </c>
      <c r="H153" s="8" t="n">
        <f aca="false">E153+F153+G153</f>
        <v>67197.49</v>
      </c>
      <c r="I153" s="9" t="n">
        <f aca="false">IF($H$1182=0,0,H153/$H$1182)</f>
        <v>0.00556653509095203</v>
      </c>
      <c r="J153" s="10" t="n">
        <f aca="false">IF(C153&lt;=0,0,H153/C153)</f>
        <v>494.099191176471</v>
      </c>
    </row>
    <row r="154" customFormat="false" ht="15" hidden="false" customHeight="true" outlineLevel="0" collapsed="false">
      <c r="A154" s="11" t="n">
        <v>150</v>
      </c>
      <c r="B154" s="11" t="s">
        <v>161</v>
      </c>
      <c r="C154" s="12" t="n">
        <v>136</v>
      </c>
      <c r="D154" s="12" t="n">
        <v>98</v>
      </c>
      <c r="E154" s="13" t="n">
        <v>54815.64</v>
      </c>
      <c r="F154" s="13" t="n">
        <v>-103.87</v>
      </c>
      <c r="G154" s="13" t="n">
        <v>-5482.16</v>
      </c>
      <c r="H154" s="14" t="n">
        <f aca="false">E154+F154+G154</f>
        <v>49229.61</v>
      </c>
      <c r="I154" s="15" t="n">
        <f aca="false">IF($H$1182=0,0,H154/$H$1182)</f>
        <v>0.00407810398243868</v>
      </c>
      <c r="J154" s="16" t="n">
        <f aca="false">IF(C154&lt;=0,0,H154/C154)</f>
        <v>361.982426470588</v>
      </c>
    </row>
    <row r="155" customFormat="false" ht="15" hidden="false" customHeight="true" outlineLevel="0" collapsed="false">
      <c r="A155" s="5" t="n">
        <v>151</v>
      </c>
      <c r="B155" s="5" t="s">
        <v>162</v>
      </c>
      <c r="C155" s="6" t="n">
        <v>136</v>
      </c>
      <c r="D155" s="6" t="n">
        <v>145</v>
      </c>
      <c r="E155" s="7" t="n">
        <v>50982.67</v>
      </c>
      <c r="F155" s="7" t="n">
        <v>-44.99</v>
      </c>
      <c r="G155" s="7" t="n">
        <v>-10879.43</v>
      </c>
      <c r="H155" s="8" t="n">
        <f aca="false">E155+F155+G155</f>
        <v>40058.25</v>
      </c>
      <c r="I155" s="9" t="n">
        <f aca="false">IF($H$1182=0,0,H155/$H$1182)</f>
        <v>0.00331836284818271</v>
      </c>
      <c r="J155" s="10" t="n">
        <f aca="false">IF(C155&lt;=0,0,H155/C155)</f>
        <v>294.545955882353</v>
      </c>
    </row>
    <row r="156" customFormat="false" ht="15" hidden="false" customHeight="true" outlineLevel="0" collapsed="false">
      <c r="A156" s="11" t="n">
        <v>152</v>
      </c>
      <c r="B156" s="11" t="s">
        <v>163</v>
      </c>
      <c r="C156" s="12" t="n">
        <v>136</v>
      </c>
      <c r="D156" s="12" t="n">
        <v>82</v>
      </c>
      <c r="E156" s="13" t="n">
        <v>25379.6</v>
      </c>
      <c r="F156" s="13" t="n">
        <v>-324.09</v>
      </c>
      <c r="G156" s="13" t="n">
        <v>-729.74</v>
      </c>
      <c r="H156" s="14" t="n">
        <f aca="false">E156+F156+G156</f>
        <v>24325.77</v>
      </c>
      <c r="I156" s="15" t="n">
        <f aca="false">IF($H$1182=0,0,H156/$H$1182)</f>
        <v>0.00201510878337016</v>
      </c>
      <c r="J156" s="16" t="n">
        <f aca="false">IF(C156&lt;=0,0,H156/C156)</f>
        <v>178.865955882353</v>
      </c>
    </row>
    <row r="157" customFormat="false" ht="15" hidden="false" customHeight="true" outlineLevel="0" collapsed="false">
      <c r="A157" s="5" t="n">
        <v>153</v>
      </c>
      <c r="B157" s="5" t="s">
        <v>164</v>
      </c>
      <c r="C157" s="6" t="n">
        <v>135</v>
      </c>
      <c r="D157" s="6" t="n">
        <v>30</v>
      </c>
      <c r="E157" s="7" t="n">
        <v>11263.49</v>
      </c>
      <c r="F157" s="7" t="n">
        <v>-19.98</v>
      </c>
      <c r="G157" s="7" t="n">
        <v>-91.64</v>
      </c>
      <c r="H157" s="8" t="n">
        <f aca="false">E157+F157+G157</f>
        <v>11151.87</v>
      </c>
      <c r="I157" s="9" t="n">
        <f aca="false">IF($H$1182=0,0,H157/$H$1182)</f>
        <v>0.000923803488563862</v>
      </c>
      <c r="J157" s="10" t="n">
        <f aca="false">IF(C157&lt;=0,0,H157/C157)</f>
        <v>82.6064444444445</v>
      </c>
    </row>
    <row r="158" customFormat="false" ht="15" hidden="false" customHeight="true" outlineLevel="0" collapsed="false">
      <c r="A158" s="11" t="n">
        <v>154</v>
      </c>
      <c r="B158" s="11" t="s">
        <v>165</v>
      </c>
      <c r="C158" s="12" t="n">
        <v>135</v>
      </c>
      <c r="D158" s="12" t="n">
        <v>80</v>
      </c>
      <c r="E158" s="13" t="n">
        <v>2680.46</v>
      </c>
      <c r="F158" s="13" t="n">
        <v>-30.69</v>
      </c>
      <c r="G158" s="13" t="n">
        <v>-266.2</v>
      </c>
      <c r="H158" s="14" t="n">
        <f aca="false">E158+F158+G158</f>
        <v>2383.57</v>
      </c>
      <c r="I158" s="15" t="n">
        <f aca="false">IF($H$1182=0,0,H158/$H$1182)</f>
        <v>0.0001974512150192</v>
      </c>
      <c r="J158" s="16" t="n">
        <f aca="false">IF(C158&lt;=0,0,H158/C158)</f>
        <v>17.6560740740741</v>
      </c>
    </row>
    <row r="159" customFormat="false" ht="15" hidden="false" customHeight="true" outlineLevel="0" collapsed="false">
      <c r="A159" s="5" t="n">
        <v>155</v>
      </c>
      <c r="B159" s="5" t="s">
        <v>166</v>
      </c>
      <c r="C159" s="6" t="n">
        <v>134</v>
      </c>
      <c r="D159" s="6" t="n">
        <v>43</v>
      </c>
      <c r="E159" s="7" t="n">
        <v>7975.52</v>
      </c>
      <c r="F159" s="7" t="n">
        <v>-753.23</v>
      </c>
      <c r="G159" s="7" t="n">
        <v>-295.12</v>
      </c>
      <c r="H159" s="8" t="n">
        <f aca="false">E159+F159+G159</f>
        <v>6927.17</v>
      </c>
      <c r="I159" s="9" t="n">
        <f aca="false">IF($H$1182=0,0,H159/$H$1182)</f>
        <v>0.00057383594068752</v>
      </c>
      <c r="J159" s="10" t="n">
        <f aca="false">IF(C159&lt;=0,0,H159/C159)</f>
        <v>51.6952985074627</v>
      </c>
    </row>
    <row r="160" customFormat="false" ht="15" hidden="false" customHeight="true" outlineLevel="0" collapsed="false">
      <c r="A160" s="11" t="n">
        <v>156</v>
      </c>
      <c r="B160" s="11" t="s">
        <v>167</v>
      </c>
      <c r="C160" s="12" t="n">
        <v>133</v>
      </c>
      <c r="D160" s="12" t="n">
        <v>80</v>
      </c>
      <c r="E160" s="13" t="n">
        <v>13761</v>
      </c>
      <c r="F160" s="13" t="n">
        <v>-146.17</v>
      </c>
      <c r="G160" s="13" t="n">
        <v>-584.1</v>
      </c>
      <c r="H160" s="14" t="n">
        <f aca="false">E160+F160+G160</f>
        <v>13030.73</v>
      </c>
      <c r="I160" s="15" t="n">
        <f aca="false">IF($H$1182=0,0,H160/$H$1182)</f>
        <v>0.00107944531567654</v>
      </c>
      <c r="J160" s="16" t="n">
        <f aca="false">IF(C160&lt;=0,0,H160/C160)</f>
        <v>97.9754135338346</v>
      </c>
    </row>
    <row r="161" customFormat="false" ht="15" hidden="false" customHeight="true" outlineLevel="0" collapsed="false">
      <c r="A161" s="5" t="n">
        <v>157</v>
      </c>
      <c r="B161" s="5" t="s">
        <v>168</v>
      </c>
      <c r="C161" s="6" t="n">
        <v>133</v>
      </c>
      <c r="D161" s="6" t="n">
        <v>38</v>
      </c>
      <c r="E161" s="7" t="n">
        <v>6626.76</v>
      </c>
      <c r="F161" s="7" t="n">
        <v>-148.84</v>
      </c>
      <c r="G161" s="7" t="n">
        <v>-304.91</v>
      </c>
      <c r="H161" s="8" t="n">
        <f aca="false">E161+F161+G161</f>
        <v>6173.01</v>
      </c>
      <c r="I161" s="9" t="n">
        <f aca="false">IF($H$1182=0,0,H161/$H$1182)</f>
        <v>0.000511362504489346</v>
      </c>
      <c r="J161" s="10" t="n">
        <f aca="false">IF(C161&lt;=0,0,H161/C161)</f>
        <v>46.4136090225564</v>
      </c>
    </row>
    <row r="162" customFormat="false" ht="15" hidden="false" customHeight="true" outlineLevel="0" collapsed="false">
      <c r="A162" s="11" t="n">
        <v>158</v>
      </c>
      <c r="B162" s="11" t="s">
        <v>169</v>
      </c>
      <c r="C162" s="12" t="n">
        <v>132</v>
      </c>
      <c r="D162" s="12" t="n">
        <v>67</v>
      </c>
      <c r="E162" s="13" t="n">
        <v>3413.66</v>
      </c>
      <c r="F162" s="13" t="n">
        <v>-2.55</v>
      </c>
      <c r="G162" s="13" t="n">
        <v>-305.9</v>
      </c>
      <c r="H162" s="14" t="n">
        <f aca="false">E162+F162+G162</f>
        <v>3105.21</v>
      </c>
      <c r="I162" s="15" t="n">
        <f aca="false">IF($H$1182=0,0,H162/$H$1182)</f>
        <v>0.000257230745222406</v>
      </c>
      <c r="J162" s="16" t="n">
        <f aca="false">IF(C162&lt;=0,0,H162/C162)</f>
        <v>23.5243181818182</v>
      </c>
    </row>
    <row r="163" customFormat="false" ht="15" hidden="false" customHeight="true" outlineLevel="0" collapsed="false">
      <c r="A163" s="5" t="n">
        <v>159</v>
      </c>
      <c r="B163" s="5" t="s">
        <v>170</v>
      </c>
      <c r="C163" s="6" t="n">
        <v>130</v>
      </c>
      <c r="D163" s="6" t="n">
        <v>94</v>
      </c>
      <c r="E163" s="7" t="n">
        <v>26845.1</v>
      </c>
      <c r="F163" s="7" t="n">
        <v>-198.42</v>
      </c>
      <c r="G163" s="7" t="n">
        <v>-210.94</v>
      </c>
      <c r="H163" s="8" t="n">
        <f aca="false">E163+F163+G163</f>
        <v>26435.74</v>
      </c>
      <c r="I163" s="9" t="n">
        <f aca="false">IF($H$1182=0,0,H163/$H$1182)</f>
        <v>0.00218989540182653</v>
      </c>
      <c r="J163" s="10" t="n">
        <f aca="false">IF(C163&lt;=0,0,H163/C163)</f>
        <v>203.351846153846</v>
      </c>
    </row>
    <row r="164" customFormat="false" ht="15" hidden="false" customHeight="true" outlineLevel="0" collapsed="false">
      <c r="A164" s="11" t="n">
        <v>160</v>
      </c>
      <c r="B164" s="11" t="s">
        <v>171</v>
      </c>
      <c r="C164" s="12" t="n">
        <v>130</v>
      </c>
      <c r="D164" s="12" t="n">
        <v>41</v>
      </c>
      <c r="E164" s="13" t="n">
        <v>2911</v>
      </c>
      <c r="F164" s="13" t="n">
        <v>-16.75</v>
      </c>
      <c r="G164" s="13" t="n">
        <v>-130.12</v>
      </c>
      <c r="H164" s="14" t="n">
        <f aca="false">E164+F164+G164</f>
        <v>2764.13</v>
      </c>
      <c r="I164" s="15" t="n">
        <f aca="false">IF($H$1182=0,0,H164/$H$1182)</f>
        <v>0.000228976210881586</v>
      </c>
      <c r="J164" s="16" t="n">
        <f aca="false">IF(C164&lt;=0,0,H164/C164)</f>
        <v>21.2625384615385</v>
      </c>
    </row>
    <row r="165" customFormat="false" ht="15" hidden="false" customHeight="true" outlineLevel="0" collapsed="false">
      <c r="A165" s="5" t="n">
        <v>161</v>
      </c>
      <c r="B165" s="5" t="s">
        <v>172</v>
      </c>
      <c r="C165" s="6" t="n">
        <v>129</v>
      </c>
      <c r="D165" s="6" t="n">
        <v>85</v>
      </c>
      <c r="E165" s="7" t="n">
        <v>23079.98</v>
      </c>
      <c r="F165" s="7" t="n">
        <v>-135.49</v>
      </c>
      <c r="G165" s="7" t="n">
        <v>-1764.18</v>
      </c>
      <c r="H165" s="8" t="n">
        <f aca="false">E165+F165+G165</f>
        <v>21180.31</v>
      </c>
      <c r="I165" s="9" t="n">
        <f aca="false">IF($H$1182=0,0,H165/$H$1182)</f>
        <v>0.00175454379102913</v>
      </c>
      <c r="J165" s="10" t="n">
        <f aca="false">IF(C165&lt;=0,0,H165/C165)</f>
        <v>164.188449612403</v>
      </c>
    </row>
    <row r="166" customFormat="false" ht="15" hidden="false" customHeight="true" outlineLevel="0" collapsed="false">
      <c r="A166" s="11" t="n">
        <v>162</v>
      </c>
      <c r="B166" s="11" t="s">
        <v>173</v>
      </c>
      <c r="C166" s="12" t="n">
        <v>128</v>
      </c>
      <c r="D166" s="12" t="n">
        <v>74</v>
      </c>
      <c r="E166" s="13" t="n">
        <v>4000.96</v>
      </c>
      <c r="F166" s="13" t="n">
        <v>-18.84</v>
      </c>
      <c r="G166" s="13" t="n">
        <v>-657.54</v>
      </c>
      <c r="H166" s="14" t="n">
        <f aca="false">E166+F166+G166</f>
        <v>3324.58</v>
      </c>
      <c r="I166" s="15" t="n">
        <f aca="false">IF($H$1182=0,0,H166/$H$1182)</f>
        <v>0.000275403013307153</v>
      </c>
      <c r="J166" s="16" t="n">
        <f aca="false">IF(C166&lt;=0,0,H166/C166)</f>
        <v>25.97328125</v>
      </c>
    </row>
    <row r="167" customFormat="false" ht="15" hidden="false" customHeight="true" outlineLevel="0" collapsed="false">
      <c r="A167" s="5" t="n">
        <v>163</v>
      </c>
      <c r="B167" s="5" t="s">
        <v>174</v>
      </c>
      <c r="C167" s="6" t="n">
        <v>128</v>
      </c>
      <c r="D167" s="6" t="n">
        <v>52</v>
      </c>
      <c r="E167" s="7" t="n">
        <v>1677.66</v>
      </c>
      <c r="F167" s="7" t="n">
        <v>-24.93</v>
      </c>
      <c r="G167" s="7" t="n">
        <v>-186.71</v>
      </c>
      <c r="H167" s="8" t="n">
        <f aca="false">E167+F167+G167</f>
        <v>1466.02</v>
      </c>
      <c r="I167" s="9" t="n">
        <f aca="false">IF($H$1182=0,0,H167/$H$1182)</f>
        <v>0.000121442806480383</v>
      </c>
      <c r="J167" s="10" t="n">
        <f aca="false">IF(C167&lt;=0,0,H167/C167)</f>
        <v>11.45328125</v>
      </c>
    </row>
    <row r="168" customFormat="false" ht="15" hidden="false" customHeight="true" outlineLevel="0" collapsed="false">
      <c r="A168" s="11" t="n">
        <v>164</v>
      </c>
      <c r="B168" s="11" t="s">
        <v>175</v>
      </c>
      <c r="C168" s="12" t="n">
        <v>127</v>
      </c>
      <c r="D168" s="12" t="n">
        <v>78</v>
      </c>
      <c r="E168" s="13" t="n">
        <v>19007.7</v>
      </c>
      <c r="F168" s="13" t="n">
        <v>-122.37</v>
      </c>
      <c r="G168" s="13" t="n">
        <v>-2714.48</v>
      </c>
      <c r="H168" s="14" t="n">
        <f aca="false">E168+F168+G168</f>
        <v>16170.85</v>
      </c>
      <c r="I168" s="15" t="n">
        <f aca="false">IF($H$1182=0,0,H168/$H$1182)</f>
        <v>0.00133956795076009</v>
      </c>
      <c r="J168" s="16" t="n">
        <f aca="false">IF(C168&lt;=0,0,H168/C168)</f>
        <v>127.329527559055</v>
      </c>
    </row>
    <row r="169" customFormat="false" ht="15" hidden="false" customHeight="true" outlineLevel="0" collapsed="false">
      <c r="A169" s="5" t="n">
        <v>165</v>
      </c>
      <c r="B169" s="5" t="s">
        <v>176</v>
      </c>
      <c r="C169" s="6" t="n">
        <v>127</v>
      </c>
      <c r="D169" s="6" t="n">
        <v>30</v>
      </c>
      <c r="E169" s="7" t="n">
        <v>2668.68</v>
      </c>
      <c r="F169" s="7" t="n">
        <v>-4.07</v>
      </c>
      <c r="G169" s="7" t="n">
        <v>-99.93</v>
      </c>
      <c r="H169" s="8" t="n">
        <f aca="false">E169+F169+G169</f>
        <v>2564.68</v>
      </c>
      <c r="I169" s="9" t="n">
        <f aca="false">IF($H$1182=0,0,H169/$H$1182)</f>
        <v>0.000212454084476412</v>
      </c>
      <c r="J169" s="10" t="n">
        <f aca="false">IF(C169&lt;=0,0,H169/C169)</f>
        <v>20.1943307086614</v>
      </c>
    </row>
    <row r="170" customFormat="false" ht="15" hidden="false" customHeight="true" outlineLevel="0" collapsed="false">
      <c r="A170" s="11" t="n">
        <v>166</v>
      </c>
      <c r="B170" s="11" t="s">
        <v>177</v>
      </c>
      <c r="C170" s="12" t="n">
        <v>126</v>
      </c>
      <c r="D170" s="12" t="n">
        <v>41</v>
      </c>
      <c r="E170" s="13" t="n">
        <v>25953.36</v>
      </c>
      <c r="F170" s="13" t="n">
        <v>-479.77</v>
      </c>
      <c r="G170" s="13" t="n">
        <v>-399.98</v>
      </c>
      <c r="H170" s="14" t="n">
        <f aca="false">E170+F170+G170</f>
        <v>25073.61</v>
      </c>
      <c r="I170" s="15" t="n">
        <f aca="false">IF($H$1182=0,0,H170/$H$1182)</f>
        <v>0.00207705868064188</v>
      </c>
      <c r="J170" s="16" t="n">
        <f aca="false">IF(C170&lt;=0,0,H170/C170)</f>
        <v>198.996904761905</v>
      </c>
    </row>
    <row r="171" customFormat="false" ht="15" hidden="false" customHeight="true" outlineLevel="0" collapsed="false">
      <c r="A171" s="5" t="n">
        <v>167</v>
      </c>
      <c r="B171" s="5" t="s">
        <v>178</v>
      </c>
      <c r="C171" s="6" t="n">
        <v>126</v>
      </c>
      <c r="D171" s="6" t="n">
        <v>95</v>
      </c>
      <c r="E171" s="7" t="n">
        <v>20917.4</v>
      </c>
      <c r="F171" s="7" t="n">
        <v>-349.89</v>
      </c>
      <c r="G171" s="7" t="n">
        <v>-942.64</v>
      </c>
      <c r="H171" s="8" t="n">
        <f aca="false">E171+F171+G171</f>
        <v>19624.87</v>
      </c>
      <c r="I171" s="9" t="n">
        <f aca="false">IF($H$1182=0,0,H171/$H$1182)</f>
        <v>0.00162569357144697</v>
      </c>
      <c r="J171" s="10" t="n">
        <f aca="false">IF(C171&lt;=0,0,H171/C171)</f>
        <v>155.752936507937</v>
      </c>
    </row>
    <row r="172" customFormat="false" ht="15" hidden="false" customHeight="true" outlineLevel="0" collapsed="false">
      <c r="A172" s="11" t="n">
        <v>168</v>
      </c>
      <c r="B172" s="11" t="s">
        <v>179</v>
      </c>
      <c r="C172" s="12" t="n">
        <v>126</v>
      </c>
      <c r="D172" s="12" t="n">
        <v>67</v>
      </c>
      <c r="E172" s="13" t="n">
        <v>17587.12</v>
      </c>
      <c r="F172" s="13" t="n">
        <v>-247.14</v>
      </c>
      <c r="G172" s="13" t="n">
        <v>-1680.66</v>
      </c>
      <c r="H172" s="14" t="n">
        <f aca="false">E172+F172+G172</f>
        <v>15659.32</v>
      </c>
      <c r="I172" s="15" t="n">
        <f aca="false">IF($H$1182=0,0,H172/$H$1182)</f>
        <v>0.00129719360470826</v>
      </c>
      <c r="J172" s="16" t="n">
        <f aca="false">IF(C172&lt;=0,0,H172/C172)</f>
        <v>124.280317460317</v>
      </c>
    </row>
    <row r="173" customFormat="false" ht="15" hidden="false" customHeight="true" outlineLevel="0" collapsed="false">
      <c r="A173" s="5" t="n">
        <v>169</v>
      </c>
      <c r="B173" s="5" t="s">
        <v>180</v>
      </c>
      <c r="C173" s="6" t="n">
        <v>125</v>
      </c>
      <c r="D173" s="6" t="n">
        <v>83</v>
      </c>
      <c r="E173" s="7" t="n">
        <v>35032.64</v>
      </c>
      <c r="F173" s="7" t="n">
        <v>-239.73</v>
      </c>
      <c r="G173" s="7" t="n">
        <v>-4451.78</v>
      </c>
      <c r="H173" s="8" t="n">
        <f aca="false">E173+F173+G173</f>
        <v>30341.13</v>
      </c>
      <c r="I173" s="9" t="n">
        <f aca="false">IF($H$1182=0,0,H173/$H$1182)</f>
        <v>0.00251341180815143</v>
      </c>
      <c r="J173" s="10" t="n">
        <f aca="false">IF(C173&lt;=0,0,H173/C173)</f>
        <v>242.72904</v>
      </c>
    </row>
    <row r="174" customFormat="false" ht="15" hidden="false" customHeight="true" outlineLevel="0" collapsed="false">
      <c r="A174" s="11" t="n">
        <v>170</v>
      </c>
      <c r="B174" s="11" t="s">
        <v>181</v>
      </c>
      <c r="C174" s="12" t="n">
        <v>125</v>
      </c>
      <c r="D174" s="12" t="n">
        <v>68</v>
      </c>
      <c r="E174" s="13" t="n">
        <v>2676.98</v>
      </c>
      <c r="F174" s="13" t="n">
        <v>-21.1</v>
      </c>
      <c r="G174" s="13" t="n">
        <v>-94.34</v>
      </c>
      <c r="H174" s="14" t="n">
        <f aca="false">E174+F174+G174</f>
        <v>2561.54</v>
      </c>
      <c r="I174" s="15" t="n">
        <f aca="false">IF($H$1182=0,0,H174/$H$1182)</f>
        <v>0.000212193971781941</v>
      </c>
      <c r="J174" s="16" t="n">
        <f aca="false">IF(C174&lt;=0,0,H174/C174)</f>
        <v>20.49232</v>
      </c>
    </row>
    <row r="175" customFormat="false" ht="15" hidden="false" customHeight="true" outlineLevel="0" collapsed="false">
      <c r="A175" s="5" t="n">
        <v>171</v>
      </c>
      <c r="B175" s="5" t="s">
        <v>182</v>
      </c>
      <c r="C175" s="6" t="n">
        <v>125</v>
      </c>
      <c r="D175" s="6" t="n">
        <v>53</v>
      </c>
      <c r="E175" s="7" t="n">
        <v>2331.69</v>
      </c>
      <c r="F175" s="7" t="n">
        <v>-35.22</v>
      </c>
      <c r="G175" s="7" t="n">
        <v>-234.44</v>
      </c>
      <c r="H175" s="8" t="n">
        <f aca="false">E175+F175+G175</f>
        <v>2062.03</v>
      </c>
      <c r="I175" s="9" t="n">
        <f aca="false">IF($H$1182=0,0,H175/$H$1182)</f>
        <v>0.000170815343751617</v>
      </c>
      <c r="J175" s="10" t="n">
        <f aca="false">IF(C175&lt;=0,0,H175/C175)</f>
        <v>16.49624</v>
      </c>
    </row>
    <row r="176" customFormat="false" ht="15" hidden="false" customHeight="true" outlineLevel="0" collapsed="false">
      <c r="A176" s="11" t="n">
        <v>172</v>
      </c>
      <c r="B176" s="11" t="s">
        <v>183</v>
      </c>
      <c r="C176" s="12" t="n">
        <v>122</v>
      </c>
      <c r="D176" s="12" t="n">
        <v>30</v>
      </c>
      <c r="E176" s="13" t="n">
        <v>5712.75</v>
      </c>
      <c r="F176" s="13" t="n">
        <v>-0.2</v>
      </c>
      <c r="G176" s="13" t="n">
        <v>-490</v>
      </c>
      <c r="H176" s="14" t="n">
        <f aca="false">E176+F176+G176</f>
        <v>5222.55</v>
      </c>
      <c r="I176" s="15" t="n">
        <f aca="false">IF($H$1182=0,0,H176/$H$1182)</f>
        <v>0.000432627882964848</v>
      </c>
      <c r="J176" s="16" t="n">
        <f aca="false">IF(C176&lt;=0,0,H176/C176)</f>
        <v>42.8077868852459</v>
      </c>
    </row>
    <row r="177" customFormat="false" ht="15" hidden="false" customHeight="true" outlineLevel="0" collapsed="false">
      <c r="A177" s="5" t="n">
        <v>173</v>
      </c>
      <c r="B177" s="5" t="s">
        <v>184</v>
      </c>
      <c r="C177" s="6" t="n">
        <v>122</v>
      </c>
      <c r="D177" s="6" t="n">
        <v>52</v>
      </c>
      <c r="E177" s="7" t="n">
        <v>3478.01</v>
      </c>
      <c r="F177" s="7" t="n">
        <v>-10.2</v>
      </c>
      <c r="G177" s="7" t="n">
        <v>-154</v>
      </c>
      <c r="H177" s="8" t="n">
        <f aca="false">E177+F177+G177</f>
        <v>3313.81</v>
      </c>
      <c r="I177" s="9" t="n">
        <f aca="false">IF($H$1182=0,0,H177/$H$1182)</f>
        <v>0.000274510843332805</v>
      </c>
      <c r="J177" s="10" t="n">
        <f aca="false">IF(C177&lt;=0,0,H177/C177)</f>
        <v>27.1623770491803</v>
      </c>
    </row>
    <row r="178" customFormat="false" ht="15" hidden="false" customHeight="true" outlineLevel="0" collapsed="false">
      <c r="A178" s="11" t="n">
        <v>174</v>
      </c>
      <c r="B178" s="11" t="s">
        <v>185</v>
      </c>
      <c r="C178" s="12" t="n">
        <v>121</v>
      </c>
      <c r="D178" s="12" t="n">
        <v>88</v>
      </c>
      <c r="E178" s="13" t="n">
        <v>32166.6</v>
      </c>
      <c r="F178" s="13" t="n">
        <v>-495.38</v>
      </c>
      <c r="G178" s="13" t="n">
        <v>-3270.78</v>
      </c>
      <c r="H178" s="14" t="n">
        <f aca="false">E178+F178+G178</f>
        <v>28400.44</v>
      </c>
      <c r="I178" s="15" t="n">
        <f aca="false">IF($H$1182=0,0,H178/$H$1182)</f>
        <v>0.00235264808043392</v>
      </c>
      <c r="J178" s="16" t="n">
        <f aca="false">IF(C178&lt;=0,0,H178/C178)</f>
        <v>234.714380165289</v>
      </c>
    </row>
    <row r="179" customFormat="false" ht="15" hidden="false" customHeight="true" outlineLevel="0" collapsed="false">
      <c r="A179" s="5" t="n">
        <v>175</v>
      </c>
      <c r="B179" s="5" t="s">
        <v>186</v>
      </c>
      <c r="C179" s="6" t="n">
        <v>121</v>
      </c>
      <c r="D179" s="6" t="n">
        <v>81</v>
      </c>
      <c r="E179" s="7" t="n">
        <v>5985.27</v>
      </c>
      <c r="F179" s="7" t="n">
        <v>-9.95</v>
      </c>
      <c r="G179" s="7" t="n">
        <v>-1424.77</v>
      </c>
      <c r="H179" s="8" t="n">
        <f aca="false">E179+F179+G179</f>
        <v>4550.55</v>
      </c>
      <c r="I179" s="9" t="n">
        <f aca="false">IF($H$1182=0,0,H179/$H$1182)</f>
        <v>0.000376960452810541</v>
      </c>
      <c r="J179" s="10" t="n">
        <f aca="false">IF(C179&lt;=0,0,H179/C179)</f>
        <v>37.6078512396694</v>
      </c>
    </row>
    <row r="180" customFormat="false" ht="15" hidden="false" customHeight="true" outlineLevel="0" collapsed="false">
      <c r="A180" s="11" t="n">
        <v>176</v>
      </c>
      <c r="B180" s="11" t="s">
        <v>187</v>
      </c>
      <c r="C180" s="12" t="n">
        <v>121</v>
      </c>
      <c r="D180" s="12" t="n">
        <v>73</v>
      </c>
      <c r="E180" s="13" t="n">
        <v>2364.44</v>
      </c>
      <c r="F180" s="13" t="n">
        <v>-18.47</v>
      </c>
      <c r="G180" s="13" t="n">
        <v>-307.57</v>
      </c>
      <c r="H180" s="14" t="n">
        <f aca="false">E180+F180+G180</f>
        <v>2038.4</v>
      </c>
      <c r="I180" s="15" t="n">
        <f aca="false">IF($H$1182=0,0,H180/$H$1182)</f>
        <v>0.000168857871468066</v>
      </c>
      <c r="J180" s="16" t="n">
        <f aca="false">IF(C180&lt;=0,0,H180/C180)</f>
        <v>16.8462809917355</v>
      </c>
    </row>
    <row r="181" customFormat="false" ht="15" hidden="false" customHeight="true" outlineLevel="0" collapsed="false">
      <c r="A181" s="5" t="n">
        <v>177</v>
      </c>
      <c r="B181" s="5" t="s">
        <v>188</v>
      </c>
      <c r="C181" s="6" t="n">
        <v>121</v>
      </c>
      <c r="D181" s="6" t="n">
        <v>68</v>
      </c>
      <c r="E181" s="7" t="n">
        <v>1365.14</v>
      </c>
      <c r="F181" s="7" t="n">
        <v>-8.32</v>
      </c>
      <c r="G181" s="7" t="n">
        <v>-81.33</v>
      </c>
      <c r="H181" s="8" t="n">
        <f aca="false">E181+F181+G181</f>
        <v>1275.49</v>
      </c>
      <c r="I181" s="9" t="n">
        <f aca="false">IF($H$1182=0,0,H181/$H$1182)</f>
        <v>0.000105659598939758</v>
      </c>
      <c r="J181" s="10" t="n">
        <f aca="false">IF(C181&lt;=0,0,H181/C181)</f>
        <v>10.5412396694215</v>
      </c>
    </row>
    <row r="182" customFormat="false" ht="15" hidden="false" customHeight="true" outlineLevel="0" collapsed="false">
      <c r="A182" s="11" t="n">
        <v>178</v>
      </c>
      <c r="B182" s="11" t="s">
        <v>189</v>
      </c>
      <c r="C182" s="12" t="n">
        <v>116</v>
      </c>
      <c r="D182" s="12" t="n">
        <v>94</v>
      </c>
      <c r="E182" s="13" t="n">
        <v>19629.37</v>
      </c>
      <c r="F182" s="13" t="n">
        <v>-437.85</v>
      </c>
      <c r="G182" s="13" t="n">
        <v>-5772.86</v>
      </c>
      <c r="H182" s="14" t="n">
        <f aca="false">E182+F182+G182</f>
        <v>13418.66</v>
      </c>
      <c r="I182" s="15" t="n">
        <f aca="false">IF($H$1182=0,0,H182/$H$1182)</f>
        <v>0.001111580830825</v>
      </c>
      <c r="J182" s="16" t="n">
        <f aca="false">IF(C182&lt;=0,0,H182/C182)</f>
        <v>115.678103448276</v>
      </c>
    </row>
    <row r="183" customFormat="false" ht="15" hidden="false" customHeight="true" outlineLevel="0" collapsed="false">
      <c r="A183" s="5" t="n">
        <v>179</v>
      </c>
      <c r="B183" s="5" t="s">
        <v>190</v>
      </c>
      <c r="C183" s="6" t="n">
        <v>116</v>
      </c>
      <c r="D183" s="6" t="n">
        <v>38</v>
      </c>
      <c r="E183" s="7" t="n">
        <v>2156.52</v>
      </c>
      <c r="F183" s="7" t="n">
        <v>-10.92</v>
      </c>
      <c r="G183" s="7" t="n">
        <v>-114</v>
      </c>
      <c r="H183" s="8" t="n">
        <f aca="false">E183+F183+G183</f>
        <v>2031.6</v>
      </c>
      <c r="I183" s="9" t="n">
        <f aca="false">IF($H$1182=0,0,H183/$H$1182)</f>
        <v>0.000168294570091504</v>
      </c>
      <c r="J183" s="10" t="n">
        <f aca="false">IF(C183&lt;=0,0,H183/C183)</f>
        <v>17.5137931034483</v>
      </c>
    </row>
    <row r="184" customFormat="false" ht="15" hidden="false" customHeight="true" outlineLevel="0" collapsed="false">
      <c r="A184" s="11" t="n">
        <v>180</v>
      </c>
      <c r="B184" s="11" t="s">
        <v>191</v>
      </c>
      <c r="C184" s="12" t="n">
        <v>115</v>
      </c>
      <c r="D184" s="12" t="n">
        <v>27</v>
      </c>
      <c r="E184" s="13" t="n">
        <v>5954.16</v>
      </c>
      <c r="F184" s="13" t="n">
        <v>-490.2</v>
      </c>
      <c r="G184" s="13" t="n">
        <v>-1180.98</v>
      </c>
      <c r="H184" s="14" t="n">
        <f aca="false">E184+F184+G184</f>
        <v>4282.98</v>
      </c>
      <c r="I184" s="15" t="n">
        <f aca="false">IF($H$1182=0,0,H184/$H$1182)</f>
        <v>0.000354795372027225</v>
      </c>
      <c r="J184" s="16" t="n">
        <f aca="false">IF(C184&lt;=0,0,H184/C184)</f>
        <v>37.2433043478261</v>
      </c>
    </row>
    <row r="185" customFormat="false" ht="15" hidden="false" customHeight="true" outlineLevel="0" collapsed="false">
      <c r="A185" s="5" t="n">
        <v>181</v>
      </c>
      <c r="B185" s="5" t="s">
        <v>192</v>
      </c>
      <c r="C185" s="6" t="n">
        <v>114</v>
      </c>
      <c r="D185" s="6" t="n">
        <v>93</v>
      </c>
      <c r="E185" s="7" t="n">
        <v>46777.5</v>
      </c>
      <c r="F185" s="7" t="n">
        <v>-355.5</v>
      </c>
      <c r="G185" s="7" t="n">
        <v>-8596.5</v>
      </c>
      <c r="H185" s="8" t="n">
        <f aca="false">E185+F185+G185</f>
        <v>37825.5</v>
      </c>
      <c r="I185" s="9" t="n">
        <f aca="false">IF($H$1182=0,0,H185/$H$1182)</f>
        <v>0.00313340532634189</v>
      </c>
      <c r="J185" s="10" t="n">
        <f aca="false">IF(C185&lt;=0,0,H185/C185)</f>
        <v>331.802631578947</v>
      </c>
    </row>
    <row r="186" customFormat="false" ht="15" hidden="false" customHeight="true" outlineLevel="0" collapsed="false">
      <c r="A186" s="11" t="n">
        <v>182</v>
      </c>
      <c r="B186" s="11" t="s">
        <v>193</v>
      </c>
      <c r="C186" s="12" t="n">
        <v>114</v>
      </c>
      <c r="D186" s="12" t="n">
        <v>45</v>
      </c>
      <c r="E186" s="13" t="n">
        <v>15429.15</v>
      </c>
      <c r="F186" s="13" t="n">
        <v>-398.73</v>
      </c>
      <c r="G186" s="13" t="n">
        <v>-389.99</v>
      </c>
      <c r="H186" s="14" t="n">
        <f aca="false">E186+F186+G186</f>
        <v>14640.43</v>
      </c>
      <c r="I186" s="15" t="n">
        <f aca="false">IF($H$1182=0,0,H186/$H$1182)</f>
        <v>0.00121279034888992</v>
      </c>
      <c r="J186" s="16" t="n">
        <f aca="false">IF(C186&lt;=0,0,H186/C186)</f>
        <v>128.424824561404</v>
      </c>
    </row>
    <row r="187" customFormat="false" ht="15" hidden="false" customHeight="true" outlineLevel="0" collapsed="false">
      <c r="A187" s="5" t="n">
        <v>183</v>
      </c>
      <c r="B187" s="5" t="s">
        <v>194</v>
      </c>
      <c r="C187" s="6" t="n">
        <v>113</v>
      </c>
      <c r="D187" s="6" t="n">
        <v>89</v>
      </c>
      <c r="E187" s="7" t="n">
        <v>40318.61</v>
      </c>
      <c r="F187" s="7" t="n">
        <v>-170.05</v>
      </c>
      <c r="G187" s="7" t="n">
        <v>-1925.96</v>
      </c>
      <c r="H187" s="8" t="n">
        <f aca="false">E187+F187+G187</f>
        <v>38222.6</v>
      </c>
      <c r="I187" s="9" t="n">
        <f aca="false">IF($H$1182=0,0,H187/$H$1182)</f>
        <v>0.00316630046996433</v>
      </c>
      <c r="J187" s="10" t="n">
        <f aca="false">IF(C187&lt;=0,0,H187/C187)</f>
        <v>338.253097345133</v>
      </c>
    </row>
    <row r="188" customFormat="false" ht="15" hidden="false" customHeight="true" outlineLevel="0" collapsed="false">
      <c r="A188" s="11" t="n">
        <v>184</v>
      </c>
      <c r="B188" s="11" t="s">
        <v>195</v>
      </c>
      <c r="C188" s="12" t="n">
        <v>113</v>
      </c>
      <c r="D188" s="12" t="n">
        <v>78</v>
      </c>
      <c r="E188" s="13" t="n">
        <v>2624</v>
      </c>
      <c r="F188" s="13" t="n">
        <v>-23.39</v>
      </c>
      <c r="G188" s="13" t="n">
        <v>-769.06</v>
      </c>
      <c r="H188" s="14" t="n">
        <f aca="false">E188+F188+G188</f>
        <v>1831.55</v>
      </c>
      <c r="I188" s="15" t="n">
        <f aca="false">IF($H$1182=0,0,H188/$H$1182)</f>
        <v>0.000151722740623693</v>
      </c>
      <c r="J188" s="16" t="n">
        <f aca="false">IF(C188&lt;=0,0,H188/C188)</f>
        <v>16.208407079646</v>
      </c>
    </row>
    <row r="189" customFormat="false" ht="15" hidden="false" customHeight="true" outlineLevel="0" collapsed="false">
      <c r="A189" s="5" t="n">
        <v>185</v>
      </c>
      <c r="B189" s="5" t="s">
        <v>196</v>
      </c>
      <c r="C189" s="6" t="n">
        <v>112</v>
      </c>
      <c r="D189" s="6" t="n">
        <v>75</v>
      </c>
      <c r="E189" s="7" t="n">
        <v>2131.16</v>
      </c>
      <c r="F189" s="7" t="n">
        <v>-19.19</v>
      </c>
      <c r="G189" s="7" t="n">
        <v>-235.47</v>
      </c>
      <c r="H189" s="8" t="n">
        <f aca="false">E189+F189+G189</f>
        <v>1876.5</v>
      </c>
      <c r="I189" s="9" t="n">
        <f aca="false">IF($H$1182=0,0,H189/$H$1182)</f>
        <v>0.000155446328399639</v>
      </c>
      <c r="J189" s="10" t="n">
        <f aca="false">IF(C189&lt;=0,0,H189/C189)</f>
        <v>16.7544642857143</v>
      </c>
    </row>
    <row r="190" customFormat="false" ht="15" hidden="false" customHeight="true" outlineLevel="0" collapsed="false">
      <c r="A190" s="11" t="n">
        <v>186</v>
      </c>
      <c r="B190" s="11" t="s">
        <v>197</v>
      </c>
      <c r="C190" s="12" t="n">
        <v>110</v>
      </c>
      <c r="D190" s="12" t="n">
        <v>93</v>
      </c>
      <c r="E190" s="13" t="n">
        <v>22669.08</v>
      </c>
      <c r="F190" s="13" t="n">
        <v>-129.95</v>
      </c>
      <c r="G190" s="13" t="n">
        <v>-2744.88</v>
      </c>
      <c r="H190" s="14" t="n">
        <f aca="false">E190+F190+G190</f>
        <v>19794.25</v>
      </c>
      <c r="I190" s="15" t="n">
        <f aca="false">IF($H$1182=0,0,H190/$H$1182)</f>
        <v>0.00163972474602961</v>
      </c>
      <c r="J190" s="16" t="n">
        <f aca="false">IF(C190&lt;=0,0,H190/C190)</f>
        <v>179.947727272727</v>
      </c>
    </row>
    <row r="191" customFormat="false" ht="15" hidden="false" customHeight="true" outlineLevel="0" collapsed="false">
      <c r="A191" s="5" t="n">
        <v>187</v>
      </c>
      <c r="B191" s="5" t="s">
        <v>198</v>
      </c>
      <c r="C191" s="6" t="n">
        <v>110</v>
      </c>
      <c r="D191" s="6" t="n">
        <v>64</v>
      </c>
      <c r="E191" s="7" t="n">
        <v>3222.96</v>
      </c>
      <c r="F191" s="7" t="n">
        <v>-26.78</v>
      </c>
      <c r="G191" s="7" t="n">
        <v>-276.38</v>
      </c>
      <c r="H191" s="8" t="n">
        <f aca="false">E191+F191+G191</f>
        <v>2919.8</v>
      </c>
      <c r="I191" s="9" t="n">
        <f aca="false">IF($H$1182=0,0,H191/$H$1182)</f>
        <v>0.000241871670482956</v>
      </c>
      <c r="J191" s="10" t="n">
        <f aca="false">IF(C191&lt;=0,0,H191/C191)</f>
        <v>26.5436363636364</v>
      </c>
    </row>
    <row r="192" customFormat="false" ht="15" hidden="false" customHeight="true" outlineLevel="0" collapsed="false">
      <c r="A192" s="11" t="n">
        <v>188</v>
      </c>
      <c r="B192" s="11" t="s">
        <v>199</v>
      </c>
      <c r="C192" s="12" t="n">
        <v>109</v>
      </c>
      <c r="D192" s="12" t="n">
        <v>54</v>
      </c>
      <c r="E192" s="13" t="n">
        <v>8317.95</v>
      </c>
      <c r="F192" s="13" t="n">
        <v>-231.99</v>
      </c>
      <c r="G192" s="13" t="n">
        <v>-769.35</v>
      </c>
      <c r="H192" s="14" t="n">
        <f aca="false">E192+F192+G192</f>
        <v>7316.61</v>
      </c>
      <c r="I192" s="15" t="n">
        <f aca="false">IF($H$1182=0,0,H192/$H$1182)</f>
        <v>0.000606096541876944</v>
      </c>
      <c r="J192" s="16" t="n">
        <f aca="false">IF(C192&lt;=0,0,H192/C192)</f>
        <v>67.1248623853211</v>
      </c>
    </row>
    <row r="193" customFormat="false" ht="15" hidden="false" customHeight="true" outlineLevel="0" collapsed="false">
      <c r="A193" s="5" t="n">
        <v>189</v>
      </c>
      <c r="B193" s="5" t="s">
        <v>200</v>
      </c>
      <c r="C193" s="6" t="n">
        <v>108</v>
      </c>
      <c r="D193" s="6" t="n">
        <v>60</v>
      </c>
      <c r="E193" s="7" t="n">
        <v>43471</v>
      </c>
      <c r="F193" s="7" t="n">
        <v>-634.1</v>
      </c>
      <c r="G193" s="7" t="n">
        <v>-395</v>
      </c>
      <c r="H193" s="8" t="n">
        <f aca="false">E193+F193+G193</f>
        <v>42441.9</v>
      </c>
      <c r="I193" s="9" t="n">
        <f aca="false">IF($H$1182=0,0,H193/$H$1182)</f>
        <v>0.00351582069027693</v>
      </c>
      <c r="J193" s="10" t="n">
        <f aca="false">IF(C193&lt;=0,0,H193/C193)</f>
        <v>392.980555555556</v>
      </c>
    </row>
    <row r="194" customFormat="false" ht="15" hidden="false" customHeight="true" outlineLevel="0" collapsed="false">
      <c r="A194" s="11" t="n">
        <v>190</v>
      </c>
      <c r="B194" s="11" t="s">
        <v>201</v>
      </c>
      <c r="C194" s="12" t="n">
        <v>108</v>
      </c>
      <c r="D194" s="12" t="n">
        <v>93</v>
      </c>
      <c r="E194" s="13" t="n">
        <v>34444.1</v>
      </c>
      <c r="F194" s="13" t="n">
        <v>-699.53</v>
      </c>
      <c r="G194" s="13" t="n">
        <v>-2119.46</v>
      </c>
      <c r="H194" s="14" t="n">
        <f aca="false">E194+F194+G194</f>
        <v>31625.11</v>
      </c>
      <c r="I194" s="15" t="n">
        <f aca="false">IF($H$1182=0,0,H194/$H$1182)</f>
        <v>0.00261977470542751</v>
      </c>
      <c r="J194" s="16" t="n">
        <f aca="false">IF(C194&lt;=0,0,H194/C194)</f>
        <v>292.825092592593</v>
      </c>
    </row>
    <row r="195" customFormat="false" ht="15" hidden="false" customHeight="true" outlineLevel="0" collapsed="false">
      <c r="A195" s="5" t="n">
        <v>191</v>
      </c>
      <c r="B195" s="5" t="s">
        <v>202</v>
      </c>
      <c r="C195" s="6" t="n">
        <v>108</v>
      </c>
      <c r="D195" s="6" t="n">
        <v>60</v>
      </c>
      <c r="E195" s="7" t="n">
        <v>8537.19</v>
      </c>
      <c r="F195" s="7" t="n">
        <v>-73.49</v>
      </c>
      <c r="G195" s="7" t="n">
        <v>-559.87</v>
      </c>
      <c r="H195" s="8" t="n">
        <f aca="false">E195+F195+G195</f>
        <v>7903.83</v>
      </c>
      <c r="I195" s="9" t="n">
        <f aca="false">IF($H$1182=0,0,H195/$H$1182)</f>
        <v>0.000654740929280534</v>
      </c>
      <c r="J195" s="10" t="n">
        <f aca="false">IF(C195&lt;=0,0,H195/C195)</f>
        <v>73.1836111111111</v>
      </c>
    </row>
    <row r="196" customFormat="false" ht="15" hidden="false" customHeight="true" outlineLevel="0" collapsed="false">
      <c r="A196" s="11" t="n">
        <v>192</v>
      </c>
      <c r="B196" s="11" t="s">
        <v>203</v>
      </c>
      <c r="C196" s="12" t="n">
        <v>107</v>
      </c>
      <c r="D196" s="12" t="n">
        <v>65</v>
      </c>
      <c r="E196" s="13" t="n">
        <v>22774.7</v>
      </c>
      <c r="F196" s="13" t="n">
        <v>-100.52</v>
      </c>
      <c r="G196" s="13" t="n">
        <v>-1665.6</v>
      </c>
      <c r="H196" s="14" t="n">
        <f aca="false">E196+F196+G196</f>
        <v>21008.58</v>
      </c>
      <c r="I196" s="15" t="n">
        <f aca="false">IF($H$1182=0,0,H196/$H$1182)</f>
        <v>0.00174031794611782</v>
      </c>
      <c r="J196" s="16" t="n">
        <f aca="false">IF(C196&lt;=0,0,H196/C196)</f>
        <v>196.341869158879</v>
      </c>
    </row>
    <row r="197" customFormat="false" ht="15" hidden="false" customHeight="true" outlineLevel="0" collapsed="false">
      <c r="A197" s="5" t="n">
        <v>193</v>
      </c>
      <c r="B197" s="5" t="s">
        <v>204</v>
      </c>
      <c r="C197" s="6" t="n">
        <v>107</v>
      </c>
      <c r="D197" s="6" t="n">
        <v>29</v>
      </c>
      <c r="E197" s="7" t="n">
        <v>3456</v>
      </c>
      <c r="F197" s="7" t="n">
        <v>-8.66</v>
      </c>
      <c r="G197" s="7" t="n">
        <v>-32</v>
      </c>
      <c r="H197" s="8" t="n">
        <f aca="false">E197+F197+G197</f>
        <v>3415.34</v>
      </c>
      <c r="I197" s="9" t="n">
        <f aca="false">IF($H$1182=0,0,H197/$H$1182)</f>
        <v>0.000282921429915494</v>
      </c>
      <c r="J197" s="10" t="n">
        <f aca="false">IF(C197&lt;=0,0,H197/C197)</f>
        <v>31.9190654205608</v>
      </c>
    </row>
    <row r="198" customFormat="false" ht="15" hidden="false" customHeight="true" outlineLevel="0" collapsed="false">
      <c r="A198" s="11" t="n">
        <v>194</v>
      </c>
      <c r="B198" s="11" t="s">
        <v>205</v>
      </c>
      <c r="C198" s="12" t="n">
        <v>106</v>
      </c>
      <c r="D198" s="12" t="n">
        <v>33</v>
      </c>
      <c r="E198" s="13" t="n">
        <v>2553</v>
      </c>
      <c r="F198" s="13" t="n">
        <v>-66.76</v>
      </c>
      <c r="G198" s="13" t="n">
        <v>-115</v>
      </c>
      <c r="H198" s="14" t="n">
        <f aca="false">E198+F198+G198</f>
        <v>2371.24</v>
      </c>
      <c r="I198" s="15" t="n">
        <f aca="false">IF($H$1182=0,0,H198/$H$1182)</f>
        <v>0.000196429817081994</v>
      </c>
      <c r="J198" s="16" t="n">
        <f aca="false">IF(C198&lt;=0,0,H198/C198)</f>
        <v>22.3701886792453</v>
      </c>
    </row>
    <row r="199" customFormat="false" ht="15" hidden="false" customHeight="true" outlineLevel="0" collapsed="false">
      <c r="A199" s="5" t="n">
        <v>195</v>
      </c>
      <c r="B199" s="5" t="s">
        <v>206</v>
      </c>
      <c r="C199" s="6" t="n">
        <v>105</v>
      </c>
      <c r="D199" s="6" t="n">
        <v>93</v>
      </c>
      <c r="E199" s="7" t="n">
        <v>47211.51</v>
      </c>
      <c r="F199" s="7" t="n">
        <v>-675.73</v>
      </c>
      <c r="G199" s="7" t="n">
        <v>-7049.35</v>
      </c>
      <c r="H199" s="8" t="n">
        <f aca="false">E199+F199+G199</f>
        <v>39486.43</v>
      </c>
      <c r="I199" s="9" t="n">
        <f aca="false">IF($H$1182=0,0,H199/$H$1182)</f>
        <v>0.00327099417272016</v>
      </c>
      <c r="J199" s="10" t="n">
        <f aca="false">IF(C199&lt;=0,0,H199/C199)</f>
        <v>376.061238095238</v>
      </c>
    </row>
    <row r="200" customFormat="false" ht="15" hidden="false" customHeight="true" outlineLevel="0" collapsed="false">
      <c r="A200" s="11" t="n">
        <v>196</v>
      </c>
      <c r="B200" s="11" t="s">
        <v>207</v>
      </c>
      <c r="C200" s="12" t="n">
        <v>104</v>
      </c>
      <c r="D200" s="12" t="n">
        <v>50</v>
      </c>
      <c r="E200" s="13" t="n">
        <v>21143.19</v>
      </c>
      <c r="F200" s="13" t="n">
        <v>-68.31</v>
      </c>
      <c r="G200" s="13" t="n">
        <v>-2321</v>
      </c>
      <c r="H200" s="14" t="n">
        <f aca="false">E200+F200+G200</f>
        <v>18753.88</v>
      </c>
      <c r="I200" s="15" t="n">
        <f aca="false">IF($H$1182=0,0,H200/$H$1182)</f>
        <v>0.00155354212056884</v>
      </c>
      <c r="J200" s="16" t="n">
        <f aca="false">IF(C200&lt;=0,0,H200/C200)</f>
        <v>180.325769230769</v>
      </c>
    </row>
    <row r="201" customFormat="false" ht="15" hidden="false" customHeight="true" outlineLevel="0" collapsed="false">
      <c r="A201" s="5" t="n">
        <v>197</v>
      </c>
      <c r="B201" s="5" t="s">
        <v>208</v>
      </c>
      <c r="C201" s="6" t="n">
        <v>104</v>
      </c>
      <c r="D201" s="6" t="n">
        <v>76</v>
      </c>
      <c r="E201" s="7" t="n">
        <v>2518.34</v>
      </c>
      <c r="F201" s="7" t="n">
        <v>-25.09</v>
      </c>
      <c r="G201" s="7" t="n">
        <v>-456.89</v>
      </c>
      <c r="H201" s="8" t="n">
        <f aca="false">E201+F201+G201</f>
        <v>2036.36</v>
      </c>
      <c r="I201" s="9" t="n">
        <f aca="false">IF($H$1182=0,0,H201/$H$1182)</f>
        <v>0.000168688881055097</v>
      </c>
      <c r="J201" s="10" t="n">
        <f aca="false">IF(C201&lt;=0,0,H201/C201)</f>
        <v>19.5803846153846</v>
      </c>
    </row>
    <row r="202" customFormat="false" ht="15" hidden="false" customHeight="true" outlineLevel="0" collapsed="false">
      <c r="A202" s="11" t="n">
        <v>198</v>
      </c>
      <c r="B202" s="11" t="s">
        <v>209</v>
      </c>
      <c r="C202" s="12" t="n">
        <v>103</v>
      </c>
      <c r="D202" s="12" t="n">
        <v>67</v>
      </c>
      <c r="E202" s="13" t="n">
        <v>3553.86</v>
      </c>
      <c r="F202" s="13" t="n">
        <v>-483.49</v>
      </c>
      <c r="G202" s="13" t="n">
        <v>-419.95</v>
      </c>
      <c r="H202" s="14" t="n">
        <f aca="false">E202+F202+G202</f>
        <v>2650.42</v>
      </c>
      <c r="I202" s="15" t="n">
        <f aca="false">IF($H$1182=0,0,H202/$H$1182)</f>
        <v>0.00021955665212735</v>
      </c>
      <c r="J202" s="16" t="n">
        <f aca="false">IF(C202&lt;=0,0,H202/C202)</f>
        <v>25.7322330097087</v>
      </c>
    </row>
    <row r="203" customFormat="false" ht="15" hidden="false" customHeight="true" outlineLevel="0" collapsed="false">
      <c r="A203" s="5" t="n">
        <v>199</v>
      </c>
      <c r="B203" s="5" t="s">
        <v>210</v>
      </c>
      <c r="C203" s="6" t="n">
        <v>102</v>
      </c>
      <c r="D203" s="6" t="n">
        <v>49</v>
      </c>
      <c r="E203" s="7" t="n">
        <v>17172</v>
      </c>
      <c r="F203" s="7" t="n">
        <v>-1.25</v>
      </c>
      <c r="G203" s="7" t="n">
        <v>-1105.05</v>
      </c>
      <c r="H203" s="8" t="n">
        <f aca="false">E203+F203+G203</f>
        <v>16065.7</v>
      </c>
      <c r="I203" s="9" t="n">
        <f aca="false">IF($H$1182=0,0,H203/$H$1182)</f>
        <v>0.00133085748903282</v>
      </c>
      <c r="J203" s="10" t="n">
        <f aca="false">IF(C203&lt;=0,0,H203/C203)</f>
        <v>157.506862745098</v>
      </c>
    </row>
    <row r="204" customFormat="false" ht="15" hidden="false" customHeight="true" outlineLevel="0" collapsed="false">
      <c r="A204" s="11" t="n">
        <v>200</v>
      </c>
      <c r="B204" s="11" t="s">
        <v>211</v>
      </c>
      <c r="C204" s="12" t="n">
        <v>102</v>
      </c>
      <c r="D204" s="12" t="n">
        <v>42</v>
      </c>
      <c r="E204" s="13" t="n">
        <v>7475</v>
      </c>
      <c r="F204" s="13" t="n">
        <v>-61.75</v>
      </c>
      <c r="G204" s="13" t="n">
        <v>-845</v>
      </c>
      <c r="H204" s="14" t="n">
        <f aca="false">E204+F204+G204</f>
        <v>6568.25</v>
      </c>
      <c r="I204" s="15" t="n">
        <f aca="false">IF($H$1182=0,0,H204/$H$1182)</f>
        <v>0.000544103568617603</v>
      </c>
      <c r="J204" s="16" t="n">
        <f aca="false">IF(C204&lt;=0,0,H204/C204)</f>
        <v>64.3946078431373</v>
      </c>
    </row>
    <row r="205" customFormat="false" ht="15" hidden="false" customHeight="true" outlineLevel="0" collapsed="false">
      <c r="A205" s="5" t="n">
        <v>201</v>
      </c>
      <c r="B205" s="5" t="s">
        <v>212</v>
      </c>
      <c r="C205" s="6" t="n">
        <v>100</v>
      </c>
      <c r="D205" s="6" t="n">
        <v>89</v>
      </c>
      <c r="E205" s="7" t="n">
        <v>69027.73</v>
      </c>
      <c r="F205" s="7" t="n">
        <v>-708.3</v>
      </c>
      <c r="G205" s="7" t="n">
        <v>-11925</v>
      </c>
      <c r="H205" s="8" t="n">
        <f aca="false">E205+F205+G205</f>
        <v>56394.43</v>
      </c>
      <c r="I205" s="9" t="n">
        <f aca="false">IF($H$1182=0,0,H205/$H$1182)</f>
        <v>0.00467162647785264</v>
      </c>
      <c r="J205" s="10" t="n">
        <f aca="false">IF(C205&lt;=0,0,H205/C205)</f>
        <v>563.9443</v>
      </c>
    </row>
    <row r="206" customFormat="false" ht="15" hidden="false" customHeight="true" outlineLevel="0" collapsed="false">
      <c r="A206" s="11" t="n">
        <v>202</v>
      </c>
      <c r="B206" s="11" t="s">
        <v>213</v>
      </c>
      <c r="C206" s="12" t="n">
        <v>100</v>
      </c>
      <c r="D206" s="12" t="n">
        <v>80</v>
      </c>
      <c r="E206" s="13" t="n">
        <v>18592</v>
      </c>
      <c r="F206" s="13" t="n">
        <v>-85.68</v>
      </c>
      <c r="G206" s="13" t="n">
        <v>-1992</v>
      </c>
      <c r="H206" s="14" t="n">
        <f aca="false">E206+F206+G206</f>
        <v>16514.32</v>
      </c>
      <c r="I206" s="15" t="n">
        <f aca="false">IF($H$1182=0,0,H206/$H$1182)</f>
        <v>0.00136802046896708</v>
      </c>
      <c r="J206" s="16" t="n">
        <f aca="false">IF(C206&lt;=0,0,H206/C206)</f>
        <v>165.1432</v>
      </c>
    </row>
    <row r="207" customFormat="false" ht="15" hidden="false" customHeight="true" outlineLevel="0" collapsed="false">
      <c r="A207" s="5" t="n">
        <v>203</v>
      </c>
      <c r="B207" s="5" t="s">
        <v>214</v>
      </c>
      <c r="C207" s="6" t="n">
        <v>99</v>
      </c>
      <c r="D207" s="6" t="n">
        <v>63</v>
      </c>
      <c r="E207" s="7" t="n">
        <v>2154.9</v>
      </c>
      <c r="F207" s="7" t="n">
        <v>-17.99</v>
      </c>
      <c r="G207" s="7" t="n">
        <v>-83.2</v>
      </c>
      <c r="H207" s="8" t="n">
        <f aca="false">E207+F207+G207</f>
        <v>2053.71</v>
      </c>
      <c r="I207" s="9" t="n">
        <f aca="false">IF($H$1182=0,0,H207/$H$1182)</f>
        <v>0.000170126127949706</v>
      </c>
      <c r="J207" s="10" t="n">
        <f aca="false">IF(C207&lt;=0,0,H207/C207)</f>
        <v>20.7445454545455</v>
      </c>
    </row>
    <row r="208" customFormat="false" ht="15" hidden="false" customHeight="true" outlineLevel="0" collapsed="false">
      <c r="A208" s="11" t="n">
        <v>204</v>
      </c>
      <c r="B208" s="11" t="s">
        <v>215</v>
      </c>
      <c r="C208" s="12" t="n">
        <v>98</v>
      </c>
      <c r="D208" s="12" t="n">
        <v>13</v>
      </c>
      <c r="E208" s="13" t="n">
        <v>4899.02</v>
      </c>
      <c r="F208" s="13" t="n">
        <v>-350.1</v>
      </c>
      <c r="G208" s="13" t="n">
        <v>0</v>
      </c>
      <c r="H208" s="14" t="n">
        <f aca="false">E208+F208+G208</f>
        <v>4548.92</v>
      </c>
      <c r="I208" s="15" t="n">
        <f aca="false">IF($H$1182=0,0,H208/$H$1182)</f>
        <v>0.000376825426157041</v>
      </c>
      <c r="J208" s="16" t="n">
        <f aca="false">IF(C208&lt;=0,0,H208/C208)</f>
        <v>46.4175510204082</v>
      </c>
    </row>
    <row r="209" customFormat="false" ht="15" hidden="false" customHeight="true" outlineLevel="0" collapsed="false">
      <c r="A209" s="5" t="n">
        <v>205</v>
      </c>
      <c r="B209" s="5" t="s">
        <v>216</v>
      </c>
      <c r="C209" s="6" t="n">
        <v>98</v>
      </c>
      <c r="D209" s="6" t="n">
        <v>52</v>
      </c>
      <c r="E209" s="7" t="n">
        <v>3337.66</v>
      </c>
      <c r="F209" s="7" t="n">
        <v>-7.2</v>
      </c>
      <c r="G209" s="7" t="n">
        <v>-217.96</v>
      </c>
      <c r="H209" s="8" t="n">
        <f aca="false">E209+F209+G209</f>
        <v>3112.5</v>
      </c>
      <c r="I209" s="9" t="n">
        <f aca="false">IF($H$1182=0,0,H209/$H$1182)</f>
        <v>0.000257834637433455</v>
      </c>
      <c r="J209" s="10" t="n">
        <f aca="false">IF(C209&lt;=0,0,H209/C209)</f>
        <v>31.7602040816327</v>
      </c>
    </row>
    <row r="210" customFormat="false" ht="15" hidden="false" customHeight="true" outlineLevel="0" collapsed="false">
      <c r="A210" s="11" t="n">
        <v>206</v>
      </c>
      <c r="B210" s="11" t="s">
        <v>217</v>
      </c>
      <c r="C210" s="12" t="n">
        <v>98</v>
      </c>
      <c r="D210" s="12" t="n">
        <v>58</v>
      </c>
      <c r="E210" s="13" t="n">
        <v>2293.52</v>
      </c>
      <c r="F210" s="13" t="n">
        <v>-28.13</v>
      </c>
      <c r="G210" s="13" t="n">
        <v>-119.46</v>
      </c>
      <c r="H210" s="14" t="n">
        <f aca="false">E210+F210+G210</f>
        <v>2145.93</v>
      </c>
      <c r="I210" s="15" t="n">
        <f aca="false">IF($H$1182=0,0,H210/$H$1182)</f>
        <v>0.000177765488677132</v>
      </c>
      <c r="J210" s="16" t="n">
        <f aca="false">IF(C210&lt;=0,0,H210/C210)</f>
        <v>21.8972448979592</v>
      </c>
    </row>
    <row r="211" customFormat="false" ht="15" hidden="false" customHeight="true" outlineLevel="0" collapsed="false">
      <c r="A211" s="5" t="n">
        <v>207</v>
      </c>
      <c r="B211" s="5" t="s">
        <v>218</v>
      </c>
      <c r="C211" s="6" t="n">
        <v>97</v>
      </c>
      <c r="D211" s="6" t="n">
        <v>58</v>
      </c>
      <c r="E211" s="7" t="n">
        <v>20655.81</v>
      </c>
      <c r="F211" s="7" t="n">
        <v>-418.5</v>
      </c>
      <c r="G211" s="7" t="n">
        <v>-1636.74</v>
      </c>
      <c r="H211" s="8" t="n">
        <f aca="false">E211+F211+G211</f>
        <v>18600.57</v>
      </c>
      <c r="I211" s="9" t="n">
        <f aca="false">IF($H$1182=0,0,H211/$H$1182)</f>
        <v>0.00154084215968051</v>
      </c>
      <c r="J211" s="10" t="n">
        <f aca="false">IF(C211&lt;=0,0,H211/C211)</f>
        <v>191.758453608247</v>
      </c>
    </row>
    <row r="212" customFormat="false" ht="15" hidden="false" customHeight="true" outlineLevel="0" collapsed="false">
      <c r="A212" s="11" t="n">
        <v>208</v>
      </c>
      <c r="B212" s="11" t="s">
        <v>219</v>
      </c>
      <c r="C212" s="12" t="n">
        <v>97</v>
      </c>
      <c r="D212" s="12" t="n">
        <v>46</v>
      </c>
      <c r="E212" s="13" t="n">
        <v>3781.71</v>
      </c>
      <c r="F212" s="13" t="n">
        <v>-254.45</v>
      </c>
      <c r="G212" s="13" t="n">
        <v>-370.59</v>
      </c>
      <c r="H212" s="14" t="n">
        <f aca="false">E212+F212+G212</f>
        <v>3156.67</v>
      </c>
      <c r="I212" s="15" t="n">
        <f aca="false">IF($H$1182=0,0,H212/$H$1182)</f>
        <v>0.000261493611227972</v>
      </c>
      <c r="J212" s="16" t="n">
        <f aca="false">IF(C212&lt;=0,0,H212/C212)</f>
        <v>32.5429896907217</v>
      </c>
    </row>
    <row r="213" customFormat="false" ht="15" hidden="false" customHeight="true" outlineLevel="0" collapsed="false">
      <c r="A213" s="5" t="n">
        <v>209</v>
      </c>
      <c r="B213" s="5" t="s">
        <v>220</v>
      </c>
      <c r="C213" s="6" t="n">
        <v>97</v>
      </c>
      <c r="D213" s="6" t="n">
        <v>49</v>
      </c>
      <c r="E213" s="7" t="n">
        <v>2358.15</v>
      </c>
      <c r="F213" s="7" t="n">
        <v>-13.58</v>
      </c>
      <c r="G213" s="7" t="n">
        <v>-191.52</v>
      </c>
      <c r="H213" s="8" t="n">
        <f aca="false">E213+F213+G213</f>
        <v>2153.05</v>
      </c>
      <c r="I213" s="9" t="n">
        <f aca="false">IF($H$1182=0,0,H213/$H$1182)</f>
        <v>0.000178355298353767</v>
      </c>
      <c r="J213" s="10" t="n">
        <f aca="false">IF(C213&lt;=0,0,H213/C213)</f>
        <v>22.1963917525773</v>
      </c>
    </row>
    <row r="214" customFormat="false" ht="15" hidden="false" customHeight="true" outlineLevel="0" collapsed="false">
      <c r="A214" s="11" t="n">
        <v>210</v>
      </c>
      <c r="B214" s="11" t="s">
        <v>221</v>
      </c>
      <c r="C214" s="12" t="n">
        <v>96</v>
      </c>
      <c r="D214" s="12" t="n">
        <v>60</v>
      </c>
      <c r="E214" s="13" t="n">
        <v>28289.75</v>
      </c>
      <c r="F214" s="13" t="n">
        <v>-256.05</v>
      </c>
      <c r="G214" s="13" t="n">
        <v>-989</v>
      </c>
      <c r="H214" s="14" t="n">
        <f aca="false">E214+F214+G214</f>
        <v>27044.7</v>
      </c>
      <c r="I214" s="15" t="n">
        <f aca="false">IF($H$1182=0,0,H214/$H$1182)</f>
        <v>0.00224034069686636</v>
      </c>
      <c r="J214" s="16" t="n">
        <f aca="false">IF(C214&lt;=0,0,H214/C214)</f>
        <v>281.715625</v>
      </c>
    </row>
    <row r="215" customFormat="false" ht="15" hidden="false" customHeight="true" outlineLevel="0" collapsed="false">
      <c r="A215" s="5" t="n">
        <v>211</v>
      </c>
      <c r="B215" s="5" t="s">
        <v>222</v>
      </c>
      <c r="C215" s="6" t="n">
        <v>96</v>
      </c>
      <c r="D215" s="6" t="n">
        <v>69</v>
      </c>
      <c r="E215" s="7" t="n">
        <v>26993.4</v>
      </c>
      <c r="F215" s="7" t="n">
        <v>-88.8</v>
      </c>
      <c r="G215" s="7" t="n">
        <v>-3955.45</v>
      </c>
      <c r="H215" s="8" t="n">
        <f aca="false">E215+F215+G215</f>
        <v>22949.15</v>
      </c>
      <c r="I215" s="9" t="n">
        <f aca="false">IF($H$1182=0,0,H215/$H$1182)</f>
        <v>0.0019010717332228</v>
      </c>
      <c r="J215" s="10" t="n">
        <f aca="false">IF(C215&lt;=0,0,H215/C215)</f>
        <v>239.053645833333</v>
      </c>
    </row>
    <row r="216" customFormat="false" ht="15" hidden="false" customHeight="true" outlineLevel="0" collapsed="false">
      <c r="A216" s="11" t="n">
        <v>212</v>
      </c>
      <c r="B216" s="11" t="s">
        <v>223</v>
      </c>
      <c r="C216" s="12" t="n">
        <v>96</v>
      </c>
      <c r="D216" s="12" t="n">
        <v>33</v>
      </c>
      <c r="E216" s="13" t="n">
        <v>3946.85</v>
      </c>
      <c r="F216" s="13" t="n">
        <v>-5.83</v>
      </c>
      <c r="G216" s="13" t="n">
        <v>-1394.61</v>
      </c>
      <c r="H216" s="14" t="n">
        <f aca="false">E216+F216+G216</f>
        <v>2546.41</v>
      </c>
      <c r="I216" s="15" t="n">
        <f aca="false">IF($H$1182=0,0,H216/$H$1182)</f>
        <v>0.000210940626219092</v>
      </c>
      <c r="J216" s="16" t="n">
        <f aca="false">IF(C216&lt;=0,0,H216/C216)</f>
        <v>26.5251041666667</v>
      </c>
    </row>
    <row r="217" customFormat="false" ht="15" hidden="false" customHeight="true" outlineLevel="0" collapsed="false">
      <c r="A217" s="5" t="n">
        <v>213</v>
      </c>
      <c r="B217" s="5" t="s">
        <v>224</v>
      </c>
      <c r="C217" s="6" t="n">
        <v>96</v>
      </c>
      <c r="D217" s="6" t="n">
        <v>24</v>
      </c>
      <c r="E217" s="7" t="n">
        <v>999.74</v>
      </c>
      <c r="F217" s="7" t="n">
        <v>0</v>
      </c>
      <c r="G217" s="7" t="n">
        <v>-85.78</v>
      </c>
      <c r="H217" s="8" t="n">
        <f aca="false">E217+F217+G217</f>
        <v>913.96</v>
      </c>
      <c r="I217" s="9" t="n">
        <f aca="false">IF($H$1182=0,0,H217/$H$1182)</f>
        <v>7.57110185473672E-005</v>
      </c>
      <c r="J217" s="10" t="n">
        <f aca="false">IF(C217&lt;=0,0,H217/C217)</f>
        <v>9.52041666666667</v>
      </c>
    </row>
    <row r="218" customFormat="false" ht="15" hidden="false" customHeight="true" outlineLevel="0" collapsed="false">
      <c r="A218" s="11" t="n">
        <v>214</v>
      </c>
      <c r="B218" s="11" t="s">
        <v>225</v>
      </c>
      <c r="C218" s="12" t="n">
        <v>95</v>
      </c>
      <c r="D218" s="12" t="n">
        <v>40</v>
      </c>
      <c r="E218" s="13" t="n">
        <v>8428.01</v>
      </c>
      <c r="F218" s="13" t="n">
        <v>-1220.7</v>
      </c>
      <c r="G218" s="13" t="n">
        <v>-574.98</v>
      </c>
      <c r="H218" s="14" t="n">
        <f aca="false">E218+F218+G218</f>
        <v>6632.33</v>
      </c>
      <c r="I218" s="15" t="n">
        <f aca="false">IF($H$1182=0,0,H218/$H$1182)</f>
        <v>0.000549411855707317</v>
      </c>
      <c r="J218" s="16" t="n">
        <f aca="false">IF(C218&lt;=0,0,H218/C218)</f>
        <v>69.814</v>
      </c>
    </row>
    <row r="219" customFormat="false" ht="15" hidden="false" customHeight="true" outlineLevel="0" collapsed="false">
      <c r="A219" s="5" t="n">
        <v>215</v>
      </c>
      <c r="B219" s="5" t="s">
        <v>226</v>
      </c>
      <c r="C219" s="6" t="n">
        <v>95</v>
      </c>
      <c r="D219" s="6" t="n">
        <v>47</v>
      </c>
      <c r="E219" s="7" t="n">
        <v>6728.59</v>
      </c>
      <c r="F219" s="7" t="n">
        <v>-1236.95</v>
      </c>
      <c r="G219" s="7" t="n">
        <v>-324.98</v>
      </c>
      <c r="H219" s="8" t="n">
        <f aca="false">E219+F219+G219</f>
        <v>5166.66</v>
      </c>
      <c r="I219" s="9" t="n">
        <f aca="false">IF($H$1182=0,0,H219/$H$1182)</f>
        <v>0.000427998042680139</v>
      </c>
      <c r="J219" s="10" t="n">
        <f aca="false">IF(C219&lt;=0,0,H219/C219)</f>
        <v>54.3858947368421</v>
      </c>
    </row>
    <row r="220" customFormat="false" ht="15" hidden="false" customHeight="true" outlineLevel="0" collapsed="false">
      <c r="A220" s="11" t="n">
        <v>216</v>
      </c>
      <c r="B220" s="11" t="s">
        <v>227</v>
      </c>
      <c r="C220" s="12" t="n">
        <v>93</v>
      </c>
      <c r="D220" s="12" t="n">
        <v>70</v>
      </c>
      <c r="E220" s="13" t="n">
        <v>66948.97</v>
      </c>
      <c r="F220" s="13" t="n">
        <v>-685.5</v>
      </c>
      <c r="G220" s="13" t="n">
        <v>-6388.39</v>
      </c>
      <c r="H220" s="14" t="n">
        <f aca="false">E220+F220+G220</f>
        <v>59875.08</v>
      </c>
      <c r="I220" s="15" t="n">
        <f aca="false">IF($H$1182=0,0,H220/$H$1182)</f>
        <v>0.00495995808613626</v>
      </c>
      <c r="J220" s="16" t="n">
        <f aca="false">IF(C220&lt;=0,0,H220/C220)</f>
        <v>643.818064516129</v>
      </c>
    </row>
    <row r="221" customFormat="false" ht="15" hidden="false" customHeight="true" outlineLevel="0" collapsed="false">
      <c r="A221" s="5" t="n">
        <v>217</v>
      </c>
      <c r="B221" s="5" t="s">
        <v>228</v>
      </c>
      <c r="C221" s="6" t="n">
        <v>92</v>
      </c>
      <c r="D221" s="6" t="n">
        <v>72</v>
      </c>
      <c r="E221" s="7" t="n">
        <v>32901.38</v>
      </c>
      <c r="F221" s="7" t="n">
        <v>-178.21</v>
      </c>
      <c r="G221" s="7" t="n">
        <v>-1565.96</v>
      </c>
      <c r="H221" s="8" t="n">
        <f aca="false">E221+F221+G221</f>
        <v>31157.21</v>
      </c>
      <c r="I221" s="9" t="n">
        <f aca="false">IF($H$1182=0,0,H221/$H$1182)</f>
        <v>0.00258101460041382</v>
      </c>
      <c r="J221" s="10" t="n">
        <f aca="false">IF(C221&lt;=0,0,H221/C221)</f>
        <v>338.665326086957</v>
      </c>
    </row>
    <row r="222" customFormat="false" ht="15" hidden="false" customHeight="true" outlineLevel="0" collapsed="false">
      <c r="A222" s="11" t="n">
        <v>218</v>
      </c>
      <c r="B222" s="11" t="s">
        <v>229</v>
      </c>
      <c r="C222" s="12" t="n">
        <v>92</v>
      </c>
      <c r="D222" s="12" t="n">
        <v>87</v>
      </c>
      <c r="E222" s="13" t="n">
        <v>18720.5</v>
      </c>
      <c r="F222" s="13" t="n">
        <v>-85.32</v>
      </c>
      <c r="G222" s="13" t="n">
        <v>-2721.24</v>
      </c>
      <c r="H222" s="14" t="n">
        <f aca="false">E222+F222+G222</f>
        <v>15913.94</v>
      </c>
      <c r="I222" s="15" t="n">
        <f aca="false">IF($H$1182=0,0,H222/$H$1182)</f>
        <v>0.00131828592772297</v>
      </c>
      <c r="J222" s="16" t="n">
        <f aca="false">IF(C222&lt;=0,0,H222/C222)</f>
        <v>172.977608695652</v>
      </c>
    </row>
    <row r="223" customFormat="false" ht="15" hidden="false" customHeight="true" outlineLevel="0" collapsed="false">
      <c r="A223" s="5" t="n">
        <v>219</v>
      </c>
      <c r="B223" s="5" t="s">
        <v>230</v>
      </c>
      <c r="C223" s="6" t="n">
        <v>92</v>
      </c>
      <c r="D223" s="6" t="n">
        <v>43</v>
      </c>
      <c r="E223" s="7" t="n">
        <v>6759.18</v>
      </c>
      <c r="F223" s="7" t="n">
        <v>-1.39</v>
      </c>
      <c r="G223" s="7" t="n">
        <v>-660</v>
      </c>
      <c r="H223" s="8" t="n">
        <f aca="false">E223+F223+G223</f>
        <v>6097.79</v>
      </c>
      <c r="I223" s="9" t="n">
        <f aca="false">IF($H$1182=0,0,H223/$H$1182)</f>
        <v>0.000505131397203324</v>
      </c>
      <c r="J223" s="10" t="n">
        <f aca="false">IF(C223&lt;=0,0,H223/C223)</f>
        <v>66.2803260869565</v>
      </c>
    </row>
    <row r="224" customFormat="false" ht="15" hidden="false" customHeight="true" outlineLevel="0" collapsed="false">
      <c r="A224" s="11" t="n">
        <v>220</v>
      </c>
      <c r="B224" s="11" t="s">
        <v>231</v>
      </c>
      <c r="C224" s="12" t="n">
        <v>92</v>
      </c>
      <c r="D224" s="12" t="n">
        <v>51</v>
      </c>
      <c r="E224" s="13" t="n">
        <v>3759.88</v>
      </c>
      <c r="F224" s="13" t="n">
        <v>-17.5</v>
      </c>
      <c r="G224" s="13" t="n">
        <v>-420</v>
      </c>
      <c r="H224" s="14" t="n">
        <f aca="false">E224+F224+G224</f>
        <v>3322.38</v>
      </c>
      <c r="I224" s="15" t="n">
        <f aca="false">IF($H$1182=0,0,H224/$H$1182)</f>
        <v>0.000275220768744148</v>
      </c>
      <c r="J224" s="16" t="n">
        <f aca="false">IF(C224&lt;=0,0,H224/C224)</f>
        <v>36.1128260869565</v>
      </c>
    </row>
    <row r="225" customFormat="false" ht="15" hidden="false" customHeight="true" outlineLevel="0" collapsed="false">
      <c r="A225" s="5" t="n">
        <v>221</v>
      </c>
      <c r="B225" s="5" t="s">
        <v>232</v>
      </c>
      <c r="C225" s="6" t="n">
        <v>92</v>
      </c>
      <c r="D225" s="6" t="n">
        <v>29</v>
      </c>
      <c r="E225" s="7" t="n">
        <v>3315.65</v>
      </c>
      <c r="F225" s="7" t="n">
        <v>-32.5</v>
      </c>
      <c r="G225" s="7" t="n">
        <v>-350.66</v>
      </c>
      <c r="H225" s="8" t="n">
        <f aca="false">E225+F225+G225</f>
        <v>2932.49</v>
      </c>
      <c r="I225" s="9" t="n">
        <f aca="false">IF($H$1182=0,0,H225/$H$1182)</f>
        <v>0.000242922890257745</v>
      </c>
      <c r="J225" s="10" t="n">
        <f aca="false">IF(C225&lt;=0,0,H225/C225)</f>
        <v>31.8748913043478</v>
      </c>
    </row>
    <row r="226" customFormat="false" ht="15" hidden="false" customHeight="true" outlineLevel="0" collapsed="false">
      <c r="A226" s="11" t="n">
        <v>222</v>
      </c>
      <c r="B226" s="11" t="s">
        <v>233</v>
      </c>
      <c r="C226" s="12" t="n">
        <v>92</v>
      </c>
      <c r="D226" s="12" t="n">
        <v>78</v>
      </c>
      <c r="E226" s="13" t="n">
        <v>3372.81</v>
      </c>
      <c r="F226" s="13" t="n">
        <v>-23.24</v>
      </c>
      <c r="G226" s="13" t="n">
        <v>-527.53</v>
      </c>
      <c r="H226" s="14" t="n">
        <f aca="false">E226+F226+G226</f>
        <v>2822.04</v>
      </c>
      <c r="I226" s="15" t="n">
        <f aca="false">IF($H$1182=0,0,H226/$H$1182)</f>
        <v>0.000233773384810508</v>
      </c>
      <c r="J226" s="16" t="n">
        <f aca="false">IF(C226&lt;=0,0,H226/C226)</f>
        <v>30.674347826087</v>
      </c>
    </row>
    <row r="227" customFormat="false" ht="15" hidden="false" customHeight="true" outlineLevel="0" collapsed="false">
      <c r="A227" s="5" t="n">
        <v>223</v>
      </c>
      <c r="B227" s="5" t="s">
        <v>234</v>
      </c>
      <c r="C227" s="6" t="n">
        <v>92</v>
      </c>
      <c r="D227" s="6" t="n">
        <v>13</v>
      </c>
      <c r="E227" s="7" t="n">
        <v>1974.45</v>
      </c>
      <c r="F227" s="7" t="n">
        <v>-2.52</v>
      </c>
      <c r="G227" s="7" t="n">
        <v>-74.97</v>
      </c>
      <c r="H227" s="8" t="n">
        <f aca="false">E227+F227+G227</f>
        <v>1896.96</v>
      </c>
      <c r="I227" s="9" t="n">
        <f aca="false">IF($H$1182=0,0,H227/$H$1182)</f>
        <v>0.000157141202835588</v>
      </c>
      <c r="J227" s="10" t="n">
        <f aca="false">IF(C227&lt;=0,0,H227/C227)</f>
        <v>20.6191304347826</v>
      </c>
    </row>
    <row r="228" customFormat="false" ht="15" hidden="false" customHeight="true" outlineLevel="0" collapsed="false">
      <c r="A228" s="11" t="n">
        <v>224</v>
      </c>
      <c r="B228" s="11" t="s">
        <v>235</v>
      </c>
      <c r="C228" s="12" t="n">
        <v>92</v>
      </c>
      <c r="D228" s="12" t="n">
        <v>66</v>
      </c>
      <c r="E228" s="13" t="n">
        <v>1441.35</v>
      </c>
      <c r="F228" s="13" t="n">
        <v>-23.77</v>
      </c>
      <c r="G228" s="13" t="n">
        <v>-377.7</v>
      </c>
      <c r="H228" s="14" t="n">
        <f aca="false">E228+F228+G228</f>
        <v>1039.88</v>
      </c>
      <c r="I228" s="15" t="n">
        <f aca="false">IF($H$1182=0,0,H228/$H$1182)</f>
        <v>8.61420346262814E-005</v>
      </c>
      <c r="J228" s="16" t="n">
        <f aca="false">IF(C228&lt;=0,0,H228/C228)</f>
        <v>11.3030434782609</v>
      </c>
    </row>
    <row r="229" customFormat="false" ht="15" hidden="false" customHeight="true" outlineLevel="0" collapsed="false">
      <c r="A229" s="5" t="n">
        <v>225</v>
      </c>
      <c r="B229" s="5" t="s">
        <v>236</v>
      </c>
      <c r="C229" s="6" t="n">
        <v>91</v>
      </c>
      <c r="D229" s="6" t="n">
        <v>25</v>
      </c>
      <c r="E229" s="7" t="n">
        <v>6812.43</v>
      </c>
      <c r="F229" s="7" t="n">
        <v>-690.58</v>
      </c>
      <c r="G229" s="7" t="n">
        <v>-603.93</v>
      </c>
      <c r="H229" s="8" t="n">
        <f aca="false">E229+F229+G229</f>
        <v>5517.92</v>
      </c>
      <c r="I229" s="9" t="n">
        <f aca="false">IF($H$1182=0,0,H229/$H$1182)</f>
        <v>0.000457095872317047</v>
      </c>
      <c r="J229" s="10" t="n">
        <f aca="false">IF(C229&lt;=0,0,H229/C229)</f>
        <v>60.6364835164835</v>
      </c>
    </row>
    <row r="230" customFormat="false" ht="15" hidden="false" customHeight="true" outlineLevel="0" collapsed="false">
      <c r="A230" s="11" t="n">
        <v>226</v>
      </c>
      <c r="B230" s="11" t="s">
        <v>237</v>
      </c>
      <c r="C230" s="12" t="n">
        <v>91</v>
      </c>
      <c r="D230" s="12" t="n">
        <v>53</v>
      </c>
      <c r="E230" s="13" t="n">
        <v>3506.4</v>
      </c>
      <c r="F230" s="13" t="n">
        <v>-51.19</v>
      </c>
      <c r="G230" s="13" t="n">
        <v>-426.17</v>
      </c>
      <c r="H230" s="14" t="n">
        <f aca="false">E230+F230+G230</f>
        <v>3029.04</v>
      </c>
      <c r="I230" s="15" t="n">
        <f aca="false">IF($H$1182=0,0,H230/$H$1182)</f>
        <v>0.00025092094142054</v>
      </c>
      <c r="J230" s="16" t="n">
        <f aca="false">IF(C230&lt;=0,0,H230/C230)</f>
        <v>33.2861538461538</v>
      </c>
    </row>
    <row r="231" customFormat="false" ht="15" hidden="false" customHeight="true" outlineLevel="0" collapsed="false">
      <c r="A231" s="5" t="n">
        <v>227</v>
      </c>
      <c r="B231" s="5" t="s">
        <v>238</v>
      </c>
      <c r="C231" s="6" t="n">
        <v>91</v>
      </c>
      <c r="D231" s="6" t="n">
        <v>38</v>
      </c>
      <c r="E231" s="7" t="n">
        <v>879.29</v>
      </c>
      <c r="F231" s="7" t="n">
        <v>-17.01</v>
      </c>
      <c r="G231" s="7" t="n">
        <v>-80.86</v>
      </c>
      <c r="H231" s="8" t="n">
        <f aca="false">E231+F231+G231</f>
        <v>781.42</v>
      </c>
      <c r="I231" s="9" t="n">
        <f aca="false">IF($H$1182=0,0,H231/$H$1182)</f>
        <v>6.47316120106828E-005</v>
      </c>
      <c r="J231" s="10" t="n">
        <f aca="false">IF(C231&lt;=0,0,H231/C231)</f>
        <v>8.58703296703297</v>
      </c>
    </row>
    <row r="232" customFormat="false" ht="15" hidden="false" customHeight="true" outlineLevel="0" collapsed="false">
      <c r="A232" s="11" t="n">
        <v>228</v>
      </c>
      <c r="B232" s="11" t="s">
        <v>239</v>
      </c>
      <c r="C232" s="12" t="n">
        <v>89</v>
      </c>
      <c r="D232" s="12" t="n">
        <v>55</v>
      </c>
      <c r="E232" s="13" t="n">
        <v>23400.56</v>
      </c>
      <c r="F232" s="13" t="n">
        <v>-269.04</v>
      </c>
      <c r="G232" s="13" t="n">
        <v>-1663.12</v>
      </c>
      <c r="H232" s="14" t="n">
        <f aca="false">E232+F232+G232</f>
        <v>21468.4</v>
      </c>
      <c r="I232" s="15" t="n">
        <f aca="false">IF($H$1182=0,0,H232/$H$1182)</f>
        <v>0.00177840871655466</v>
      </c>
      <c r="J232" s="16" t="n">
        <f aca="false">IF(C232&lt;=0,0,H232/C232)</f>
        <v>241.21797752809</v>
      </c>
    </row>
    <row r="233" customFormat="false" ht="15" hidden="false" customHeight="true" outlineLevel="0" collapsed="false">
      <c r="A233" s="5" t="n">
        <v>229</v>
      </c>
      <c r="B233" s="5" t="s">
        <v>240</v>
      </c>
      <c r="C233" s="6" t="n">
        <v>89</v>
      </c>
      <c r="D233" s="6" t="n">
        <v>70</v>
      </c>
      <c r="E233" s="7" t="n">
        <v>22904.21</v>
      </c>
      <c r="F233" s="7" t="n">
        <v>-129.75</v>
      </c>
      <c r="G233" s="7" t="n">
        <v>-3985.54</v>
      </c>
      <c r="H233" s="8" t="n">
        <f aca="false">E233+F233+G233</f>
        <v>18788.92</v>
      </c>
      <c r="I233" s="9" t="n">
        <f aca="false">IF($H$1182=0,0,H233/$H$1182)</f>
        <v>0.00155644477942689</v>
      </c>
      <c r="J233" s="10" t="n">
        <f aca="false">IF(C233&lt;=0,0,H233/C233)</f>
        <v>211.111460674157</v>
      </c>
    </row>
    <row r="234" customFormat="false" ht="15" hidden="false" customHeight="true" outlineLevel="0" collapsed="false">
      <c r="A234" s="11" t="n">
        <v>230</v>
      </c>
      <c r="B234" s="11" t="s">
        <v>241</v>
      </c>
      <c r="C234" s="12" t="n">
        <v>89</v>
      </c>
      <c r="D234" s="12" t="n">
        <v>54</v>
      </c>
      <c r="E234" s="13" t="n">
        <v>3026.86</v>
      </c>
      <c r="F234" s="13" t="n">
        <v>-52.06</v>
      </c>
      <c r="G234" s="13" t="n">
        <v>-145.03</v>
      </c>
      <c r="H234" s="14" t="n">
        <f aca="false">E234+F234+G234</f>
        <v>2829.77</v>
      </c>
      <c r="I234" s="15" t="n">
        <f aca="false">IF($H$1182=0,0,H234/$H$1182)</f>
        <v>0.000234413725934158</v>
      </c>
      <c r="J234" s="16" t="n">
        <f aca="false">IF(C234&lt;=0,0,H234/C234)</f>
        <v>31.7951685393258</v>
      </c>
    </row>
    <row r="235" customFormat="false" ht="15" hidden="false" customHeight="true" outlineLevel="0" collapsed="false">
      <c r="A235" s="5" t="n">
        <v>231</v>
      </c>
      <c r="B235" s="5" t="s">
        <v>242</v>
      </c>
      <c r="C235" s="6" t="n">
        <v>89</v>
      </c>
      <c r="D235" s="6" t="n">
        <v>68</v>
      </c>
      <c r="E235" s="7" t="n">
        <v>1808</v>
      </c>
      <c r="F235" s="7" t="n">
        <v>-19.24</v>
      </c>
      <c r="G235" s="7" t="n">
        <v>-133.91</v>
      </c>
      <c r="H235" s="8" t="n">
        <f aca="false">E235+F235+G235</f>
        <v>1654.85</v>
      </c>
      <c r="I235" s="9" t="n">
        <f aca="false">IF($H$1182=0,0,H235/$H$1182)</f>
        <v>0.000137085188676868</v>
      </c>
      <c r="J235" s="10" t="n">
        <f aca="false">IF(C235&lt;=0,0,H235/C235)</f>
        <v>18.5938202247191</v>
      </c>
    </row>
    <row r="236" customFormat="false" ht="15" hidden="false" customHeight="true" outlineLevel="0" collapsed="false">
      <c r="A236" s="11" t="n">
        <v>232</v>
      </c>
      <c r="B236" s="11" t="s">
        <v>243</v>
      </c>
      <c r="C236" s="12" t="n">
        <v>89</v>
      </c>
      <c r="D236" s="12" t="n">
        <v>64</v>
      </c>
      <c r="E236" s="13" t="n">
        <v>1886.4</v>
      </c>
      <c r="F236" s="13" t="n">
        <v>-32.21</v>
      </c>
      <c r="G236" s="13" t="n">
        <v>-213.84</v>
      </c>
      <c r="H236" s="14" t="n">
        <f aca="false">E236+F236+G236</f>
        <v>1640.35</v>
      </c>
      <c r="I236" s="15" t="n">
        <f aca="false">IF($H$1182=0,0,H236/$H$1182)</f>
        <v>0.000135884031329789</v>
      </c>
      <c r="J236" s="16" t="n">
        <f aca="false">IF(C236&lt;=0,0,H236/C236)</f>
        <v>18.4308988764045</v>
      </c>
    </row>
    <row r="237" customFormat="false" ht="15" hidden="false" customHeight="true" outlineLevel="0" collapsed="false">
      <c r="A237" s="5" t="n">
        <v>233</v>
      </c>
      <c r="B237" s="5" t="s">
        <v>244</v>
      </c>
      <c r="C237" s="6" t="n">
        <v>88</v>
      </c>
      <c r="D237" s="6" t="n">
        <v>69</v>
      </c>
      <c r="E237" s="7" t="n">
        <v>16009.09</v>
      </c>
      <c r="F237" s="7" t="n">
        <v>-198.61</v>
      </c>
      <c r="G237" s="7" t="n">
        <v>-519.97</v>
      </c>
      <c r="H237" s="8" t="n">
        <f aca="false">E237+F237+G237</f>
        <v>15290.51</v>
      </c>
      <c r="I237" s="9" t="n">
        <f aca="false">IF($H$1182=0,0,H237/$H$1182)</f>
        <v>0.00126664196048919</v>
      </c>
      <c r="J237" s="10" t="n">
        <f aca="false">IF(C237&lt;=0,0,H237/C237)</f>
        <v>173.755795454545</v>
      </c>
    </row>
    <row r="238" customFormat="false" ht="15" hidden="false" customHeight="true" outlineLevel="0" collapsed="false">
      <c r="A238" s="11" t="n">
        <v>234</v>
      </c>
      <c r="B238" s="11" t="s">
        <v>245</v>
      </c>
      <c r="C238" s="12" t="n">
        <v>88</v>
      </c>
      <c r="D238" s="12" t="n">
        <v>48</v>
      </c>
      <c r="E238" s="13" t="n">
        <v>7285.94</v>
      </c>
      <c r="F238" s="13" t="n">
        <v>-31.19</v>
      </c>
      <c r="G238" s="13" t="n">
        <v>-237</v>
      </c>
      <c r="H238" s="14" t="n">
        <f aca="false">E238+F238+G238</f>
        <v>7017.75</v>
      </c>
      <c r="I238" s="15" t="n">
        <f aca="false">IF($H$1182=0,0,H238/$H$1182)</f>
        <v>0.000581339446377069</v>
      </c>
      <c r="J238" s="16" t="n">
        <f aca="false">IF(C238&lt;=0,0,H238/C238)</f>
        <v>79.7471590909091</v>
      </c>
    </row>
    <row r="239" customFormat="false" ht="15" hidden="false" customHeight="true" outlineLevel="0" collapsed="false">
      <c r="A239" s="5" t="n">
        <v>235</v>
      </c>
      <c r="B239" s="5" t="s">
        <v>246</v>
      </c>
      <c r="C239" s="6" t="n">
        <v>88</v>
      </c>
      <c r="D239" s="6" t="n">
        <v>49</v>
      </c>
      <c r="E239" s="7" t="n">
        <v>7760.3</v>
      </c>
      <c r="F239" s="7" t="n">
        <v>-154.86</v>
      </c>
      <c r="G239" s="7" t="n">
        <v>-646.12</v>
      </c>
      <c r="H239" s="8" t="n">
        <f aca="false">E239+F239+G239</f>
        <v>6959.32</v>
      </c>
      <c r="I239" s="9" t="n">
        <f aca="false">IF($H$1182=0,0,H239/$H$1182)</f>
        <v>0.000576499196460527</v>
      </c>
      <c r="J239" s="10" t="n">
        <f aca="false">IF(C239&lt;=0,0,H239/C239)</f>
        <v>79.0831818181818</v>
      </c>
    </row>
    <row r="240" customFormat="false" ht="15" hidden="false" customHeight="true" outlineLevel="0" collapsed="false">
      <c r="A240" s="11" t="n">
        <v>236</v>
      </c>
      <c r="B240" s="11" t="s">
        <v>247</v>
      </c>
      <c r="C240" s="12" t="n">
        <v>88</v>
      </c>
      <c r="D240" s="12" t="n">
        <v>51</v>
      </c>
      <c r="E240" s="13" t="n">
        <v>4893.49</v>
      </c>
      <c r="F240" s="13" t="n">
        <v>-92.63</v>
      </c>
      <c r="G240" s="13" t="n">
        <v>-270.9</v>
      </c>
      <c r="H240" s="14" t="n">
        <f aca="false">E240+F240+G240</f>
        <v>4529.96</v>
      </c>
      <c r="I240" s="15" t="n">
        <f aca="false">IF($H$1182=0,0,H240/$H$1182)</f>
        <v>0.000375254809377688</v>
      </c>
      <c r="J240" s="16" t="n">
        <f aca="false">IF(C240&lt;=0,0,H240/C240)</f>
        <v>51.4768181818182</v>
      </c>
    </row>
    <row r="241" customFormat="false" ht="15" hidden="false" customHeight="true" outlineLevel="0" collapsed="false">
      <c r="A241" s="5" t="n">
        <v>237</v>
      </c>
      <c r="B241" s="5" t="s">
        <v>248</v>
      </c>
      <c r="C241" s="6" t="n">
        <v>87</v>
      </c>
      <c r="D241" s="6" t="n">
        <v>69</v>
      </c>
      <c r="E241" s="7" t="n">
        <v>11708.65</v>
      </c>
      <c r="F241" s="7" t="n">
        <v>-64.08</v>
      </c>
      <c r="G241" s="7" t="n">
        <v>-774</v>
      </c>
      <c r="H241" s="8" t="n">
        <f aca="false">E241+F241+G241</f>
        <v>10870.57</v>
      </c>
      <c r="I241" s="9" t="n">
        <f aca="false">IF($H$1182=0,0,H241/$H$1182)</f>
        <v>0.000900501036030519</v>
      </c>
      <c r="J241" s="10" t="n">
        <f aca="false">IF(C241&lt;=0,0,H241/C241)</f>
        <v>124.94908045977</v>
      </c>
    </row>
    <row r="242" customFormat="false" ht="15" hidden="false" customHeight="true" outlineLevel="0" collapsed="false">
      <c r="A242" s="11" t="n">
        <v>238</v>
      </c>
      <c r="B242" s="11" t="s">
        <v>249</v>
      </c>
      <c r="C242" s="12" t="n">
        <v>87</v>
      </c>
      <c r="D242" s="12" t="n">
        <v>29</v>
      </c>
      <c r="E242" s="13" t="n">
        <v>3088.66</v>
      </c>
      <c r="F242" s="13" t="n">
        <v>-2.99</v>
      </c>
      <c r="G242" s="13" t="n">
        <v>-79.97</v>
      </c>
      <c r="H242" s="14" t="n">
        <f aca="false">E242+F242+G242</f>
        <v>3005.7</v>
      </c>
      <c r="I242" s="15" t="n">
        <f aca="false">IF($H$1182=0,0,H242/$H$1182)</f>
        <v>0.000248987492283931</v>
      </c>
      <c r="J242" s="16" t="n">
        <f aca="false">IF(C242&lt;=0,0,H242/C242)</f>
        <v>34.548275862069</v>
      </c>
    </row>
    <row r="243" customFormat="false" ht="15" hidden="false" customHeight="true" outlineLevel="0" collapsed="false">
      <c r="A243" s="5" t="n">
        <v>239</v>
      </c>
      <c r="B243" s="5" t="s">
        <v>250</v>
      </c>
      <c r="C243" s="6" t="n">
        <v>87</v>
      </c>
      <c r="D243" s="6" t="n">
        <v>36</v>
      </c>
      <c r="E243" s="7" t="n">
        <v>1075.8</v>
      </c>
      <c r="F243" s="7" t="n">
        <v>-6.89</v>
      </c>
      <c r="G243" s="7" t="n">
        <v>-165.6</v>
      </c>
      <c r="H243" s="8" t="n">
        <f aca="false">E243+F243+G243</f>
        <v>903.31</v>
      </c>
      <c r="I243" s="9" t="n">
        <f aca="false">IF($H$1182=0,0,H243/$H$1182)</f>
        <v>7.48287891855467E-005</v>
      </c>
      <c r="J243" s="10" t="n">
        <f aca="false">IF(C243&lt;=0,0,H243/C243)</f>
        <v>10.3828735632184</v>
      </c>
    </row>
    <row r="244" customFormat="false" ht="15" hidden="false" customHeight="true" outlineLevel="0" collapsed="false">
      <c r="A244" s="11" t="n">
        <v>240</v>
      </c>
      <c r="B244" s="11" t="s">
        <v>251</v>
      </c>
      <c r="C244" s="12" t="n">
        <v>86</v>
      </c>
      <c r="D244" s="12" t="n">
        <v>63</v>
      </c>
      <c r="E244" s="13" t="n">
        <v>18581.12</v>
      </c>
      <c r="F244" s="13" t="n">
        <v>-101.42</v>
      </c>
      <c r="G244" s="13" t="n">
        <v>-2886.4</v>
      </c>
      <c r="H244" s="14" t="n">
        <f aca="false">E244+F244+G244</f>
        <v>15593.3</v>
      </c>
      <c r="I244" s="15" t="n">
        <f aca="false">IF($H$1182=0,0,H244/$H$1182)</f>
        <v>0.00129172461104935</v>
      </c>
      <c r="J244" s="16" t="n">
        <f aca="false">IF(C244&lt;=0,0,H244/C244)</f>
        <v>181.317441860465</v>
      </c>
    </row>
    <row r="245" customFormat="false" ht="15" hidden="false" customHeight="true" outlineLevel="0" collapsed="false">
      <c r="A245" s="5" t="n">
        <v>241</v>
      </c>
      <c r="B245" s="5" t="s">
        <v>252</v>
      </c>
      <c r="C245" s="6" t="n">
        <v>86</v>
      </c>
      <c r="D245" s="6" t="n">
        <v>36</v>
      </c>
      <c r="E245" s="7" t="n">
        <v>7298.81</v>
      </c>
      <c r="F245" s="7" t="n">
        <v>-103.1</v>
      </c>
      <c r="G245" s="7" t="n">
        <v>-349.07</v>
      </c>
      <c r="H245" s="8" t="n">
        <f aca="false">E245+F245+G245</f>
        <v>6846.64</v>
      </c>
      <c r="I245" s="9" t="n">
        <f aca="false">IF($H$1182=0,0,H245/$H$1182)</f>
        <v>0.000567164961297153</v>
      </c>
      <c r="J245" s="10" t="n">
        <f aca="false">IF(C245&lt;=0,0,H245/C245)</f>
        <v>79.6120930232558</v>
      </c>
    </row>
    <row r="246" customFormat="false" ht="15" hidden="false" customHeight="true" outlineLevel="0" collapsed="false">
      <c r="A246" s="11" t="n">
        <v>242</v>
      </c>
      <c r="B246" s="11" t="s">
        <v>253</v>
      </c>
      <c r="C246" s="12" t="n">
        <v>86</v>
      </c>
      <c r="D246" s="12" t="n">
        <v>21</v>
      </c>
      <c r="E246" s="13" t="n">
        <v>7235.12</v>
      </c>
      <c r="F246" s="13" t="n">
        <v>-40.81</v>
      </c>
      <c r="G246" s="13" t="n">
        <v>-499.91</v>
      </c>
      <c r="H246" s="14" t="n">
        <f aca="false">E246+F246+G246</f>
        <v>6694.4</v>
      </c>
      <c r="I246" s="15" t="n">
        <f aca="false">IF($H$1182=0,0,H246/$H$1182)</f>
        <v>0.000554553637537195</v>
      </c>
      <c r="J246" s="16" t="n">
        <f aca="false">IF(C246&lt;=0,0,H246/C246)</f>
        <v>77.8418604651163</v>
      </c>
    </row>
    <row r="247" customFormat="false" ht="15" hidden="false" customHeight="true" outlineLevel="0" collapsed="false">
      <c r="A247" s="5" t="n">
        <v>243</v>
      </c>
      <c r="B247" s="5" t="s">
        <v>254</v>
      </c>
      <c r="C247" s="6" t="n">
        <v>86</v>
      </c>
      <c r="D247" s="6" t="n">
        <v>49</v>
      </c>
      <c r="E247" s="7" t="n">
        <v>3407.59</v>
      </c>
      <c r="F247" s="7" t="n">
        <v>-248.46</v>
      </c>
      <c r="G247" s="7" t="n">
        <v>-192.7</v>
      </c>
      <c r="H247" s="8" t="n">
        <f aca="false">E247+F247+G247</f>
        <v>2966.43</v>
      </c>
      <c r="I247" s="9" t="n">
        <f aca="false">IF($H$1182=0,0,H247/$H$1182)</f>
        <v>0.000245734426834289</v>
      </c>
      <c r="J247" s="10" t="n">
        <f aca="false">IF(C247&lt;=0,0,H247/C247)</f>
        <v>34.4933720930233</v>
      </c>
    </row>
    <row r="248" customFormat="false" ht="15" hidden="false" customHeight="true" outlineLevel="0" collapsed="false">
      <c r="A248" s="11" t="n">
        <v>244</v>
      </c>
      <c r="B248" s="11" t="s">
        <v>255</v>
      </c>
      <c r="C248" s="12" t="n">
        <v>85</v>
      </c>
      <c r="D248" s="12" t="n">
        <v>68</v>
      </c>
      <c r="E248" s="13" t="n">
        <v>20036.4</v>
      </c>
      <c r="F248" s="13" t="n">
        <v>-127.93</v>
      </c>
      <c r="G248" s="13" t="n">
        <v>-1099.35</v>
      </c>
      <c r="H248" s="14" t="n">
        <f aca="false">E248+F248+G248</f>
        <v>18809.12</v>
      </c>
      <c r="I248" s="15" t="n">
        <f aca="false">IF($H$1182=0,0,H248/$H$1182)</f>
        <v>0.00155811811586903</v>
      </c>
      <c r="J248" s="16" t="n">
        <f aca="false">IF(C248&lt;=0,0,H248/C248)</f>
        <v>221.283764705882</v>
      </c>
    </row>
    <row r="249" customFormat="false" ht="15" hidden="false" customHeight="true" outlineLevel="0" collapsed="false">
      <c r="A249" s="5" t="n">
        <v>245</v>
      </c>
      <c r="B249" s="5" t="s">
        <v>256</v>
      </c>
      <c r="C249" s="6" t="n">
        <v>84</v>
      </c>
      <c r="D249" s="6" t="n">
        <v>76</v>
      </c>
      <c r="E249" s="7" t="n">
        <v>23255.02</v>
      </c>
      <c r="F249" s="7" t="n">
        <v>-137.39</v>
      </c>
      <c r="G249" s="7" t="n">
        <v>-3389.71</v>
      </c>
      <c r="H249" s="8" t="n">
        <f aca="false">E249+F249+G249</f>
        <v>19727.92</v>
      </c>
      <c r="I249" s="9" t="n">
        <f aca="false">IF($H$1182=0,0,H249/$H$1182)</f>
        <v>0.001634230072455</v>
      </c>
      <c r="J249" s="10" t="n">
        <f aca="false">IF(C249&lt;=0,0,H249/C249)</f>
        <v>234.856190476191</v>
      </c>
    </row>
    <row r="250" customFormat="false" ht="15" hidden="false" customHeight="true" outlineLevel="0" collapsed="false">
      <c r="A250" s="11" t="n">
        <v>246</v>
      </c>
      <c r="B250" s="11" t="s">
        <v>257</v>
      </c>
      <c r="C250" s="12" t="n">
        <v>84</v>
      </c>
      <c r="D250" s="12" t="n">
        <v>35</v>
      </c>
      <c r="E250" s="13" t="n">
        <v>3504.57</v>
      </c>
      <c r="F250" s="13" t="n">
        <v>-18.5</v>
      </c>
      <c r="G250" s="13" t="n">
        <v>-179</v>
      </c>
      <c r="H250" s="14" t="n">
        <f aca="false">E250+F250+G250</f>
        <v>3307.07</v>
      </c>
      <c r="I250" s="15" t="n">
        <f aca="false">IF($H$1182=0,0,H250/$H$1182)</f>
        <v>0.000273952512262508</v>
      </c>
      <c r="J250" s="16" t="n">
        <f aca="false">IF(C250&lt;=0,0,H250/C250)</f>
        <v>39.369880952381</v>
      </c>
    </row>
    <row r="251" customFormat="false" ht="15" hidden="false" customHeight="true" outlineLevel="0" collapsed="false">
      <c r="A251" s="5" t="n">
        <v>247</v>
      </c>
      <c r="B251" s="5" t="s">
        <v>258</v>
      </c>
      <c r="C251" s="6" t="n">
        <v>84</v>
      </c>
      <c r="D251" s="6" t="n">
        <v>47</v>
      </c>
      <c r="E251" s="7" t="n">
        <v>713.02</v>
      </c>
      <c r="F251" s="7" t="n">
        <v>-9.62</v>
      </c>
      <c r="G251" s="7" t="n">
        <v>-124.66</v>
      </c>
      <c r="H251" s="8" t="n">
        <f aca="false">E251+F251+G251</f>
        <v>578.74</v>
      </c>
      <c r="I251" s="9" t="n">
        <f aca="false">IF($H$1182=0,0,H251/$H$1182)</f>
        <v>4.79419174516426E-005</v>
      </c>
      <c r="J251" s="10" t="n">
        <f aca="false">IF(C251&lt;=0,0,H251/C251)</f>
        <v>6.8897619047619</v>
      </c>
    </row>
    <row r="252" customFormat="false" ht="15" hidden="false" customHeight="true" outlineLevel="0" collapsed="false">
      <c r="A252" s="11" t="n">
        <v>248</v>
      </c>
      <c r="B252" s="11" t="s">
        <v>259</v>
      </c>
      <c r="C252" s="12" t="n">
        <v>83</v>
      </c>
      <c r="D252" s="12" t="n">
        <v>50</v>
      </c>
      <c r="E252" s="13" t="n">
        <v>18634.36</v>
      </c>
      <c r="F252" s="13" t="n">
        <v>-124.16</v>
      </c>
      <c r="G252" s="13" t="n">
        <v>-1615.88</v>
      </c>
      <c r="H252" s="14" t="n">
        <f aca="false">E252+F252+G252</f>
        <v>16894.32</v>
      </c>
      <c r="I252" s="15" t="n">
        <f aca="false">IF($H$1182=0,0,H252/$H$1182)</f>
        <v>0.00139949907530434</v>
      </c>
      <c r="J252" s="16" t="n">
        <f aca="false">IF(C252&lt;=0,0,H252/C252)</f>
        <v>203.546024096386</v>
      </c>
    </row>
    <row r="253" customFormat="false" ht="15" hidden="false" customHeight="true" outlineLevel="0" collapsed="false">
      <c r="A253" s="5" t="n">
        <v>249</v>
      </c>
      <c r="B253" s="5" t="s">
        <v>260</v>
      </c>
      <c r="C253" s="6" t="n">
        <v>83</v>
      </c>
      <c r="D253" s="6" t="n">
        <v>65</v>
      </c>
      <c r="E253" s="7" t="n">
        <v>11120.37</v>
      </c>
      <c r="F253" s="7" t="n">
        <v>-224.42</v>
      </c>
      <c r="G253" s="7" t="n">
        <v>0</v>
      </c>
      <c r="H253" s="8" t="n">
        <f aca="false">E253+F253+G253</f>
        <v>10895.95</v>
      </c>
      <c r="I253" s="9" t="n">
        <f aca="false">IF($H$1182=0,0,H253/$H$1182)</f>
        <v>0.000902603475580097</v>
      </c>
      <c r="J253" s="10" t="n">
        <f aca="false">IF(C253&lt;=0,0,H253/C253)</f>
        <v>131.276506024096</v>
      </c>
    </row>
    <row r="254" customFormat="false" ht="15" hidden="false" customHeight="true" outlineLevel="0" collapsed="false">
      <c r="A254" s="11" t="n">
        <v>250</v>
      </c>
      <c r="B254" s="11" t="s">
        <v>261</v>
      </c>
      <c r="C254" s="12" t="n">
        <v>83</v>
      </c>
      <c r="D254" s="12" t="n">
        <v>45</v>
      </c>
      <c r="E254" s="13" t="n">
        <v>2621.1</v>
      </c>
      <c r="F254" s="13" t="n">
        <v>-6.07</v>
      </c>
      <c r="G254" s="13" t="n">
        <v>-226.87</v>
      </c>
      <c r="H254" s="14" t="n">
        <f aca="false">E254+F254+G254</f>
        <v>2388.16</v>
      </c>
      <c r="I254" s="15" t="n">
        <f aca="false">IF($H$1182=0,0,H254/$H$1182)</f>
        <v>0.000197831443448379</v>
      </c>
      <c r="J254" s="16" t="n">
        <f aca="false">IF(C254&lt;=0,0,H254/C254)</f>
        <v>28.7730120481928</v>
      </c>
    </row>
    <row r="255" customFormat="false" ht="15" hidden="false" customHeight="true" outlineLevel="0" collapsed="false">
      <c r="A255" s="5" t="n">
        <v>251</v>
      </c>
      <c r="B255" s="5" t="s">
        <v>262</v>
      </c>
      <c r="C255" s="6" t="n">
        <v>83</v>
      </c>
      <c r="D255" s="6" t="n">
        <v>53</v>
      </c>
      <c r="E255" s="7" t="n">
        <v>2630.81</v>
      </c>
      <c r="F255" s="7" t="n">
        <v>-2.71</v>
      </c>
      <c r="G255" s="7" t="n">
        <v>-280.35</v>
      </c>
      <c r="H255" s="8" t="n">
        <f aca="false">E255+F255+G255</f>
        <v>2347.75</v>
      </c>
      <c r="I255" s="9" t="n">
        <f aca="false">IF($H$1182=0,0,H255/$H$1182)</f>
        <v>0.000194483942179725</v>
      </c>
      <c r="J255" s="10" t="n">
        <f aca="false">IF(C255&lt;=0,0,H255/C255)</f>
        <v>28.2861445783133</v>
      </c>
    </row>
    <row r="256" customFormat="false" ht="15" hidden="false" customHeight="true" outlineLevel="0" collapsed="false">
      <c r="A256" s="11" t="n">
        <v>252</v>
      </c>
      <c r="B256" s="11" t="s">
        <v>263</v>
      </c>
      <c r="C256" s="12" t="n">
        <v>83</v>
      </c>
      <c r="D256" s="12" t="n">
        <v>52</v>
      </c>
      <c r="E256" s="13" t="n">
        <v>2130.48</v>
      </c>
      <c r="F256" s="13" t="n">
        <v>-16.43</v>
      </c>
      <c r="G256" s="13" t="n">
        <v>-228.8</v>
      </c>
      <c r="H256" s="14" t="n">
        <f aca="false">E256+F256+G256</f>
        <v>1885.25</v>
      </c>
      <c r="I256" s="15" t="n">
        <f aca="false">IF($H$1182=0,0,H256/$H$1182)</f>
        <v>0.000156171164729774</v>
      </c>
      <c r="J256" s="16" t="n">
        <f aca="false">IF(C256&lt;=0,0,H256/C256)</f>
        <v>22.7138554216868</v>
      </c>
    </row>
    <row r="257" customFormat="false" ht="15" hidden="false" customHeight="true" outlineLevel="0" collapsed="false">
      <c r="A257" s="5" t="n">
        <v>253</v>
      </c>
      <c r="B257" s="5" t="s">
        <v>264</v>
      </c>
      <c r="C257" s="6" t="n">
        <v>82</v>
      </c>
      <c r="D257" s="6" t="n">
        <v>74</v>
      </c>
      <c r="E257" s="7" t="n">
        <v>17293.23</v>
      </c>
      <c r="F257" s="7" t="n">
        <v>-225.55</v>
      </c>
      <c r="G257" s="7" t="n">
        <v>-3107.64</v>
      </c>
      <c r="H257" s="8" t="n">
        <f aca="false">E257+F257+G257</f>
        <v>13960.04</v>
      </c>
      <c r="I257" s="9" t="n">
        <f aca="false">IF($H$1182=0,0,H257/$H$1182)</f>
        <v>0.00115642790424306</v>
      </c>
      <c r="J257" s="10" t="n">
        <f aca="false">IF(C257&lt;=0,0,H257/C257)</f>
        <v>170.244390243902</v>
      </c>
    </row>
    <row r="258" customFormat="false" ht="15" hidden="false" customHeight="true" outlineLevel="0" collapsed="false">
      <c r="A258" s="11" t="n">
        <v>254</v>
      </c>
      <c r="B258" s="11" t="s">
        <v>265</v>
      </c>
      <c r="C258" s="12" t="n">
        <v>82</v>
      </c>
      <c r="D258" s="12" t="n">
        <v>62</v>
      </c>
      <c r="E258" s="13" t="n">
        <v>2687.51</v>
      </c>
      <c r="F258" s="13" t="n">
        <v>-15.72</v>
      </c>
      <c r="G258" s="13" t="n">
        <v>-169.38</v>
      </c>
      <c r="H258" s="14" t="n">
        <f aca="false">E258+F258+G258</f>
        <v>2502.41</v>
      </c>
      <c r="I258" s="15" t="n">
        <f aca="false">IF($H$1182=0,0,H258/$H$1182)</f>
        <v>0.000207295734958988</v>
      </c>
      <c r="J258" s="16" t="n">
        <f aca="false">IF(C258&lt;=0,0,H258/C258)</f>
        <v>30.5171951219512</v>
      </c>
    </row>
    <row r="259" customFormat="false" ht="15" hidden="false" customHeight="true" outlineLevel="0" collapsed="false">
      <c r="A259" s="5" t="n">
        <v>255</v>
      </c>
      <c r="B259" s="5" t="s">
        <v>266</v>
      </c>
      <c r="C259" s="6" t="n">
        <v>82</v>
      </c>
      <c r="D259" s="6" t="n">
        <v>22</v>
      </c>
      <c r="E259" s="7" t="n">
        <v>1582.4</v>
      </c>
      <c r="F259" s="7" t="n">
        <v>-11.4</v>
      </c>
      <c r="G259" s="7" t="n">
        <v>-218.5</v>
      </c>
      <c r="H259" s="8" t="n">
        <f aca="false">E259+F259+G259</f>
        <v>1352.5</v>
      </c>
      <c r="I259" s="9" t="n">
        <f aca="false">IF($H$1182=0,0,H259/$H$1182)</f>
        <v>0.000112038987029316</v>
      </c>
      <c r="J259" s="10" t="n">
        <f aca="false">IF(C259&lt;=0,0,H259/C259)</f>
        <v>16.4939024390244</v>
      </c>
    </row>
    <row r="260" customFormat="false" ht="15" hidden="false" customHeight="true" outlineLevel="0" collapsed="false">
      <c r="A260" s="11" t="n">
        <v>256</v>
      </c>
      <c r="B260" s="11" t="s">
        <v>267</v>
      </c>
      <c r="C260" s="12" t="n">
        <v>82</v>
      </c>
      <c r="D260" s="12" t="n">
        <v>5</v>
      </c>
      <c r="E260" s="13" t="n">
        <v>820</v>
      </c>
      <c r="F260" s="13" t="n">
        <v>0</v>
      </c>
      <c r="G260" s="13" t="n">
        <v>0</v>
      </c>
      <c r="H260" s="14" t="n">
        <f aca="false">E260+F260+G260</f>
        <v>820</v>
      </c>
      <c r="I260" s="15" t="n">
        <f aca="false">IF($H$1182=0,0,H260/$H$1182)</f>
        <v>6.79275189382917E-005</v>
      </c>
      <c r="J260" s="16" t="n">
        <f aca="false">IF(C260&lt;=0,0,H260/C260)</f>
        <v>10</v>
      </c>
    </row>
    <row r="261" customFormat="false" ht="15" hidden="false" customHeight="true" outlineLevel="0" collapsed="false">
      <c r="A261" s="5" t="n">
        <v>257</v>
      </c>
      <c r="B261" s="5" t="s">
        <v>268</v>
      </c>
      <c r="C261" s="6" t="n">
        <v>81</v>
      </c>
      <c r="D261" s="6" t="n">
        <v>56</v>
      </c>
      <c r="E261" s="7" t="n">
        <v>21108.91</v>
      </c>
      <c r="F261" s="7" t="n">
        <v>-179</v>
      </c>
      <c r="G261" s="7" t="n">
        <v>-1020.53</v>
      </c>
      <c r="H261" s="8" t="n">
        <f aca="false">E261+F261+G261</f>
        <v>19909.38</v>
      </c>
      <c r="I261" s="9" t="n">
        <f aca="false">IF($H$1182=0,0,H261/$H$1182)</f>
        <v>0.00164926193536542</v>
      </c>
      <c r="J261" s="10" t="n">
        <f aca="false">IF(C261&lt;=0,0,H261/C261)</f>
        <v>245.794814814815</v>
      </c>
    </row>
    <row r="262" customFormat="false" ht="15" hidden="false" customHeight="true" outlineLevel="0" collapsed="false">
      <c r="A262" s="11" t="n">
        <v>258</v>
      </c>
      <c r="B262" s="11" t="s">
        <v>269</v>
      </c>
      <c r="C262" s="12" t="n">
        <v>81</v>
      </c>
      <c r="D262" s="12" t="n">
        <v>47</v>
      </c>
      <c r="E262" s="13" t="n">
        <v>2334.33</v>
      </c>
      <c r="F262" s="13" t="n">
        <v>-14.7</v>
      </c>
      <c r="G262" s="13" t="n">
        <v>-324.86</v>
      </c>
      <c r="H262" s="14" t="n">
        <f aca="false">E262+F262+G262</f>
        <v>1994.77</v>
      </c>
      <c r="I262" s="15" t="n">
        <f aca="false">IF($H$1182=0,0,H262/$H$1182)</f>
        <v>0.000165243630429922</v>
      </c>
      <c r="J262" s="16" t="n">
        <f aca="false">IF(C262&lt;=0,0,H262/C262)</f>
        <v>24.6267901234568</v>
      </c>
    </row>
    <row r="263" customFormat="false" ht="15" hidden="false" customHeight="true" outlineLevel="0" collapsed="false">
      <c r="A263" s="5" t="n">
        <v>259</v>
      </c>
      <c r="B263" s="5" t="s">
        <v>270</v>
      </c>
      <c r="C263" s="6" t="n">
        <v>80</v>
      </c>
      <c r="D263" s="6" t="n">
        <v>60</v>
      </c>
      <c r="E263" s="7" t="n">
        <v>31656.75</v>
      </c>
      <c r="F263" s="7" t="n">
        <v>-422.39</v>
      </c>
      <c r="G263" s="7" t="n">
        <v>0</v>
      </c>
      <c r="H263" s="8" t="n">
        <f aca="false">E263+F263+G263</f>
        <v>31234.36</v>
      </c>
      <c r="I263" s="9" t="n">
        <f aca="false">IF($H$1182=0,0,H263/$H$1182)</f>
        <v>0.00258740558588466</v>
      </c>
      <c r="J263" s="10" t="n">
        <f aca="false">IF(C263&lt;=0,0,H263/C263)</f>
        <v>390.4295</v>
      </c>
    </row>
    <row r="264" customFormat="false" ht="15" hidden="false" customHeight="true" outlineLevel="0" collapsed="false">
      <c r="A264" s="11" t="n">
        <v>260</v>
      </c>
      <c r="B264" s="11" t="s">
        <v>271</v>
      </c>
      <c r="C264" s="12" t="n">
        <v>80</v>
      </c>
      <c r="D264" s="12" t="n">
        <v>48</v>
      </c>
      <c r="E264" s="13" t="n">
        <v>9575.82</v>
      </c>
      <c r="F264" s="13" t="n">
        <v>-39.74</v>
      </c>
      <c r="G264" s="13" t="n">
        <v>-678.72</v>
      </c>
      <c r="H264" s="14" t="n">
        <f aca="false">E264+F264+G264</f>
        <v>8857.36</v>
      </c>
      <c r="I264" s="15" t="n">
        <f aca="false">IF($H$1182=0,0,H264/$H$1182)</f>
        <v>0.000733729864808863</v>
      </c>
      <c r="J264" s="16" t="n">
        <f aca="false">IF(C264&lt;=0,0,H264/C264)</f>
        <v>110.717</v>
      </c>
    </row>
    <row r="265" customFormat="false" ht="15" hidden="false" customHeight="true" outlineLevel="0" collapsed="false">
      <c r="A265" s="5" t="n">
        <v>261</v>
      </c>
      <c r="B265" s="5" t="s">
        <v>272</v>
      </c>
      <c r="C265" s="6" t="n">
        <v>80</v>
      </c>
      <c r="D265" s="6" t="n">
        <v>1</v>
      </c>
      <c r="E265" s="7" t="n">
        <v>1920</v>
      </c>
      <c r="F265" s="7" t="n">
        <v>0</v>
      </c>
      <c r="G265" s="7" t="n">
        <v>0</v>
      </c>
      <c r="H265" s="8" t="n">
        <f aca="false">E265+F265+G265</f>
        <v>1920</v>
      </c>
      <c r="I265" s="9" t="n">
        <f aca="false">IF($H$1182=0,0,H265/$H$1182)</f>
        <v>0.000159049800440878</v>
      </c>
      <c r="J265" s="10" t="n">
        <f aca="false">IF(C265&lt;=0,0,H265/C265)</f>
        <v>24</v>
      </c>
    </row>
    <row r="266" customFormat="false" ht="15" hidden="false" customHeight="true" outlineLevel="0" collapsed="false">
      <c r="A266" s="11" t="n">
        <v>262</v>
      </c>
      <c r="B266" s="11" t="s">
        <v>273</v>
      </c>
      <c r="C266" s="12" t="n">
        <v>79</v>
      </c>
      <c r="D266" s="12" t="n">
        <v>64</v>
      </c>
      <c r="E266" s="13" t="n">
        <v>43067.4</v>
      </c>
      <c r="F266" s="13" t="n">
        <v>-96.97</v>
      </c>
      <c r="G266" s="13" t="n">
        <v>-4104</v>
      </c>
      <c r="H266" s="14" t="n">
        <f aca="false">E266+F266+G266</f>
        <v>38866.43</v>
      </c>
      <c r="I266" s="15" t="n">
        <f aca="false">IF($H$1182=0,0,H266/$H$1182)</f>
        <v>0.00321963434132779</v>
      </c>
      <c r="J266" s="16" t="n">
        <f aca="false">IF(C266&lt;=0,0,H266/C266)</f>
        <v>491.980126582279</v>
      </c>
    </row>
    <row r="267" customFormat="false" ht="15" hidden="false" customHeight="true" outlineLevel="0" collapsed="false">
      <c r="A267" s="5" t="n">
        <v>263</v>
      </c>
      <c r="B267" s="5" t="s">
        <v>274</v>
      </c>
      <c r="C267" s="6" t="n">
        <v>79</v>
      </c>
      <c r="D267" s="6" t="n">
        <v>58</v>
      </c>
      <c r="E267" s="7" t="n">
        <v>33389.64</v>
      </c>
      <c r="F267" s="7" t="n">
        <v>-159.09</v>
      </c>
      <c r="G267" s="7" t="n">
        <v>-3341.58</v>
      </c>
      <c r="H267" s="8" t="n">
        <f aca="false">E267+F267+G267</f>
        <v>29888.97</v>
      </c>
      <c r="I267" s="9" t="n">
        <f aca="false">IF($H$1182=0,0,H267/$H$1182)</f>
        <v>0.0024759555801476</v>
      </c>
      <c r="J267" s="10" t="n">
        <f aca="false">IF(C267&lt;=0,0,H267/C267)</f>
        <v>378.341392405063</v>
      </c>
    </row>
    <row r="268" customFormat="false" ht="15" hidden="false" customHeight="true" outlineLevel="0" collapsed="false">
      <c r="A268" s="11" t="n">
        <v>264</v>
      </c>
      <c r="B268" s="11" t="s">
        <v>275</v>
      </c>
      <c r="C268" s="12" t="n">
        <v>79</v>
      </c>
      <c r="D268" s="12" t="n">
        <v>49</v>
      </c>
      <c r="E268" s="13" t="n">
        <v>3203.83</v>
      </c>
      <c r="F268" s="13" t="n">
        <v>-12.76</v>
      </c>
      <c r="G268" s="13" t="n">
        <v>-254.99</v>
      </c>
      <c r="H268" s="14" t="n">
        <f aca="false">E268+F268+G268</f>
        <v>2936.08</v>
      </c>
      <c r="I268" s="15" t="n">
        <f aca="false">IF($H$1182=0,0,H268/$H$1182)</f>
        <v>0.000243220280249194</v>
      </c>
      <c r="J268" s="16" t="n">
        <f aca="false">IF(C268&lt;=0,0,H268/C268)</f>
        <v>37.1655696202532</v>
      </c>
    </row>
    <row r="269" customFormat="false" ht="15" hidden="false" customHeight="true" outlineLevel="0" collapsed="false">
      <c r="A269" s="5" t="n">
        <v>265</v>
      </c>
      <c r="B269" s="5" t="s">
        <v>276</v>
      </c>
      <c r="C269" s="6" t="n">
        <v>78</v>
      </c>
      <c r="D269" s="6" t="n">
        <v>65</v>
      </c>
      <c r="E269" s="7" t="n">
        <v>126274</v>
      </c>
      <c r="F269" s="7" t="n">
        <v>-527.55</v>
      </c>
      <c r="G269" s="7" t="n">
        <v>-16645</v>
      </c>
      <c r="H269" s="8" t="n">
        <f aca="false">E269+F269+G269</f>
        <v>109101.45</v>
      </c>
      <c r="I269" s="9" t="n">
        <f aca="false">IF($H$1182=0,0,H269/$H$1182)</f>
        <v>0.00903779367203669</v>
      </c>
      <c r="J269" s="10" t="n">
        <f aca="false">IF(C269&lt;=0,0,H269/C269)</f>
        <v>1398.73653846154</v>
      </c>
    </row>
    <row r="270" customFormat="false" ht="15" hidden="false" customHeight="true" outlineLevel="0" collapsed="false">
      <c r="A270" s="11" t="n">
        <v>266</v>
      </c>
      <c r="B270" s="11" t="s">
        <v>277</v>
      </c>
      <c r="C270" s="12" t="n">
        <v>77</v>
      </c>
      <c r="D270" s="12" t="n">
        <v>36</v>
      </c>
      <c r="E270" s="13" t="n">
        <v>4494.28</v>
      </c>
      <c r="F270" s="13" t="n">
        <v>-25.79</v>
      </c>
      <c r="G270" s="13" t="n">
        <v>-383.98</v>
      </c>
      <c r="H270" s="14" t="n">
        <f aca="false">E270+F270+G270</f>
        <v>4084.51</v>
      </c>
      <c r="I270" s="15" t="n">
        <f aca="false">IF($H$1182=0,0,H270/$H$1182)</f>
        <v>0.000338354427291027</v>
      </c>
      <c r="J270" s="16" t="n">
        <f aca="false">IF(C270&lt;=0,0,H270/C270)</f>
        <v>53.0455844155844</v>
      </c>
    </row>
    <row r="271" customFormat="false" ht="15" hidden="false" customHeight="true" outlineLevel="0" collapsed="false">
      <c r="A271" s="5" t="n">
        <v>267</v>
      </c>
      <c r="B271" s="5" t="s">
        <v>278</v>
      </c>
      <c r="C271" s="6" t="n">
        <v>77</v>
      </c>
      <c r="D271" s="6" t="n">
        <v>33</v>
      </c>
      <c r="E271" s="7" t="n">
        <v>976.15</v>
      </c>
      <c r="F271" s="7" t="n">
        <v>-3.76</v>
      </c>
      <c r="G271" s="7" t="n">
        <v>-193.08</v>
      </c>
      <c r="H271" s="8" t="n">
        <f aca="false">E271+F271+G271</f>
        <v>779.31</v>
      </c>
      <c r="I271" s="9" t="n">
        <f aca="false">IF($H$1182=0,0,H271/$H$1182)</f>
        <v>6.45568229070733E-005</v>
      </c>
      <c r="J271" s="10" t="n">
        <f aca="false">IF(C271&lt;=0,0,H271/C271)</f>
        <v>10.1209090909091</v>
      </c>
    </row>
    <row r="272" customFormat="false" ht="15" hidden="false" customHeight="true" outlineLevel="0" collapsed="false">
      <c r="A272" s="11" t="n">
        <v>268</v>
      </c>
      <c r="B272" s="11" t="s">
        <v>279</v>
      </c>
      <c r="C272" s="12" t="n">
        <v>76</v>
      </c>
      <c r="D272" s="12" t="n">
        <v>30</v>
      </c>
      <c r="E272" s="13" t="n">
        <v>14065</v>
      </c>
      <c r="F272" s="13" t="n">
        <v>-344.73</v>
      </c>
      <c r="G272" s="13" t="n">
        <v>-599.4</v>
      </c>
      <c r="H272" s="14" t="n">
        <f aca="false">E272+F272+G272</f>
        <v>13120.87</v>
      </c>
      <c r="I272" s="15" t="n">
        <f aca="false">IF($H$1182=0,0,H272/$H$1182)</f>
        <v>0.00108691237245349</v>
      </c>
      <c r="J272" s="16" t="n">
        <f aca="false">IF(C272&lt;=0,0,H272/C272)</f>
        <v>172.643026315789</v>
      </c>
    </row>
    <row r="273" customFormat="false" ht="15" hidden="false" customHeight="true" outlineLevel="0" collapsed="false">
      <c r="A273" s="5" t="n">
        <v>269</v>
      </c>
      <c r="B273" s="5" t="s">
        <v>280</v>
      </c>
      <c r="C273" s="6" t="n">
        <v>76</v>
      </c>
      <c r="D273" s="6" t="n">
        <v>57</v>
      </c>
      <c r="E273" s="7" t="n">
        <v>4290.38</v>
      </c>
      <c r="F273" s="7" t="n">
        <v>-13.24</v>
      </c>
      <c r="G273" s="7" t="n">
        <v>-681.39</v>
      </c>
      <c r="H273" s="8" t="n">
        <f aca="false">E273+F273+G273</f>
        <v>3595.75</v>
      </c>
      <c r="I273" s="9" t="n">
        <f aca="false">IF($H$1182=0,0,H273/$H$1182)</f>
        <v>0.000297866312466296</v>
      </c>
      <c r="J273" s="10" t="n">
        <f aca="false">IF(C273&lt;=0,0,H273/C273)</f>
        <v>47.3125</v>
      </c>
    </row>
    <row r="274" customFormat="false" ht="15" hidden="false" customHeight="true" outlineLevel="0" collapsed="false">
      <c r="A274" s="11" t="n">
        <v>270</v>
      </c>
      <c r="B274" s="11" t="s">
        <v>281</v>
      </c>
      <c r="C274" s="12" t="n">
        <v>76</v>
      </c>
      <c r="D274" s="12" t="n">
        <v>49</v>
      </c>
      <c r="E274" s="13" t="n">
        <v>1552</v>
      </c>
      <c r="F274" s="13" t="n">
        <v>-22.4</v>
      </c>
      <c r="G274" s="13" t="n">
        <v>-108</v>
      </c>
      <c r="H274" s="14" t="n">
        <f aca="false">E274+F274+G274</f>
        <v>1421.6</v>
      </c>
      <c r="I274" s="15" t="n">
        <f aca="false">IF($H$1182=0,0,H274/$H$1182)</f>
        <v>0.000117763123076433</v>
      </c>
      <c r="J274" s="16" t="n">
        <f aca="false">IF(C274&lt;=0,0,H274/C274)</f>
        <v>18.7052631578947</v>
      </c>
    </row>
    <row r="275" customFormat="false" ht="15" hidden="false" customHeight="true" outlineLevel="0" collapsed="false">
      <c r="A275" s="5" t="n">
        <v>271</v>
      </c>
      <c r="B275" s="5" t="s">
        <v>282</v>
      </c>
      <c r="C275" s="6" t="n">
        <v>75</v>
      </c>
      <c r="D275" s="6" t="n">
        <v>34</v>
      </c>
      <c r="E275" s="7" t="n">
        <v>15490</v>
      </c>
      <c r="F275" s="7" t="n">
        <v>-29.64</v>
      </c>
      <c r="G275" s="7" t="n">
        <v>-1944.54</v>
      </c>
      <c r="H275" s="8" t="n">
        <f aca="false">E275+F275+G275</f>
        <v>13515.82</v>
      </c>
      <c r="I275" s="9" t="n">
        <f aca="false">IF($H$1182=0,0,H275/$H$1182)</f>
        <v>0.00111962941343481</v>
      </c>
      <c r="J275" s="10" t="n">
        <f aca="false">IF(C275&lt;=0,0,H275/C275)</f>
        <v>180.210933333333</v>
      </c>
    </row>
    <row r="276" customFormat="false" ht="15" hidden="false" customHeight="true" outlineLevel="0" collapsed="false">
      <c r="A276" s="11" t="n">
        <v>272</v>
      </c>
      <c r="B276" s="11" t="s">
        <v>283</v>
      </c>
      <c r="C276" s="12" t="n">
        <v>75</v>
      </c>
      <c r="D276" s="12" t="n">
        <v>18</v>
      </c>
      <c r="E276" s="13" t="n">
        <v>5316.99</v>
      </c>
      <c r="F276" s="13" t="n">
        <v>-526.84</v>
      </c>
      <c r="G276" s="13" t="n">
        <v>-895.92</v>
      </c>
      <c r="H276" s="14" t="n">
        <f aca="false">E276+F276+G276</f>
        <v>3894.23</v>
      </c>
      <c r="I276" s="15" t="n">
        <f aca="false">IF($H$1182=0,0,H276/$H$1182)</f>
        <v>0.000322591929359834</v>
      </c>
      <c r="J276" s="16" t="n">
        <f aca="false">IF(C276&lt;=0,0,H276/C276)</f>
        <v>51.9230666666667</v>
      </c>
    </row>
    <row r="277" customFormat="false" ht="15" hidden="false" customHeight="true" outlineLevel="0" collapsed="false">
      <c r="A277" s="5" t="n">
        <v>273</v>
      </c>
      <c r="B277" s="5" t="s">
        <v>284</v>
      </c>
      <c r="C277" s="6" t="n">
        <v>75</v>
      </c>
      <c r="D277" s="6" t="n">
        <v>32</v>
      </c>
      <c r="E277" s="7" t="n">
        <v>3371.8</v>
      </c>
      <c r="F277" s="7" t="n">
        <v>-39.08</v>
      </c>
      <c r="G277" s="7" t="n">
        <v>-78</v>
      </c>
      <c r="H277" s="8" t="n">
        <f aca="false">E277+F277+G277</f>
        <v>3254.72</v>
      </c>
      <c r="I277" s="9" t="n">
        <f aca="false">IF($H$1182=0,0,H277/$H$1182)</f>
        <v>0.000269615920047362</v>
      </c>
      <c r="J277" s="10" t="n">
        <f aca="false">IF(C277&lt;=0,0,H277/C277)</f>
        <v>43.3962666666667</v>
      </c>
    </row>
    <row r="278" customFormat="false" ht="15" hidden="false" customHeight="true" outlineLevel="0" collapsed="false">
      <c r="A278" s="11" t="n">
        <v>274</v>
      </c>
      <c r="B278" s="11" t="s">
        <v>285</v>
      </c>
      <c r="C278" s="12" t="n">
        <v>75</v>
      </c>
      <c r="D278" s="12" t="n">
        <v>50</v>
      </c>
      <c r="E278" s="13" t="n">
        <v>1577</v>
      </c>
      <c r="F278" s="13" t="n">
        <v>-17.12</v>
      </c>
      <c r="G278" s="13" t="n">
        <v>-152</v>
      </c>
      <c r="H278" s="14" t="n">
        <f aca="false">E278+F278+G278</f>
        <v>1407.88</v>
      </c>
      <c r="I278" s="15" t="n">
        <f aca="false">IF($H$1182=0,0,H278/$H$1182)</f>
        <v>0.000116626579710783</v>
      </c>
      <c r="J278" s="16" t="n">
        <f aca="false">IF(C278&lt;=0,0,H278/C278)</f>
        <v>18.7717333333333</v>
      </c>
    </row>
    <row r="279" customFormat="false" ht="15" hidden="false" customHeight="true" outlineLevel="0" collapsed="false">
      <c r="A279" s="5" t="n">
        <v>275</v>
      </c>
      <c r="B279" s="5" t="s">
        <v>286</v>
      </c>
      <c r="C279" s="6" t="n">
        <v>74</v>
      </c>
      <c r="D279" s="6" t="n">
        <v>52</v>
      </c>
      <c r="E279" s="7" t="n">
        <v>3291.75</v>
      </c>
      <c r="F279" s="7" t="n">
        <v>-65.7</v>
      </c>
      <c r="G279" s="7" t="n">
        <v>-669.2</v>
      </c>
      <c r="H279" s="8" t="n">
        <f aca="false">E279+F279+G279</f>
        <v>2556.85</v>
      </c>
      <c r="I279" s="9" t="n">
        <f aca="false">IF($H$1182=0,0,H279/$H$1182)</f>
        <v>0.000211805459508989</v>
      </c>
      <c r="J279" s="10" t="n">
        <f aca="false">IF(C279&lt;=0,0,H279/C279)</f>
        <v>34.552027027027</v>
      </c>
    </row>
    <row r="280" customFormat="false" ht="15" hidden="false" customHeight="true" outlineLevel="0" collapsed="false">
      <c r="A280" s="11" t="n">
        <v>276</v>
      </c>
      <c r="B280" s="11" t="s">
        <v>287</v>
      </c>
      <c r="C280" s="12" t="n">
        <v>74</v>
      </c>
      <c r="D280" s="12" t="n">
        <v>43</v>
      </c>
      <c r="E280" s="13" t="n">
        <v>944.43</v>
      </c>
      <c r="F280" s="13" t="n">
        <v>-1.66</v>
      </c>
      <c r="G280" s="13" t="n">
        <v>-116.9</v>
      </c>
      <c r="H280" s="14" t="n">
        <f aca="false">E280+F280+G280</f>
        <v>825.87</v>
      </c>
      <c r="I280" s="15" t="n">
        <f aca="false">IF($H$1182=0,0,H280/$H$1182)</f>
        <v>6.84137805677646E-005</v>
      </c>
      <c r="J280" s="16" t="n">
        <f aca="false">IF(C280&lt;=0,0,H280/C280)</f>
        <v>11.1604054054054</v>
      </c>
    </row>
    <row r="281" customFormat="false" ht="15" hidden="false" customHeight="true" outlineLevel="0" collapsed="false">
      <c r="A281" s="5" t="n">
        <v>277</v>
      </c>
      <c r="B281" s="5" t="s">
        <v>288</v>
      </c>
      <c r="C281" s="6" t="n">
        <v>73</v>
      </c>
      <c r="D281" s="6" t="n">
        <v>25</v>
      </c>
      <c r="E281" s="7" t="n">
        <v>11585.31</v>
      </c>
      <c r="F281" s="7" t="n">
        <v>-90.57</v>
      </c>
      <c r="G281" s="7" t="n">
        <v>0</v>
      </c>
      <c r="H281" s="8" t="n">
        <f aca="false">E281+F281+G281</f>
        <v>11494.74</v>
      </c>
      <c r="I281" s="9" t="n">
        <f aca="false">IF($H$1182=0,0,H281/$H$1182)</f>
        <v>0.000952206303708218</v>
      </c>
      <c r="J281" s="10" t="n">
        <f aca="false">IF(C281&lt;=0,0,H281/C281)</f>
        <v>157.462191780822</v>
      </c>
    </row>
    <row r="282" customFormat="false" ht="15" hidden="false" customHeight="true" outlineLevel="0" collapsed="false">
      <c r="A282" s="11" t="n">
        <v>278</v>
      </c>
      <c r="B282" s="11" t="s">
        <v>289</v>
      </c>
      <c r="C282" s="12" t="n">
        <v>73</v>
      </c>
      <c r="D282" s="12" t="n">
        <v>41</v>
      </c>
      <c r="E282" s="13" t="n">
        <v>6028.82</v>
      </c>
      <c r="F282" s="13" t="n">
        <v>-12.44</v>
      </c>
      <c r="G282" s="13" t="n">
        <v>-1633.71</v>
      </c>
      <c r="H282" s="14" t="n">
        <f aca="false">E282+F282+G282</f>
        <v>4382.67</v>
      </c>
      <c r="I282" s="15" t="n">
        <f aca="false">IF($H$1182=0,0,H282/$H$1182)</f>
        <v>0.000363053535884491</v>
      </c>
      <c r="J282" s="16" t="n">
        <f aca="false">IF(C282&lt;=0,0,H282/C282)</f>
        <v>60.0365753424658</v>
      </c>
    </row>
    <row r="283" customFormat="false" ht="15" hidden="false" customHeight="true" outlineLevel="0" collapsed="false">
      <c r="A283" s="5" t="n">
        <v>279</v>
      </c>
      <c r="B283" s="5" t="s">
        <v>290</v>
      </c>
      <c r="C283" s="6" t="n">
        <v>73</v>
      </c>
      <c r="D283" s="6" t="n">
        <v>50</v>
      </c>
      <c r="E283" s="7" t="n">
        <v>1923.72</v>
      </c>
      <c r="F283" s="7" t="n">
        <v>-35.73</v>
      </c>
      <c r="G283" s="7" t="n">
        <v>-187.43</v>
      </c>
      <c r="H283" s="8" t="n">
        <f aca="false">E283+F283+G283</f>
        <v>1700.56</v>
      </c>
      <c r="I283" s="9" t="n">
        <f aca="false">IF($H$1182=0,0,H283/$H$1182)</f>
        <v>0.000140871733665489</v>
      </c>
      <c r="J283" s="10" t="n">
        <f aca="false">IF(C283&lt;=0,0,H283/C283)</f>
        <v>23.2953424657534</v>
      </c>
    </row>
    <row r="284" customFormat="false" ht="15" hidden="false" customHeight="true" outlineLevel="0" collapsed="false">
      <c r="A284" s="11" t="n">
        <v>280</v>
      </c>
      <c r="B284" s="11" t="s">
        <v>291</v>
      </c>
      <c r="C284" s="12" t="n">
        <v>72</v>
      </c>
      <c r="D284" s="12" t="n">
        <v>35</v>
      </c>
      <c r="E284" s="13" t="n">
        <v>928.12</v>
      </c>
      <c r="F284" s="13" t="n">
        <v>-11.19</v>
      </c>
      <c r="G284" s="13" t="n">
        <v>-56.19</v>
      </c>
      <c r="H284" s="14" t="n">
        <f aca="false">E284+F284+G284</f>
        <v>860.74</v>
      </c>
      <c r="I284" s="15" t="n">
        <f aca="false">IF($H$1182=0,0,H284/$H$1182)</f>
        <v>7.13023568913966E-005</v>
      </c>
      <c r="J284" s="16" t="n">
        <f aca="false">IF(C284&lt;=0,0,H284/C284)</f>
        <v>11.9547222222222</v>
      </c>
    </row>
    <row r="285" customFormat="false" ht="15" hidden="false" customHeight="true" outlineLevel="0" collapsed="false">
      <c r="A285" s="5" t="n">
        <v>281</v>
      </c>
      <c r="B285" s="5" t="s">
        <v>292</v>
      </c>
      <c r="C285" s="6" t="n">
        <v>71</v>
      </c>
      <c r="D285" s="6" t="n">
        <v>62</v>
      </c>
      <c r="E285" s="7" t="n">
        <v>31347.35</v>
      </c>
      <c r="F285" s="7" t="n">
        <v>-278.14</v>
      </c>
      <c r="G285" s="7" t="n">
        <v>-2066.17</v>
      </c>
      <c r="H285" s="8" t="n">
        <f aca="false">E285+F285+G285</f>
        <v>29003.04</v>
      </c>
      <c r="I285" s="9" t="n">
        <f aca="false">IF($H$1182=0,0,H285/$H$1182)</f>
        <v>0.00240256652300979</v>
      </c>
      <c r="J285" s="10" t="n">
        <f aca="false">IF(C285&lt;=0,0,H285/C285)</f>
        <v>408.493521126761</v>
      </c>
    </row>
    <row r="286" customFormat="false" ht="15" hidden="false" customHeight="true" outlineLevel="0" collapsed="false">
      <c r="A286" s="11" t="n">
        <v>282</v>
      </c>
      <c r="B286" s="11" t="s">
        <v>293</v>
      </c>
      <c r="C286" s="12" t="n">
        <v>71</v>
      </c>
      <c r="D286" s="12" t="n">
        <v>42</v>
      </c>
      <c r="E286" s="13" t="n">
        <v>12341.51</v>
      </c>
      <c r="F286" s="13" t="n">
        <v>-13.08</v>
      </c>
      <c r="G286" s="13" t="n">
        <v>-848.24</v>
      </c>
      <c r="H286" s="14" t="n">
        <f aca="false">E286+F286+G286</f>
        <v>11480.19</v>
      </c>
      <c r="I286" s="15" t="n">
        <f aca="false">IF($H$1182=0,0,H286/$H$1182)</f>
        <v>0.000951001004439252</v>
      </c>
      <c r="J286" s="16" t="n">
        <f aca="false">IF(C286&lt;=0,0,H286/C286)</f>
        <v>161.692816901408</v>
      </c>
    </row>
    <row r="287" customFormat="false" ht="15" hidden="false" customHeight="true" outlineLevel="0" collapsed="false">
      <c r="A287" s="5" t="n">
        <v>283</v>
      </c>
      <c r="B287" s="5" t="s">
        <v>294</v>
      </c>
      <c r="C287" s="6" t="n">
        <v>70</v>
      </c>
      <c r="D287" s="6" t="n">
        <v>59</v>
      </c>
      <c r="E287" s="7" t="n">
        <v>18275.63</v>
      </c>
      <c r="F287" s="7" t="n">
        <v>-284.27</v>
      </c>
      <c r="G287" s="7" t="n">
        <v>-963.99</v>
      </c>
      <c r="H287" s="8" t="n">
        <f aca="false">E287+F287+G287</f>
        <v>17027.37</v>
      </c>
      <c r="I287" s="9" t="n">
        <f aca="false">IF($H$1182=0,0,H287/$H$1182)</f>
        <v>0.00141052072944427</v>
      </c>
      <c r="J287" s="10" t="n">
        <f aca="false">IF(C287&lt;=0,0,H287/C287)</f>
        <v>243.248142857143</v>
      </c>
    </row>
    <row r="288" customFormat="false" ht="15" hidden="false" customHeight="true" outlineLevel="0" collapsed="false">
      <c r="A288" s="11" t="n">
        <v>284</v>
      </c>
      <c r="B288" s="11" t="s">
        <v>295</v>
      </c>
      <c r="C288" s="12" t="n">
        <v>70</v>
      </c>
      <c r="D288" s="12" t="n">
        <v>62</v>
      </c>
      <c r="E288" s="13" t="n">
        <v>15552.24</v>
      </c>
      <c r="F288" s="13" t="n">
        <v>-365.1</v>
      </c>
      <c r="G288" s="13" t="n">
        <v>-3622.85</v>
      </c>
      <c r="H288" s="14" t="n">
        <f aca="false">E288+F288+G288</f>
        <v>11564.29</v>
      </c>
      <c r="I288" s="15" t="n">
        <f aca="false">IF($H$1182=0,0,H288/$H$1182)</f>
        <v>0.000957967717052314</v>
      </c>
      <c r="J288" s="16" t="n">
        <f aca="false">IF(C288&lt;=0,0,H288/C288)</f>
        <v>165.204142857143</v>
      </c>
    </row>
    <row r="289" customFormat="false" ht="15" hidden="false" customHeight="true" outlineLevel="0" collapsed="false">
      <c r="A289" s="5" t="n">
        <v>285</v>
      </c>
      <c r="B289" s="5" t="s">
        <v>296</v>
      </c>
      <c r="C289" s="6" t="n">
        <v>70</v>
      </c>
      <c r="D289" s="6" t="n">
        <v>44</v>
      </c>
      <c r="E289" s="7" t="n">
        <v>1663.35</v>
      </c>
      <c r="F289" s="7" t="n">
        <v>-2.5</v>
      </c>
      <c r="G289" s="7" t="n">
        <v>-291.4</v>
      </c>
      <c r="H289" s="8" t="n">
        <f aca="false">E289+F289+G289</f>
        <v>1369.45</v>
      </c>
      <c r="I289" s="9" t="n">
        <f aca="false">IF($H$1182=0,0,H289/$H$1182)</f>
        <v>0.000113443098548834</v>
      </c>
      <c r="J289" s="10" t="n">
        <f aca="false">IF(C289&lt;=0,0,H289/C289)</f>
        <v>19.5635714285714</v>
      </c>
    </row>
    <row r="290" customFormat="false" ht="15" hidden="false" customHeight="true" outlineLevel="0" collapsed="false">
      <c r="A290" s="11" t="n">
        <v>286</v>
      </c>
      <c r="B290" s="11" t="s">
        <v>297</v>
      </c>
      <c r="C290" s="12" t="n">
        <v>70</v>
      </c>
      <c r="D290" s="12" t="n">
        <v>29</v>
      </c>
      <c r="E290" s="13" t="n">
        <v>1135</v>
      </c>
      <c r="F290" s="13" t="n">
        <v>-5.85</v>
      </c>
      <c r="G290" s="13" t="n">
        <v>-166.35</v>
      </c>
      <c r="H290" s="14" t="n">
        <f aca="false">E290+F290+G290</f>
        <v>962.8</v>
      </c>
      <c r="I290" s="15" t="n">
        <f aca="false">IF($H$1182=0,0,H290/$H$1182)</f>
        <v>7.9756847846082E-005</v>
      </c>
      <c r="J290" s="16" t="n">
        <f aca="false">IF(C290&lt;=0,0,H290/C290)</f>
        <v>13.7542857142857</v>
      </c>
    </row>
    <row r="291" customFormat="false" ht="15" hidden="false" customHeight="true" outlineLevel="0" collapsed="false">
      <c r="A291" s="5" t="n">
        <v>287</v>
      </c>
      <c r="B291" s="5" t="s">
        <v>298</v>
      </c>
      <c r="C291" s="6" t="n">
        <v>69</v>
      </c>
      <c r="D291" s="6" t="n">
        <v>56</v>
      </c>
      <c r="E291" s="7" t="n">
        <v>36314.37</v>
      </c>
      <c r="F291" s="7" t="n">
        <v>-255.86</v>
      </c>
      <c r="G291" s="7" t="n">
        <v>-5662.83</v>
      </c>
      <c r="H291" s="8" t="n">
        <f aca="false">E291+F291+G291</f>
        <v>30395.68</v>
      </c>
      <c r="I291" s="9" t="n">
        <f aca="false">IF($H$1182=0,0,H291/$H$1182)</f>
        <v>0.00251793064492958</v>
      </c>
      <c r="J291" s="10" t="n">
        <f aca="false">IF(C291&lt;=0,0,H291/C291)</f>
        <v>440.517101449275</v>
      </c>
    </row>
    <row r="292" customFormat="false" ht="15" hidden="false" customHeight="true" outlineLevel="0" collapsed="false">
      <c r="A292" s="11" t="n">
        <v>288</v>
      </c>
      <c r="B292" s="11" t="s">
        <v>299</v>
      </c>
      <c r="C292" s="12" t="n">
        <v>69</v>
      </c>
      <c r="D292" s="12" t="n">
        <v>41</v>
      </c>
      <c r="E292" s="13" t="n">
        <v>12772.49</v>
      </c>
      <c r="F292" s="13" t="n">
        <v>-266.54</v>
      </c>
      <c r="G292" s="13" t="n">
        <v>-1176.64</v>
      </c>
      <c r="H292" s="14" t="n">
        <f aca="false">E292+F292+G292</f>
        <v>11329.31</v>
      </c>
      <c r="I292" s="15" t="n">
        <f aca="false">IF($H$1182=0,0,H292/$H$1182)</f>
        <v>0.000938502340954607</v>
      </c>
      <c r="J292" s="16" t="n">
        <f aca="false">IF(C292&lt;=0,0,H292/C292)</f>
        <v>164.192898550725</v>
      </c>
    </row>
    <row r="293" customFormat="false" ht="15" hidden="false" customHeight="true" outlineLevel="0" collapsed="false">
      <c r="A293" s="5" t="n">
        <v>289</v>
      </c>
      <c r="B293" s="5" t="s">
        <v>300</v>
      </c>
      <c r="C293" s="6" t="n">
        <v>69</v>
      </c>
      <c r="D293" s="6" t="n">
        <v>59</v>
      </c>
      <c r="E293" s="7" t="n">
        <v>11292.71</v>
      </c>
      <c r="F293" s="7" t="n">
        <v>-124.59</v>
      </c>
      <c r="G293" s="7" t="n">
        <v>-622.82</v>
      </c>
      <c r="H293" s="8" t="n">
        <f aca="false">E293+F293+G293</f>
        <v>10545.3</v>
      </c>
      <c r="I293" s="9" t="n">
        <f aca="false">IF($H$1182=0,0,H293/$H$1182)</f>
        <v>0.000873556177390204</v>
      </c>
      <c r="J293" s="10" t="n">
        <f aca="false">IF(C293&lt;=0,0,H293/C293)</f>
        <v>152.830434782609</v>
      </c>
    </row>
    <row r="294" customFormat="false" ht="15" hidden="false" customHeight="true" outlineLevel="0" collapsed="false">
      <c r="A294" s="11" t="n">
        <v>290</v>
      </c>
      <c r="B294" s="11" t="s">
        <v>301</v>
      </c>
      <c r="C294" s="12" t="n">
        <v>69</v>
      </c>
      <c r="D294" s="12" t="n">
        <v>42</v>
      </c>
      <c r="E294" s="13" t="n">
        <v>2338.72</v>
      </c>
      <c r="F294" s="13" t="n">
        <v>-35.32</v>
      </c>
      <c r="G294" s="13" t="n">
        <v>-118</v>
      </c>
      <c r="H294" s="14" t="n">
        <f aca="false">E294+F294+G294</f>
        <v>2185.4</v>
      </c>
      <c r="I294" s="15" t="n">
        <f aca="false">IF($H$1182=0,0,H294/$H$1182)</f>
        <v>0.00018103512181432</v>
      </c>
      <c r="J294" s="16" t="n">
        <f aca="false">IF(C294&lt;=0,0,H294/C294)</f>
        <v>31.6724637681159</v>
      </c>
    </row>
    <row r="295" customFormat="false" ht="15" hidden="false" customHeight="true" outlineLevel="0" collapsed="false">
      <c r="A295" s="5" t="n">
        <v>291</v>
      </c>
      <c r="B295" s="5" t="s">
        <v>302</v>
      </c>
      <c r="C295" s="6" t="n">
        <v>69</v>
      </c>
      <c r="D295" s="6" t="n">
        <v>40</v>
      </c>
      <c r="E295" s="7" t="n">
        <v>1109</v>
      </c>
      <c r="F295" s="7" t="n">
        <v>-10.9</v>
      </c>
      <c r="G295" s="7" t="n">
        <v>-185</v>
      </c>
      <c r="H295" s="8" t="n">
        <f aca="false">E295+F295+G295</f>
        <v>913.1</v>
      </c>
      <c r="I295" s="9" t="n">
        <f aca="false">IF($H$1182=0,0,H295/$H$1182)</f>
        <v>7.56397774909197E-005</v>
      </c>
      <c r="J295" s="10" t="n">
        <f aca="false">IF(C295&lt;=0,0,H295/C295)</f>
        <v>13.2333333333333</v>
      </c>
    </row>
    <row r="296" customFormat="false" ht="15" hidden="false" customHeight="true" outlineLevel="0" collapsed="false">
      <c r="A296" s="11" t="n">
        <v>292</v>
      </c>
      <c r="B296" s="11" t="s">
        <v>303</v>
      </c>
      <c r="C296" s="12" t="n">
        <v>68</v>
      </c>
      <c r="D296" s="12" t="n">
        <v>42</v>
      </c>
      <c r="E296" s="13" t="n">
        <v>2526.73</v>
      </c>
      <c r="F296" s="13" t="n">
        <v>-45.15</v>
      </c>
      <c r="G296" s="13" t="n">
        <v>-288</v>
      </c>
      <c r="H296" s="14" t="n">
        <f aca="false">E296+F296+G296</f>
        <v>2193.58</v>
      </c>
      <c r="I296" s="15" t="n">
        <f aca="false">IF($H$1182=0,0,H296/$H$1182)</f>
        <v>0.000181712740234949</v>
      </c>
      <c r="J296" s="16" t="n">
        <f aca="false">IF(C296&lt;=0,0,H296/C296)</f>
        <v>32.2585294117647</v>
      </c>
    </row>
    <row r="297" customFormat="false" ht="15" hidden="false" customHeight="true" outlineLevel="0" collapsed="false">
      <c r="A297" s="5" t="n">
        <v>293</v>
      </c>
      <c r="B297" s="5" t="s">
        <v>304</v>
      </c>
      <c r="C297" s="6" t="n">
        <v>67</v>
      </c>
      <c r="D297" s="6" t="n">
        <v>47</v>
      </c>
      <c r="E297" s="7" t="n">
        <v>84200</v>
      </c>
      <c r="F297" s="7" t="n">
        <v>-510.17</v>
      </c>
      <c r="G297" s="7" t="n">
        <v>-4800</v>
      </c>
      <c r="H297" s="8" t="n">
        <f aca="false">E297+F297+G297</f>
        <v>78889.83</v>
      </c>
      <c r="I297" s="9" t="n">
        <f aca="false">IF($H$1182=0,0,H297/$H$1182)</f>
        <v>0.00653511026995562</v>
      </c>
      <c r="J297" s="10" t="n">
        <f aca="false">IF(C297&lt;=0,0,H297/C297)</f>
        <v>1177.46014925373</v>
      </c>
    </row>
    <row r="298" customFormat="false" ht="15" hidden="false" customHeight="true" outlineLevel="0" collapsed="false">
      <c r="A298" s="11" t="n">
        <v>294</v>
      </c>
      <c r="B298" s="11" t="s">
        <v>305</v>
      </c>
      <c r="C298" s="12" t="n">
        <v>67</v>
      </c>
      <c r="D298" s="12" t="n">
        <v>47</v>
      </c>
      <c r="E298" s="13" t="n">
        <v>12956</v>
      </c>
      <c r="F298" s="13" t="n">
        <v>-130.1</v>
      </c>
      <c r="G298" s="13" t="n">
        <v>-966.54</v>
      </c>
      <c r="H298" s="14" t="n">
        <f aca="false">E298+F298+G298</f>
        <v>11859.36</v>
      </c>
      <c r="I298" s="15" t="n">
        <f aca="false">IF($H$1182=0,0,H298/$H$1182)</f>
        <v>0.000982410854873194</v>
      </c>
      <c r="J298" s="16" t="n">
        <f aca="false">IF(C298&lt;=0,0,H298/C298)</f>
        <v>177.005373134328</v>
      </c>
    </row>
    <row r="299" customFormat="false" ht="15" hidden="false" customHeight="true" outlineLevel="0" collapsed="false">
      <c r="A299" s="5" t="n">
        <v>295</v>
      </c>
      <c r="B299" s="5" t="s">
        <v>306</v>
      </c>
      <c r="C299" s="6" t="n">
        <v>67</v>
      </c>
      <c r="D299" s="6" t="n">
        <v>35</v>
      </c>
      <c r="E299" s="7" t="n">
        <v>3974.33</v>
      </c>
      <c r="F299" s="7" t="n">
        <v>-53.91</v>
      </c>
      <c r="G299" s="7" t="n">
        <v>0</v>
      </c>
      <c r="H299" s="8" t="n">
        <f aca="false">E299+F299+G299</f>
        <v>3920.42</v>
      </c>
      <c r="I299" s="9" t="n">
        <f aca="false">IF($H$1182=0,0,H299/$H$1182)</f>
        <v>0.000324761468043973</v>
      </c>
      <c r="J299" s="10" t="n">
        <f aca="false">IF(C299&lt;=0,0,H299/C299)</f>
        <v>58.5137313432836</v>
      </c>
    </row>
    <row r="300" customFormat="false" ht="15" hidden="false" customHeight="true" outlineLevel="0" collapsed="false">
      <c r="A300" s="11" t="n">
        <v>296</v>
      </c>
      <c r="B300" s="11" t="s">
        <v>307</v>
      </c>
      <c r="C300" s="12" t="n">
        <v>67</v>
      </c>
      <c r="D300" s="12" t="n">
        <v>40</v>
      </c>
      <c r="E300" s="13" t="n">
        <v>3999.31</v>
      </c>
      <c r="F300" s="13" t="n">
        <v>-7.41</v>
      </c>
      <c r="G300" s="13" t="n">
        <v>-119.98</v>
      </c>
      <c r="H300" s="14" t="n">
        <f aca="false">E300+F300+G300</f>
        <v>3871.92</v>
      </c>
      <c r="I300" s="15" t="n">
        <f aca="false">IF($H$1182=0,0,H300/$H$1182)</f>
        <v>0.000320743803814086</v>
      </c>
      <c r="J300" s="16" t="n">
        <f aca="false">IF(C300&lt;=0,0,H300/C300)</f>
        <v>57.7898507462687</v>
      </c>
    </row>
    <row r="301" customFormat="false" ht="15" hidden="false" customHeight="true" outlineLevel="0" collapsed="false">
      <c r="A301" s="5" t="n">
        <v>297</v>
      </c>
      <c r="B301" s="5" t="s">
        <v>308</v>
      </c>
      <c r="C301" s="6" t="n">
        <v>67</v>
      </c>
      <c r="D301" s="6" t="n">
        <v>23</v>
      </c>
      <c r="E301" s="7" t="n">
        <v>2679.55</v>
      </c>
      <c r="F301" s="7" t="n">
        <v>-112.16</v>
      </c>
      <c r="G301" s="7" t="n">
        <v>-620</v>
      </c>
      <c r="H301" s="8" t="n">
        <f aca="false">E301+F301+G301</f>
        <v>1947.39</v>
      </c>
      <c r="I301" s="9" t="n">
        <f aca="false">IF($H$1182=0,0,H301/$H$1182)</f>
        <v>0.000161318745250293</v>
      </c>
      <c r="J301" s="10" t="n">
        <f aca="false">IF(C301&lt;=0,0,H301/C301)</f>
        <v>29.0655223880597</v>
      </c>
    </row>
    <row r="302" customFormat="false" ht="15" hidden="false" customHeight="true" outlineLevel="0" collapsed="false">
      <c r="A302" s="11" t="n">
        <v>298</v>
      </c>
      <c r="B302" s="11" t="s">
        <v>309</v>
      </c>
      <c r="C302" s="12" t="n">
        <v>66</v>
      </c>
      <c r="D302" s="12" t="n">
        <v>45</v>
      </c>
      <c r="E302" s="13" t="n">
        <v>17471.68</v>
      </c>
      <c r="F302" s="13" t="n">
        <v>-143.44</v>
      </c>
      <c r="G302" s="13" t="n">
        <v>-1218.64</v>
      </c>
      <c r="H302" s="14" t="n">
        <f aca="false">E302+F302+G302</f>
        <v>16109.6</v>
      </c>
      <c r="I302" s="15" t="n">
        <f aca="false">IF($H$1182=0,0,H302/$H$1182)</f>
        <v>0.00133449409644915</v>
      </c>
      <c r="J302" s="16" t="n">
        <f aca="false">IF(C302&lt;=0,0,H302/C302)</f>
        <v>244.084848484849</v>
      </c>
    </row>
    <row r="303" customFormat="false" ht="15" hidden="false" customHeight="true" outlineLevel="0" collapsed="false">
      <c r="A303" s="5" t="n">
        <v>299</v>
      </c>
      <c r="B303" s="5" t="s">
        <v>310</v>
      </c>
      <c r="C303" s="6" t="n">
        <v>66</v>
      </c>
      <c r="D303" s="6" t="n">
        <v>30</v>
      </c>
      <c r="E303" s="7" t="n">
        <v>2083.64</v>
      </c>
      <c r="F303" s="7" t="n">
        <v>-19.04</v>
      </c>
      <c r="G303" s="7" t="n">
        <v>-78.99</v>
      </c>
      <c r="H303" s="8" t="n">
        <f aca="false">E303+F303+G303</f>
        <v>1985.61</v>
      </c>
      <c r="I303" s="9" t="n">
        <f aca="false">IF($H$1182=0,0,H303/$H$1182)</f>
        <v>0.000164484830340319</v>
      </c>
      <c r="J303" s="10" t="n">
        <f aca="false">IF(C303&lt;=0,0,H303/C303)</f>
        <v>30.085</v>
      </c>
    </row>
    <row r="304" customFormat="false" ht="15" hidden="false" customHeight="true" outlineLevel="0" collapsed="false">
      <c r="A304" s="11" t="n">
        <v>300</v>
      </c>
      <c r="B304" s="11" t="s">
        <v>311</v>
      </c>
      <c r="C304" s="12" t="n">
        <v>65</v>
      </c>
      <c r="D304" s="12" t="n">
        <v>44</v>
      </c>
      <c r="E304" s="13" t="n">
        <v>18163.27</v>
      </c>
      <c r="F304" s="13" t="n">
        <v>-57.9</v>
      </c>
      <c r="G304" s="13" t="n">
        <v>-1232</v>
      </c>
      <c r="H304" s="14" t="n">
        <f aca="false">E304+F304+G304</f>
        <v>16873.37</v>
      </c>
      <c r="I304" s="15" t="n">
        <f aca="false">IF($H$1182=0,0,H304/$H$1182)</f>
        <v>0.00139776361003391</v>
      </c>
      <c r="J304" s="16" t="n">
        <f aca="false">IF(C304&lt;=0,0,H304/C304)</f>
        <v>259.590307692308</v>
      </c>
    </row>
    <row r="305" customFormat="false" ht="15" hidden="false" customHeight="true" outlineLevel="0" collapsed="false">
      <c r="A305" s="5" t="n">
        <v>301</v>
      </c>
      <c r="B305" s="5" t="s">
        <v>312</v>
      </c>
      <c r="C305" s="6" t="n">
        <v>65</v>
      </c>
      <c r="D305" s="6" t="n">
        <v>47</v>
      </c>
      <c r="E305" s="7" t="n">
        <v>1986.5</v>
      </c>
      <c r="F305" s="7" t="n">
        <v>-20.66</v>
      </c>
      <c r="G305" s="7" t="n">
        <v>-87</v>
      </c>
      <c r="H305" s="8" t="n">
        <f aca="false">E305+F305+G305</f>
        <v>1878.84</v>
      </c>
      <c r="I305" s="9" t="n">
        <f aca="false">IF($H$1182=0,0,H305/$H$1182)</f>
        <v>0.000155640170343927</v>
      </c>
      <c r="J305" s="10" t="n">
        <f aca="false">IF(C305&lt;=0,0,H305/C305)</f>
        <v>28.9052307692308</v>
      </c>
    </row>
    <row r="306" customFormat="false" ht="15" hidden="false" customHeight="true" outlineLevel="0" collapsed="false">
      <c r="A306" s="11" t="n">
        <v>302</v>
      </c>
      <c r="B306" s="11" t="s">
        <v>313</v>
      </c>
      <c r="C306" s="12" t="n">
        <v>64</v>
      </c>
      <c r="D306" s="12" t="n">
        <v>27</v>
      </c>
      <c r="E306" s="13" t="n">
        <v>16199.49</v>
      </c>
      <c r="F306" s="13" t="n">
        <v>-215.08</v>
      </c>
      <c r="G306" s="13" t="n">
        <v>0</v>
      </c>
      <c r="H306" s="14" t="n">
        <f aca="false">E306+F306+G306</f>
        <v>15984.41</v>
      </c>
      <c r="I306" s="15" t="n">
        <f aca="false">IF($H$1182=0,0,H306/$H$1182)</f>
        <v>0.00132412355242978</v>
      </c>
      <c r="J306" s="16" t="n">
        <f aca="false">IF(C306&lt;=0,0,H306/C306)</f>
        <v>249.75640625</v>
      </c>
    </row>
    <row r="307" customFormat="false" ht="15" hidden="false" customHeight="true" outlineLevel="0" collapsed="false">
      <c r="A307" s="5" t="n">
        <v>303</v>
      </c>
      <c r="B307" s="5" t="s">
        <v>314</v>
      </c>
      <c r="C307" s="6" t="n">
        <v>64</v>
      </c>
      <c r="D307" s="6" t="n">
        <v>49</v>
      </c>
      <c r="E307" s="7" t="n">
        <v>14313.55</v>
      </c>
      <c r="F307" s="7" t="n">
        <v>-174.81</v>
      </c>
      <c r="G307" s="7" t="n">
        <v>-643.38</v>
      </c>
      <c r="H307" s="8" t="n">
        <f aca="false">E307+F307+G307</f>
        <v>13495.36</v>
      </c>
      <c r="I307" s="9" t="n">
        <f aca="false">IF($H$1182=0,0,H307/$H$1182)</f>
        <v>0.00111793453899886</v>
      </c>
      <c r="J307" s="10" t="n">
        <f aca="false">IF(C307&lt;=0,0,H307/C307)</f>
        <v>210.865</v>
      </c>
    </row>
    <row r="308" customFormat="false" ht="15" hidden="false" customHeight="true" outlineLevel="0" collapsed="false">
      <c r="A308" s="11" t="n">
        <v>304</v>
      </c>
      <c r="B308" s="11" t="s">
        <v>315</v>
      </c>
      <c r="C308" s="12" t="n">
        <v>64</v>
      </c>
      <c r="D308" s="12" t="n">
        <v>15</v>
      </c>
      <c r="E308" s="13" t="n">
        <v>9767.36</v>
      </c>
      <c r="F308" s="13" t="n">
        <v>-14.99</v>
      </c>
      <c r="G308" s="13" t="n">
        <v>0</v>
      </c>
      <c r="H308" s="14" t="n">
        <f aca="false">E308+F308+G308</f>
        <v>9752.37</v>
      </c>
      <c r="I308" s="15" t="n">
        <f aca="false">IF($H$1182=0,0,H308/$H$1182)</f>
        <v>0.000807871094961253</v>
      </c>
      <c r="J308" s="16" t="n">
        <f aca="false">IF(C308&lt;=0,0,H308/C308)</f>
        <v>152.38078125</v>
      </c>
    </row>
    <row r="309" customFormat="false" ht="15" hidden="false" customHeight="true" outlineLevel="0" collapsed="false">
      <c r="A309" s="5" t="n">
        <v>305</v>
      </c>
      <c r="B309" s="5" t="s">
        <v>316</v>
      </c>
      <c r="C309" s="6" t="n">
        <v>64</v>
      </c>
      <c r="D309" s="6" t="n">
        <v>53</v>
      </c>
      <c r="E309" s="7" t="n">
        <v>4239.61</v>
      </c>
      <c r="F309" s="7" t="n">
        <v>-28.55</v>
      </c>
      <c r="G309" s="7" t="n">
        <v>-228.35</v>
      </c>
      <c r="H309" s="8" t="n">
        <f aca="false">E309+F309+G309</f>
        <v>3982.71</v>
      </c>
      <c r="I309" s="9" t="n">
        <f aca="false">IF($H$1182=0,0,H309/$H$1182)</f>
        <v>0.000329921474330151</v>
      </c>
      <c r="J309" s="10" t="n">
        <f aca="false">IF(C309&lt;=0,0,H309/C309)</f>
        <v>62.22984375</v>
      </c>
    </row>
    <row r="310" customFormat="false" ht="15" hidden="false" customHeight="true" outlineLevel="0" collapsed="false">
      <c r="A310" s="11" t="n">
        <v>306</v>
      </c>
      <c r="B310" s="11" t="s">
        <v>317</v>
      </c>
      <c r="C310" s="12" t="n">
        <v>64</v>
      </c>
      <c r="D310" s="12" t="n">
        <v>37</v>
      </c>
      <c r="E310" s="13" t="n">
        <v>2676</v>
      </c>
      <c r="F310" s="13" t="n">
        <v>-26.87</v>
      </c>
      <c r="G310" s="13" t="n">
        <v>-164</v>
      </c>
      <c r="H310" s="14" t="n">
        <f aca="false">E310+F310+G310</f>
        <v>2485.13</v>
      </c>
      <c r="I310" s="15" t="n">
        <f aca="false">IF($H$1182=0,0,H310/$H$1182)</f>
        <v>0.000205864286755021</v>
      </c>
      <c r="J310" s="16" t="n">
        <f aca="false">IF(C310&lt;=0,0,H310/C310)</f>
        <v>38.83015625</v>
      </c>
    </row>
    <row r="311" customFormat="false" ht="15" hidden="false" customHeight="true" outlineLevel="0" collapsed="false">
      <c r="A311" s="5" t="n">
        <v>307</v>
      </c>
      <c r="B311" s="5" t="s">
        <v>318</v>
      </c>
      <c r="C311" s="6" t="n">
        <v>63</v>
      </c>
      <c r="D311" s="6" t="n">
        <v>32</v>
      </c>
      <c r="E311" s="7" t="n">
        <v>8329.5</v>
      </c>
      <c r="F311" s="7" t="n">
        <v>-37.88</v>
      </c>
      <c r="G311" s="7" t="n">
        <v>-112.8</v>
      </c>
      <c r="H311" s="8" t="n">
        <f aca="false">E311+F311+G311</f>
        <v>8178.82</v>
      </c>
      <c r="I311" s="9" t="n">
        <f aca="false">IF($H$1182=0,0,H311/$H$1182)</f>
        <v>0.000677520671271804</v>
      </c>
      <c r="J311" s="10" t="n">
        <f aca="false">IF(C311&lt;=0,0,H311/C311)</f>
        <v>129.82253968254</v>
      </c>
    </row>
    <row r="312" customFormat="false" ht="15" hidden="false" customHeight="true" outlineLevel="0" collapsed="false">
      <c r="A312" s="11" t="n">
        <v>308</v>
      </c>
      <c r="B312" s="11" t="s">
        <v>319</v>
      </c>
      <c r="C312" s="12" t="n">
        <v>63</v>
      </c>
      <c r="D312" s="12" t="n">
        <v>31</v>
      </c>
      <c r="E312" s="13" t="n">
        <v>2599.35</v>
      </c>
      <c r="F312" s="13" t="n">
        <v>-19.74</v>
      </c>
      <c r="G312" s="13" t="n">
        <v>-79.98</v>
      </c>
      <c r="H312" s="14" t="n">
        <f aca="false">E312+F312+G312</f>
        <v>2499.63</v>
      </c>
      <c r="I312" s="15" t="n">
        <f aca="false">IF($H$1182=0,0,H312/$H$1182)</f>
        <v>0.0002070654441021</v>
      </c>
      <c r="J312" s="16" t="n">
        <f aca="false">IF(C312&lt;=0,0,H312/C312)</f>
        <v>39.6766666666667</v>
      </c>
    </row>
    <row r="313" customFormat="false" ht="15" hidden="false" customHeight="true" outlineLevel="0" collapsed="false">
      <c r="A313" s="5" t="n">
        <v>309</v>
      </c>
      <c r="B313" s="5" t="s">
        <v>320</v>
      </c>
      <c r="C313" s="6" t="n">
        <v>63</v>
      </c>
      <c r="D313" s="6" t="n">
        <v>31</v>
      </c>
      <c r="E313" s="7" t="n">
        <v>2415.54</v>
      </c>
      <c r="F313" s="7" t="n">
        <v>-110.08</v>
      </c>
      <c r="G313" s="7" t="n">
        <v>-107.77</v>
      </c>
      <c r="H313" s="8" t="n">
        <f aca="false">E313+F313+G313</f>
        <v>2197.69</v>
      </c>
      <c r="I313" s="9" t="n">
        <f aca="false">IF($H$1182=0,0,H313/$H$1182)</f>
        <v>0.000182053206214017</v>
      </c>
      <c r="J313" s="10" t="n">
        <f aca="false">IF(C313&lt;=0,0,H313/C313)</f>
        <v>34.8839682539683</v>
      </c>
    </row>
    <row r="314" customFormat="false" ht="15" hidden="false" customHeight="true" outlineLevel="0" collapsed="false">
      <c r="A314" s="11" t="n">
        <v>310</v>
      </c>
      <c r="B314" s="11" t="s">
        <v>321</v>
      </c>
      <c r="C314" s="12" t="n">
        <v>63</v>
      </c>
      <c r="D314" s="12" t="n">
        <v>41</v>
      </c>
      <c r="E314" s="13" t="n">
        <v>1887.56</v>
      </c>
      <c r="F314" s="13" t="n">
        <v>-2.92</v>
      </c>
      <c r="G314" s="13" t="n">
        <v>-164.99</v>
      </c>
      <c r="H314" s="14" t="n">
        <f aca="false">E314+F314+G314</f>
        <v>1719.65</v>
      </c>
      <c r="I314" s="15" t="n">
        <f aca="false">IF($H$1182=0,0,H314/$H$1182)</f>
        <v>0.000142453119441748</v>
      </c>
      <c r="J314" s="16" t="n">
        <f aca="false">IF(C314&lt;=0,0,H314/C314)</f>
        <v>27.2960317460317</v>
      </c>
    </row>
    <row r="315" customFormat="false" ht="15" hidden="false" customHeight="true" outlineLevel="0" collapsed="false">
      <c r="A315" s="5" t="n">
        <v>311</v>
      </c>
      <c r="B315" s="5" t="s">
        <v>322</v>
      </c>
      <c r="C315" s="6" t="n">
        <v>62</v>
      </c>
      <c r="D315" s="6" t="n">
        <v>52</v>
      </c>
      <c r="E315" s="7" t="n">
        <v>16069.3</v>
      </c>
      <c r="F315" s="7" t="n">
        <v>-201.71</v>
      </c>
      <c r="G315" s="7" t="n">
        <v>-1836.12</v>
      </c>
      <c r="H315" s="8" t="n">
        <f aca="false">E315+F315+G315</f>
        <v>14031.47</v>
      </c>
      <c r="I315" s="9" t="n">
        <f aca="false">IF($H$1182=0,0,H315/$H$1182)</f>
        <v>0.00116234505385009</v>
      </c>
      <c r="J315" s="10" t="n">
        <f aca="false">IF(C315&lt;=0,0,H315/C315)</f>
        <v>226.314032258065</v>
      </c>
    </row>
    <row r="316" customFormat="false" ht="15" hidden="false" customHeight="true" outlineLevel="0" collapsed="false">
      <c r="A316" s="11" t="n">
        <v>312</v>
      </c>
      <c r="B316" s="11" t="s">
        <v>323</v>
      </c>
      <c r="C316" s="12" t="n">
        <v>62</v>
      </c>
      <c r="D316" s="12" t="n">
        <v>35</v>
      </c>
      <c r="E316" s="13" t="n">
        <v>6000.36</v>
      </c>
      <c r="F316" s="13" t="n">
        <v>-28.16</v>
      </c>
      <c r="G316" s="13" t="n">
        <v>-288.73</v>
      </c>
      <c r="H316" s="14" t="n">
        <f aca="false">E316+F316+G316</f>
        <v>5683.47</v>
      </c>
      <c r="I316" s="15" t="n">
        <f aca="false">IF($H$1182=0,0,H316/$H$1182)</f>
        <v>0.000470809775683186</v>
      </c>
      <c r="J316" s="16" t="n">
        <f aca="false">IF(C316&lt;=0,0,H316/C316)</f>
        <v>91.6688709677419</v>
      </c>
    </row>
    <row r="317" customFormat="false" ht="15" hidden="false" customHeight="true" outlineLevel="0" collapsed="false">
      <c r="A317" s="5" t="n">
        <v>313</v>
      </c>
      <c r="B317" s="5" t="s">
        <v>324</v>
      </c>
      <c r="C317" s="6" t="n">
        <v>62</v>
      </c>
      <c r="D317" s="6" t="n">
        <v>49</v>
      </c>
      <c r="E317" s="7" t="n">
        <v>4193.85</v>
      </c>
      <c r="F317" s="7" t="n">
        <v>-27.67</v>
      </c>
      <c r="G317" s="7" t="n">
        <v>-329</v>
      </c>
      <c r="H317" s="8" t="n">
        <f aca="false">E317+F317+G317</f>
        <v>3837.18</v>
      </c>
      <c r="I317" s="9" t="n">
        <f aca="false">IF($H$1182=0,0,H317/$H$1182)</f>
        <v>0.000317865996487359</v>
      </c>
      <c r="J317" s="10" t="n">
        <f aca="false">IF(C317&lt;=0,0,H317/C317)</f>
        <v>61.89</v>
      </c>
    </row>
    <row r="318" customFormat="false" ht="15" hidden="false" customHeight="true" outlineLevel="0" collapsed="false">
      <c r="A318" s="11" t="n">
        <v>314</v>
      </c>
      <c r="B318" s="11" t="s">
        <v>325</v>
      </c>
      <c r="C318" s="12" t="n">
        <v>62</v>
      </c>
      <c r="D318" s="12" t="n">
        <v>29</v>
      </c>
      <c r="E318" s="13" t="n">
        <v>1164.24</v>
      </c>
      <c r="F318" s="13" t="n">
        <v>-3.28</v>
      </c>
      <c r="G318" s="13" t="n">
        <v>-96.72</v>
      </c>
      <c r="H318" s="14" t="n">
        <f aca="false">E318+F318+G318</f>
        <v>1064.24</v>
      </c>
      <c r="I318" s="15" t="n">
        <f aca="false">IF($H$1182=0,0,H318/$H$1182)</f>
        <v>8.81599789693751E-005</v>
      </c>
      <c r="J318" s="16" t="n">
        <f aca="false">IF(C318&lt;=0,0,H318/C318)</f>
        <v>17.1651612903226</v>
      </c>
    </row>
    <row r="319" customFormat="false" ht="15" hidden="false" customHeight="true" outlineLevel="0" collapsed="false">
      <c r="A319" s="5" t="n">
        <v>315</v>
      </c>
      <c r="B319" s="5" t="s">
        <v>326</v>
      </c>
      <c r="C319" s="6" t="n">
        <v>62</v>
      </c>
      <c r="D319" s="6" t="n">
        <v>9</v>
      </c>
      <c r="E319" s="7" t="n">
        <v>589.17</v>
      </c>
      <c r="F319" s="7" t="n">
        <v>0</v>
      </c>
      <c r="G319" s="7" t="n">
        <v>-44.87</v>
      </c>
      <c r="H319" s="8" t="n">
        <f aca="false">E319+F319+G319</f>
        <v>544.3</v>
      </c>
      <c r="I319" s="9" t="n">
        <f aca="false">IF($H$1182=0,0,H319/$H$1182)</f>
        <v>4.50889616562343E-005</v>
      </c>
      <c r="J319" s="10" t="n">
        <f aca="false">IF(C319&lt;=0,0,H319/C319)</f>
        <v>8.77903225806452</v>
      </c>
    </row>
    <row r="320" customFormat="false" ht="15" hidden="false" customHeight="true" outlineLevel="0" collapsed="false">
      <c r="A320" s="11" t="n">
        <v>316</v>
      </c>
      <c r="B320" s="11" t="s">
        <v>327</v>
      </c>
      <c r="C320" s="12" t="n">
        <v>61</v>
      </c>
      <c r="D320" s="12" t="n">
        <v>36</v>
      </c>
      <c r="E320" s="13" t="n">
        <v>18453.03</v>
      </c>
      <c r="F320" s="13" t="n">
        <v>-50.58</v>
      </c>
      <c r="G320" s="13" t="n">
        <v>-4275.52</v>
      </c>
      <c r="H320" s="14" t="n">
        <f aca="false">E320+F320+G320</f>
        <v>14126.93</v>
      </c>
      <c r="I320" s="15" t="n">
        <f aca="false">IF($H$1182=0,0,H320/$H$1182)</f>
        <v>0.00117025281111576</v>
      </c>
      <c r="J320" s="16" t="n">
        <f aca="false">IF(C320&lt;=0,0,H320/C320)</f>
        <v>231.589016393443</v>
      </c>
    </row>
    <row r="321" customFormat="false" ht="15" hidden="false" customHeight="true" outlineLevel="0" collapsed="false">
      <c r="A321" s="5" t="n">
        <v>317</v>
      </c>
      <c r="B321" s="5" t="s">
        <v>328</v>
      </c>
      <c r="C321" s="6" t="n">
        <v>61</v>
      </c>
      <c r="D321" s="6" t="n">
        <v>15</v>
      </c>
      <c r="E321" s="7" t="n">
        <v>2457</v>
      </c>
      <c r="F321" s="7" t="n">
        <v>-3.9</v>
      </c>
      <c r="G321" s="7" t="n">
        <v>-78</v>
      </c>
      <c r="H321" s="8" t="n">
        <f aca="false">E321+F321+G321</f>
        <v>2375.1</v>
      </c>
      <c r="I321" s="9" t="n">
        <f aca="false">IF($H$1182=0,0,H321/$H$1182)</f>
        <v>0.00019674957345163</v>
      </c>
      <c r="J321" s="10" t="n">
        <f aca="false">IF(C321&lt;=0,0,H321/C321)</f>
        <v>38.9360655737705</v>
      </c>
    </row>
    <row r="322" customFormat="false" ht="15" hidden="false" customHeight="true" outlineLevel="0" collapsed="false">
      <c r="A322" s="11" t="n">
        <v>318</v>
      </c>
      <c r="B322" s="11" t="s">
        <v>329</v>
      </c>
      <c r="C322" s="12" t="n">
        <v>60</v>
      </c>
      <c r="D322" s="12" t="n">
        <v>44</v>
      </c>
      <c r="E322" s="13" t="n">
        <v>43691.64</v>
      </c>
      <c r="F322" s="13" t="n">
        <v>-147.98</v>
      </c>
      <c r="G322" s="13" t="n">
        <v>-6949.93</v>
      </c>
      <c r="H322" s="14" t="n">
        <f aca="false">E322+F322+G322</f>
        <v>36593.73</v>
      </c>
      <c r="I322" s="15" t="n">
        <f aca="false">IF($H$1182=0,0,H322/$H$1182)</f>
        <v>0.00303136742389967</v>
      </c>
      <c r="J322" s="16" t="n">
        <f aca="false">IF(C322&lt;=0,0,H322/C322)</f>
        <v>609.8955</v>
      </c>
    </row>
    <row r="323" customFormat="false" ht="15" hidden="false" customHeight="true" outlineLevel="0" collapsed="false">
      <c r="A323" s="5" t="n">
        <v>319</v>
      </c>
      <c r="B323" s="5" t="s">
        <v>330</v>
      </c>
      <c r="C323" s="6" t="n">
        <v>60</v>
      </c>
      <c r="D323" s="6" t="n">
        <v>52</v>
      </c>
      <c r="E323" s="7" t="n">
        <v>40283.76</v>
      </c>
      <c r="F323" s="7" t="n">
        <v>-108.63</v>
      </c>
      <c r="G323" s="7" t="n">
        <v>-5309.97</v>
      </c>
      <c r="H323" s="8" t="n">
        <f aca="false">E323+F323+G323</f>
        <v>34865.16</v>
      </c>
      <c r="I323" s="9" t="n">
        <f aca="false">IF($H$1182=0,0,H323/$H$1182)</f>
        <v>0.00288817538559338</v>
      </c>
      <c r="J323" s="10" t="n">
        <f aca="false">IF(C323&lt;=0,0,H323/C323)</f>
        <v>581.086</v>
      </c>
    </row>
    <row r="324" customFormat="false" ht="15" hidden="false" customHeight="true" outlineLevel="0" collapsed="false">
      <c r="A324" s="11" t="n">
        <v>320</v>
      </c>
      <c r="B324" s="11" t="s">
        <v>331</v>
      </c>
      <c r="C324" s="12" t="n">
        <v>60</v>
      </c>
      <c r="D324" s="12" t="n">
        <v>63</v>
      </c>
      <c r="E324" s="13" t="n">
        <v>16319.78</v>
      </c>
      <c r="F324" s="13" t="n">
        <v>-105.2</v>
      </c>
      <c r="G324" s="13" t="n">
        <v>-2317.98</v>
      </c>
      <c r="H324" s="14" t="n">
        <f aca="false">E324+F324+G324</f>
        <v>13896.6</v>
      </c>
      <c r="I324" s="15" t="n">
        <f aca="false">IF($H$1182=0,0,H324/$H$1182)</f>
        <v>0.00115117263375349</v>
      </c>
      <c r="J324" s="16" t="n">
        <f aca="false">IF(C324&lt;=0,0,H324/C324)</f>
        <v>231.61</v>
      </c>
    </row>
    <row r="325" customFormat="false" ht="15" hidden="false" customHeight="true" outlineLevel="0" collapsed="false">
      <c r="A325" s="5" t="n">
        <v>321</v>
      </c>
      <c r="B325" s="5" t="s">
        <v>332</v>
      </c>
      <c r="C325" s="6" t="n">
        <v>60</v>
      </c>
      <c r="D325" s="6" t="n">
        <v>24</v>
      </c>
      <c r="E325" s="7" t="n">
        <v>1674.4</v>
      </c>
      <c r="F325" s="7" t="n">
        <v>-10.47</v>
      </c>
      <c r="G325" s="7" t="n">
        <v>0</v>
      </c>
      <c r="H325" s="8" t="n">
        <f aca="false">E325+F325+G325</f>
        <v>1663.93</v>
      </c>
      <c r="I325" s="9" t="n">
        <f aca="false">IF($H$1182=0,0,H325/$H$1182)</f>
        <v>0.000137837361691453</v>
      </c>
      <c r="J325" s="10" t="n">
        <f aca="false">IF(C325&lt;=0,0,H325/C325)</f>
        <v>27.7321666666667</v>
      </c>
    </row>
    <row r="326" customFormat="false" ht="15" hidden="false" customHeight="true" outlineLevel="0" collapsed="false">
      <c r="A326" s="11" t="n">
        <v>322</v>
      </c>
      <c r="B326" s="11" t="s">
        <v>333</v>
      </c>
      <c r="C326" s="12" t="n">
        <v>60</v>
      </c>
      <c r="D326" s="12" t="n">
        <v>37</v>
      </c>
      <c r="E326" s="13" t="n">
        <v>1770.71</v>
      </c>
      <c r="F326" s="13" t="n">
        <v>-25.52</v>
      </c>
      <c r="G326" s="13" t="n">
        <v>-460.32</v>
      </c>
      <c r="H326" s="14" t="n">
        <f aca="false">E326+F326+G326</f>
        <v>1284.87</v>
      </c>
      <c r="I326" s="15" t="n">
        <f aca="false">IF($H$1182=0,0,H326/$H$1182)</f>
        <v>0.000106436623485662</v>
      </c>
      <c r="J326" s="16" t="n">
        <f aca="false">IF(C326&lt;=0,0,H326/C326)</f>
        <v>21.4145</v>
      </c>
    </row>
    <row r="327" customFormat="false" ht="15" hidden="false" customHeight="true" outlineLevel="0" collapsed="false">
      <c r="A327" s="5" t="n">
        <v>323</v>
      </c>
      <c r="B327" s="5" t="s">
        <v>334</v>
      </c>
      <c r="C327" s="6" t="n">
        <v>60</v>
      </c>
      <c r="D327" s="6" t="n">
        <v>34</v>
      </c>
      <c r="E327" s="7" t="n">
        <v>1343.64</v>
      </c>
      <c r="F327" s="7" t="n">
        <v>-37.12</v>
      </c>
      <c r="G327" s="7" t="n">
        <v>-113.86</v>
      </c>
      <c r="H327" s="8" t="n">
        <f aca="false">E327+F327+G327</f>
        <v>1192.66</v>
      </c>
      <c r="I327" s="9" t="n">
        <f aca="false">IF($H$1182=0,0,H327/$H$1182)</f>
        <v>9.87980911426134E-005</v>
      </c>
      <c r="J327" s="10" t="n">
        <f aca="false">IF(C327&lt;=0,0,H327/C327)</f>
        <v>19.8776666666667</v>
      </c>
    </row>
    <row r="328" customFormat="false" ht="15" hidden="false" customHeight="true" outlineLevel="0" collapsed="false">
      <c r="A328" s="11" t="n">
        <v>324</v>
      </c>
      <c r="B328" s="11" t="s">
        <v>335</v>
      </c>
      <c r="C328" s="12" t="n">
        <v>59</v>
      </c>
      <c r="D328" s="12" t="n">
        <v>45</v>
      </c>
      <c r="E328" s="13" t="n">
        <v>7084.45</v>
      </c>
      <c r="F328" s="13" t="n">
        <v>-544.65</v>
      </c>
      <c r="G328" s="13" t="n">
        <v>-769.51</v>
      </c>
      <c r="H328" s="14" t="n">
        <f aca="false">E328+F328+G328</f>
        <v>5770.29</v>
      </c>
      <c r="I328" s="15" t="n">
        <f aca="false">IF($H$1182=0,0,H328/$H$1182)</f>
        <v>0.000478001808846872</v>
      </c>
      <c r="J328" s="16" t="n">
        <f aca="false">IF(C328&lt;=0,0,H328/C328)</f>
        <v>97.8015254237288</v>
      </c>
    </row>
    <row r="329" customFormat="false" ht="15" hidden="false" customHeight="true" outlineLevel="0" collapsed="false">
      <c r="A329" s="5" t="n">
        <v>325</v>
      </c>
      <c r="B329" s="5" t="s">
        <v>336</v>
      </c>
      <c r="C329" s="6" t="n">
        <v>58</v>
      </c>
      <c r="D329" s="6" t="n">
        <v>33</v>
      </c>
      <c r="E329" s="7" t="n">
        <v>10471.81</v>
      </c>
      <c r="F329" s="7" t="n">
        <v>-25.78</v>
      </c>
      <c r="G329" s="7" t="n">
        <v>-721.8</v>
      </c>
      <c r="H329" s="8" t="n">
        <f aca="false">E329+F329+G329</f>
        <v>9724.23</v>
      </c>
      <c r="I329" s="9" t="n">
        <f aca="false">IF($H$1182=0,0,H329/$H$1182)</f>
        <v>0.000805540021323542</v>
      </c>
      <c r="J329" s="10" t="n">
        <f aca="false">IF(C329&lt;=0,0,H329/C329)</f>
        <v>167.659137931034</v>
      </c>
    </row>
    <row r="330" customFormat="false" ht="15" hidden="false" customHeight="true" outlineLevel="0" collapsed="false">
      <c r="A330" s="11" t="n">
        <v>326</v>
      </c>
      <c r="B330" s="11" t="s">
        <v>337</v>
      </c>
      <c r="C330" s="12" t="n">
        <v>58</v>
      </c>
      <c r="D330" s="12" t="n">
        <v>34</v>
      </c>
      <c r="E330" s="13" t="n">
        <v>5166.74</v>
      </c>
      <c r="F330" s="13" t="n">
        <v>-16.78</v>
      </c>
      <c r="G330" s="13" t="n">
        <v>-626.92</v>
      </c>
      <c r="H330" s="14" t="n">
        <f aca="false">E330+F330+G330</f>
        <v>4523.04</v>
      </c>
      <c r="I330" s="15" t="n">
        <f aca="false">IF($H$1182=0,0,H330/$H$1182)</f>
        <v>0.000374681567388599</v>
      </c>
      <c r="J330" s="16" t="n">
        <f aca="false">IF(C330&lt;=0,0,H330/C330)</f>
        <v>77.9834482758621</v>
      </c>
    </row>
    <row r="331" customFormat="false" ht="15" hidden="false" customHeight="true" outlineLevel="0" collapsed="false">
      <c r="A331" s="5" t="n">
        <v>327</v>
      </c>
      <c r="B331" s="5" t="s">
        <v>338</v>
      </c>
      <c r="C331" s="6" t="n">
        <v>58</v>
      </c>
      <c r="D331" s="6" t="n">
        <v>27</v>
      </c>
      <c r="E331" s="7" t="n">
        <v>1406.24</v>
      </c>
      <c r="F331" s="7" t="n">
        <v>-8</v>
      </c>
      <c r="G331" s="7" t="n">
        <v>-56.63</v>
      </c>
      <c r="H331" s="8" t="n">
        <f aca="false">E331+F331+G331</f>
        <v>1341.61</v>
      </c>
      <c r="I331" s="9" t="n">
        <f aca="false">IF($H$1182=0,0,H331/$H$1182)</f>
        <v>0.000111136876442441</v>
      </c>
      <c r="J331" s="10" t="n">
        <f aca="false">IF(C331&lt;=0,0,H331/C331)</f>
        <v>23.1312068965517</v>
      </c>
    </row>
    <row r="332" customFormat="false" ht="15" hidden="false" customHeight="true" outlineLevel="0" collapsed="false">
      <c r="A332" s="11" t="n">
        <v>328</v>
      </c>
      <c r="B332" s="11" t="s">
        <v>339</v>
      </c>
      <c r="C332" s="12" t="n">
        <v>58</v>
      </c>
      <c r="D332" s="12" t="n">
        <v>16</v>
      </c>
      <c r="E332" s="13" t="n">
        <v>338.08</v>
      </c>
      <c r="F332" s="13" t="n">
        <v>-2.3</v>
      </c>
      <c r="G332" s="13" t="n">
        <v>-4.26</v>
      </c>
      <c r="H332" s="14" t="n">
        <f aca="false">E332+F332+G332</f>
        <v>331.52</v>
      </c>
      <c r="I332" s="15" t="n">
        <f aca="false">IF($H$1182=0,0,H332/$H$1182)</f>
        <v>2.7462598876125E-005</v>
      </c>
      <c r="J332" s="16" t="n">
        <f aca="false">IF(C332&lt;=0,0,H332/C332)</f>
        <v>5.71586206896552</v>
      </c>
    </row>
    <row r="333" customFormat="false" ht="15" hidden="false" customHeight="true" outlineLevel="0" collapsed="false">
      <c r="A333" s="5" t="n">
        <v>329</v>
      </c>
      <c r="B333" s="5" t="s">
        <v>340</v>
      </c>
      <c r="C333" s="6" t="n">
        <v>57</v>
      </c>
      <c r="D333" s="6" t="n">
        <v>62</v>
      </c>
      <c r="E333" s="7" t="n">
        <v>14870.1</v>
      </c>
      <c r="F333" s="7" t="n">
        <v>-24.6</v>
      </c>
      <c r="G333" s="7" t="n">
        <v>-2216.28</v>
      </c>
      <c r="H333" s="8" t="n">
        <f aca="false">E333+F333+G333</f>
        <v>12629.22</v>
      </c>
      <c r="I333" s="9" t="n">
        <f aca="false">IF($H$1182=0,0,H333/$H$1182)</f>
        <v>0.00104618485454372</v>
      </c>
      <c r="J333" s="10" t="n">
        <f aca="false">IF(C333&lt;=0,0,H333/C333)</f>
        <v>221.565263157895</v>
      </c>
    </row>
    <row r="334" customFormat="false" ht="15" hidden="false" customHeight="true" outlineLevel="0" collapsed="false">
      <c r="A334" s="11" t="n">
        <v>330</v>
      </c>
      <c r="B334" s="11" t="s">
        <v>341</v>
      </c>
      <c r="C334" s="12" t="n">
        <v>57</v>
      </c>
      <c r="D334" s="12" t="n">
        <v>24</v>
      </c>
      <c r="E334" s="13" t="n">
        <v>5515.15</v>
      </c>
      <c r="F334" s="13" t="n">
        <v>-38.97</v>
      </c>
      <c r="G334" s="13" t="n">
        <v>-259.98</v>
      </c>
      <c r="H334" s="14" t="n">
        <f aca="false">E334+F334+G334</f>
        <v>5216.2</v>
      </c>
      <c r="I334" s="15" t="n">
        <f aca="false">IF($H$1182=0,0,H334/$H$1182)</f>
        <v>0.000432101858885265</v>
      </c>
      <c r="J334" s="16" t="n">
        <f aca="false">IF(C334&lt;=0,0,H334/C334)</f>
        <v>91.5122807017544</v>
      </c>
    </row>
    <row r="335" customFormat="false" ht="15" hidden="false" customHeight="true" outlineLevel="0" collapsed="false">
      <c r="A335" s="5" t="n">
        <v>331</v>
      </c>
      <c r="B335" s="5" t="s">
        <v>342</v>
      </c>
      <c r="C335" s="6" t="n">
        <v>57</v>
      </c>
      <c r="D335" s="6" t="n">
        <v>22</v>
      </c>
      <c r="E335" s="7" t="n">
        <v>4929.42</v>
      </c>
      <c r="F335" s="7" t="n">
        <v>-1546.8</v>
      </c>
      <c r="G335" s="7" t="n">
        <v>-84.99</v>
      </c>
      <c r="H335" s="8" t="n">
        <f aca="false">E335+F335+G335</f>
        <v>3297.63</v>
      </c>
      <c r="I335" s="9" t="n">
        <f aca="false">IF($H$1182=0,0,H335/$H$1182)</f>
        <v>0.00027317051741034</v>
      </c>
      <c r="J335" s="10" t="n">
        <f aca="false">IF(C335&lt;=0,0,H335/C335)</f>
        <v>57.8531578947368</v>
      </c>
    </row>
    <row r="336" customFormat="false" ht="15" hidden="false" customHeight="true" outlineLevel="0" collapsed="false">
      <c r="A336" s="11" t="n">
        <v>332</v>
      </c>
      <c r="B336" s="11" t="s">
        <v>343</v>
      </c>
      <c r="C336" s="12" t="n">
        <v>57</v>
      </c>
      <c r="D336" s="12" t="n">
        <v>29</v>
      </c>
      <c r="E336" s="13" t="n">
        <v>1121</v>
      </c>
      <c r="F336" s="13" t="n">
        <v>0</v>
      </c>
      <c r="G336" s="13" t="n">
        <v>-38</v>
      </c>
      <c r="H336" s="14" t="n">
        <f aca="false">E336+F336+G336</f>
        <v>1083</v>
      </c>
      <c r="I336" s="15" t="n">
        <f aca="false">IF($H$1182=0,0,H336/$H$1182)</f>
        <v>8.97140280611828E-005</v>
      </c>
      <c r="J336" s="16" t="n">
        <f aca="false">IF(C336&lt;=0,0,H336/C336)</f>
        <v>19</v>
      </c>
    </row>
    <row r="337" customFormat="false" ht="15" hidden="false" customHeight="true" outlineLevel="0" collapsed="false">
      <c r="A337" s="5" t="n">
        <v>333</v>
      </c>
      <c r="B337" s="5" t="s">
        <v>344</v>
      </c>
      <c r="C337" s="6" t="n">
        <v>57</v>
      </c>
      <c r="D337" s="6" t="n">
        <v>36</v>
      </c>
      <c r="E337" s="7" t="n">
        <v>1223.9</v>
      </c>
      <c r="F337" s="7" t="n">
        <v>-19.35</v>
      </c>
      <c r="G337" s="7" t="n">
        <v>-275.99</v>
      </c>
      <c r="H337" s="8" t="n">
        <f aca="false">E337+F337+G337</f>
        <v>928.56</v>
      </c>
      <c r="I337" s="9" t="n">
        <f aca="false">IF($H$1182=0,0,H337/$H$1182)</f>
        <v>7.69204597382197E-005</v>
      </c>
      <c r="J337" s="10" t="n">
        <f aca="false">IF(C337&lt;=0,0,H337/C337)</f>
        <v>16.2905263157895</v>
      </c>
    </row>
    <row r="338" customFormat="false" ht="15" hidden="false" customHeight="true" outlineLevel="0" collapsed="false">
      <c r="A338" s="11" t="n">
        <v>334</v>
      </c>
      <c r="B338" s="11" t="s">
        <v>345</v>
      </c>
      <c r="C338" s="12" t="n">
        <v>57</v>
      </c>
      <c r="D338" s="12" t="n">
        <v>26</v>
      </c>
      <c r="E338" s="13" t="n">
        <v>331.1</v>
      </c>
      <c r="F338" s="13" t="n">
        <v>-4.64</v>
      </c>
      <c r="G338" s="13" t="n">
        <v>-8.52</v>
      </c>
      <c r="H338" s="14" t="n">
        <f aca="false">E338+F338+G338</f>
        <v>317.94</v>
      </c>
      <c r="I338" s="15" t="n">
        <f aca="false">IF($H$1182=0,0,H338/$H$1182)</f>
        <v>2.63376528917567E-005</v>
      </c>
      <c r="J338" s="16" t="n">
        <f aca="false">IF(C338&lt;=0,0,H338/C338)</f>
        <v>5.57789473684211</v>
      </c>
    </row>
    <row r="339" customFormat="false" ht="15" hidden="false" customHeight="true" outlineLevel="0" collapsed="false">
      <c r="A339" s="5" t="n">
        <v>335</v>
      </c>
      <c r="B339" s="5" t="s">
        <v>346</v>
      </c>
      <c r="C339" s="6" t="n">
        <v>56</v>
      </c>
      <c r="D339" s="6" t="n">
        <v>33</v>
      </c>
      <c r="E339" s="7" t="n">
        <v>10589</v>
      </c>
      <c r="F339" s="7" t="n">
        <v>-77.6</v>
      </c>
      <c r="G339" s="7" t="n">
        <v>0</v>
      </c>
      <c r="H339" s="8" t="n">
        <f aca="false">E339+F339+G339</f>
        <v>10511.4</v>
      </c>
      <c r="I339" s="9" t="n">
        <f aca="false">IF($H$1182=0,0,H339/$H$1182)</f>
        <v>0.00087074795435117</v>
      </c>
      <c r="J339" s="10" t="n">
        <f aca="false">IF(C339&lt;=0,0,H339/C339)</f>
        <v>187.703571428571</v>
      </c>
    </row>
    <row r="340" customFormat="false" ht="15" hidden="false" customHeight="true" outlineLevel="0" collapsed="false">
      <c r="A340" s="11" t="n">
        <v>336</v>
      </c>
      <c r="B340" s="11" t="s">
        <v>347</v>
      </c>
      <c r="C340" s="12" t="n">
        <v>56</v>
      </c>
      <c r="D340" s="12" t="n">
        <v>34</v>
      </c>
      <c r="E340" s="13" t="n">
        <v>12490.21</v>
      </c>
      <c r="F340" s="13" t="n">
        <v>-110.98</v>
      </c>
      <c r="G340" s="13" t="n">
        <v>-5033.53</v>
      </c>
      <c r="H340" s="14" t="n">
        <f aca="false">E340+F340+G340</f>
        <v>7345.7</v>
      </c>
      <c r="I340" s="15" t="n">
        <f aca="false">IF($H$1182=0,0,H340/$H$1182)</f>
        <v>0.000608506312030499</v>
      </c>
      <c r="J340" s="16" t="n">
        <f aca="false">IF(C340&lt;=0,0,H340/C340)</f>
        <v>131.173214285714</v>
      </c>
    </row>
    <row r="341" customFormat="false" ht="15" hidden="false" customHeight="true" outlineLevel="0" collapsed="false">
      <c r="A341" s="5" t="n">
        <v>337</v>
      </c>
      <c r="B341" s="5" t="s">
        <v>348</v>
      </c>
      <c r="C341" s="6" t="n">
        <v>56</v>
      </c>
      <c r="D341" s="6" t="n">
        <v>30</v>
      </c>
      <c r="E341" s="7" t="n">
        <v>4709.71</v>
      </c>
      <c r="F341" s="7" t="n">
        <v>-1469.8</v>
      </c>
      <c r="G341" s="7" t="n">
        <v>-657</v>
      </c>
      <c r="H341" s="8" t="n">
        <f aca="false">E341+F341+G341</f>
        <v>2582.91</v>
      </c>
      <c r="I341" s="9" t="n">
        <f aca="false">IF($H$1182=0,0,H341/$H$1182)</f>
        <v>0.000213964229196223</v>
      </c>
      <c r="J341" s="10" t="n">
        <f aca="false">IF(C341&lt;=0,0,H341/C341)</f>
        <v>46.1233928571429</v>
      </c>
    </row>
    <row r="342" customFormat="false" ht="15" hidden="false" customHeight="true" outlineLevel="0" collapsed="false">
      <c r="A342" s="11" t="n">
        <v>338</v>
      </c>
      <c r="B342" s="11" t="s">
        <v>349</v>
      </c>
      <c r="C342" s="12" t="n">
        <v>56</v>
      </c>
      <c r="D342" s="12" t="n">
        <v>20</v>
      </c>
      <c r="E342" s="13" t="n">
        <v>1418.55</v>
      </c>
      <c r="F342" s="13" t="n">
        <v>-19.01</v>
      </c>
      <c r="G342" s="13" t="n">
        <v>-50.97</v>
      </c>
      <c r="H342" s="14" t="n">
        <f aca="false">E342+F342+G342</f>
        <v>1348.57</v>
      </c>
      <c r="I342" s="15" t="n">
        <f aca="false">IF($H$1182=0,0,H342/$H$1182)</f>
        <v>0.000111713431969039</v>
      </c>
      <c r="J342" s="16" t="n">
        <f aca="false">IF(C342&lt;=0,0,H342/C342)</f>
        <v>24.0816071428571</v>
      </c>
    </row>
    <row r="343" customFormat="false" ht="15" hidden="false" customHeight="true" outlineLevel="0" collapsed="false">
      <c r="A343" s="5" t="n">
        <v>339</v>
      </c>
      <c r="B343" s="5" t="s">
        <v>350</v>
      </c>
      <c r="C343" s="6" t="n">
        <v>56</v>
      </c>
      <c r="D343" s="6" t="n">
        <v>28</v>
      </c>
      <c r="E343" s="7" t="n">
        <v>619.08</v>
      </c>
      <c r="F343" s="7" t="n">
        <v>-6</v>
      </c>
      <c r="G343" s="7" t="n">
        <v>-8.01</v>
      </c>
      <c r="H343" s="8" t="n">
        <f aca="false">E343+F343+G343</f>
        <v>605.07</v>
      </c>
      <c r="I343" s="9" t="n">
        <f aca="false">IF($H$1182=0,0,H343/$H$1182)</f>
        <v>5.01230535170636E-005</v>
      </c>
      <c r="J343" s="10" t="n">
        <f aca="false">IF(C343&lt;=0,0,H343/C343)</f>
        <v>10.8048214285714</v>
      </c>
    </row>
    <row r="344" customFormat="false" ht="15" hidden="false" customHeight="true" outlineLevel="0" collapsed="false">
      <c r="A344" s="11" t="n">
        <v>340</v>
      </c>
      <c r="B344" s="11" t="s">
        <v>351</v>
      </c>
      <c r="C344" s="12" t="n">
        <v>55</v>
      </c>
      <c r="D344" s="12" t="n">
        <v>37</v>
      </c>
      <c r="E344" s="13" t="n">
        <v>34439.43</v>
      </c>
      <c r="F344" s="13" t="n">
        <v>-43.55</v>
      </c>
      <c r="G344" s="13" t="n">
        <v>-1199.98</v>
      </c>
      <c r="H344" s="14" t="n">
        <f aca="false">E344+F344+G344</f>
        <v>33195.9</v>
      </c>
      <c r="I344" s="15" t="n">
        <f aca="false">IF($H$1182=0,0,H344/$H$1182)</f>
        <v>0.00274989649502883</v>
      </c>
      <c r="J344" s="16" t="n">
        <f aca="false">IF(C344&lt;=0,0,H344/C344)</f>
        <v>603.561818181818</v>
      </c>
    </row>
    <row r="345" customFormat="false" ht="15" hidden="false" customHeight="true" outlineLevel="0" collapsed="false">
      <c r="A345" s="5" t="n">
        <v>341</v>
      </c>
      <c r="B345" s="5" t="s">
        <v>352</v>
      </c>
      <c r="C345" s="6" t="n">
        <v>55</v>
      </c>
      <c r="D345" s="6" t="n">
        <v>21</v>
      </c>
      <c r="E345" s="7" t="n">
        <v>16249.72</v>
      </c>
      <c r="F345" s="7" t="n">
        <v>-34.38</v>
      </c>
      <c r="G345" s="7" t="n">
        <v>-855</v>
      </c>
      <c r="H345" s="8" t="n">
        <f aca="false">E345+F345+G345</f>
        <v>15360.34</v>
      </c>
      <c r="I345" s="9" t="n">
        <f aca="false">IF($H$1182=0,0,H345/$H$1182)</f>
        <v>0.00127242656859585</v>
      </c>
      <c r="J345" s="10" t="n">
        <f aca="false">IF(C345&lt;=0,0,H345/C345)</f>
        <v>279.278909090909</v>
      </c>
    </row>
    <row r="346" customFormat="false" ht="15" hidden="false" customHeight="true" outlineLevel="0" collapsed="false">
      <c r="A346" s="11" t="n">
        <v>342</v>
      </c>
      <c r="B346" s="11" t="s">
        <v>353</v>
      </c>
      <c r="C346" s="12" t="n">
        <v>55</v>
      </c>
      <c r="D346" s="12" t="n">
        <v>6</v>
      </c>
      <c r="E346" s="13" t="n">
        <v>10240</v>
      </c>
      <c r="F346" s="13" t="n">
        <v>-31</v>
      </c>
      <c r="G346" s="13" t="n">
        <v>0</v>
      </c>
      <c r="H346" s="14" t="n">
        <f aca="false">E346+F346+G346</f>
        <v>10209</v>
      </c>
      <c r="I346" s="15" t="n">
        <f aca="false">IF($H$1182=0,0,H346/$H$1182)</f>
        <v>0.000845697610781732</v>
      </c>
      <c r="J346" s="16" t="n">
        <f aca="false">IF(C346&lt;=0,0,H346/C346)</f>
        <v>185.618181818182</v>
      </c>
    </row>
    <row r="347" customFormat="false" ht="15" hidden="false" customHeight="true" outlineLevel="0" collapsed="false">
      <c r="A347" s="5" t="n">
        <v>343</v>
      </c>
      <c r="B347" s="5" t="s">
        <v>354</v>
      </c>
      <c r="C347" s="6" t="n">
        <v>55</v>
      </c>
      <c r="D347" s="6" t="n">
        <v>38</v>
      </c>
      <c r="E347" s="7" t="n">
        <v>3377.93</v>
      </c>
      <c r="F347" s="7" t="n">
        <v>-24.58</v>
      </c>
      <c r="G347" s="7" t="n">
        <v>-361.02</v>
      </c>
      <c r="H347" s="8" t="n">
        <f aca="false">E347+F347+G347</f>
        <v>2992.33</v>
      </c>
      <c r="I347" s="9" t="n">
        <f aca="false">IF($H$1182=0,0,H347/$H$1182)</f>
        <v>0.000247879942371486</v>
      </c>
      <c r="J347" s="10" t="n">
        <f aca="false">IF(C347&lt;=0,0,H347/C347)</f>
        <v>54.406</v>
      </c>
    </row>
    <row r="348" customFormat="false" ht="15" hidden="false" customHeight="true" outlineLevel="0" collapsed="false">
      <c r="A348" s="11" t="n">
        <v>344</v>
      </c>
      <c r="B348" s="11" t="s">
        <v>355</v>
      </c>
      <c r="C348" s="12" t="n">
        <v>55</v>
      </c>
      <c r="D348" s="12" t="n">
        <v>15</v>
      </c>
      <c r="E348" s="13" t="n">
        <v>3399.32</v>
      </c>
      <c r="F348" s="13" t="n">
        <v>-122.7</v>
      </c>
      <c r="G348" s="13" t="n">
        <v>-649.87</v>
      </c>
      <c r="H348" s="14" t="n">
        <f aca="false">E348+F348+G348</f>
        <v>2626.75</v>
      </c>
      <c r="I348" s="15" t="n">
        <f aca="false">IF($H$1182=0,0,H348/$H$1182)</f>
        <v>0.00021759586630629</v>
      </c>
      <c r="J348" s="16" t="n">
        <f aca="false">IF(C348&lt;=0,0,H348/C348)</f>
        <v>47.7590909090909</v>
      </c>
    </row>
    <row r="349" customFormat="false" ht="15" hidden="false" customHeight="true" outlineLevel="0" collapsed="false">
      <c r="A349" s="5" t="n">
        <v>345</v>
      </c>
      <c r="B349" s="5" t="s">
        <v>356</v>
      </c>
      <c r="C349" s="6" t="n">
        <v>54</v>
      </c>
      <c r="D349" s="6" t="n">
        <v>61</v>
      </c>
      <c r="E349" s="7" t="n">
        <v>35108.82</v>
      </c>
      <c r="F349" s="7" t="n">
        <v>-81.34</v>
      </c>
      <c r="G349" s="7" t="n">
        <v>-5939.11</v>
      </c>
      <c r="H349" s="8" t="n">
        <f aca="false">E349+F349+G349</f>
        <v>29088.37</v>
      </c>
      <c r="I349" s="9" t="n">
        <f aca="false">IF($H$1182=0,0,H349/$H$1182)</f>
        <v>0.00240963512690126</v>
      </c>
      <c r="J349" s="10" t="n">
        <f aca="false">IF(C349&lt;=0,0,H349/C349)</f>
        <v>538.673518518519</v>
      </c>
    </row>
    <row r="350" customFormat="false" ht="15" hidden="false" customHeight="true" outlineLevel="0" collapsed="false">
      <c r="A350" s="11" t="n">
        <v>346</v>
      </c>
      <c r="B350" s="11" t="s">
        <v>357</v>
      </c>
      <c r="C350" s="12" t="n">
        <v>54</v>
      </c>
      <c r="D350" s="12" t="n">
        <v>36</v>
      </c>
      <c r="E350" s="13" t="n">
        <v>15923</v>
      </c>
      <c r="F350" s="13" t="n">
        <v>-302.25</v>
      </c>
      <c r="G350" s="13" t="n">
        <v>-837</v>
      </c>
      <c r="H350" s="14" t="n">
        <f aca="false">E350+F350+G350</f>
        <v>14783.75</v>
      </c>
      <c r="I350" s="15" t="n">
        <f aca="false">IF($H$1182=0,0,H350/$H$1182)</f>
        <v>0.00122466275378533</v>
      </c>
      <c r="J350" s="16" t="n">
        <f aca="false">IF(C350&lt;=0,0,H350/C350)</f>
        <v>273.773148148148</v>
      </c>
    </row>
    <row r="351" customFormat="false" ht="15" hidden="false" customHeight="true" outlineLevel="0" collapsed="false">
      <c r="A351" s="5" t="n">
        <v>347</v>
      </c>
      <c r="B351" s="5" t="s">
        <v>358</v>
      </c>
      <c r="C351" s="6" t="n">
        <v>54</v>
      </c>
      <c r="D351" s="6" t="n">
        <v>38</v>
      </c>
      <c r="E351" s="7" t="n">
        <v>4240.6</v>
      </c>
      <c r="F351" s="7" t="n">
        <v>-125.67</v>
      </c>
      <c r="G351" s="7" t="n">
        <v>-718.14</v>
      </c>
      <c r="H351" s="8" t="n">
        <f aca="false">E351+F351+G351</f>
        <v>3396.79</v>
      </c>
      <c r="I351" s="9" t="n">
        <f aca="false">IF($H$1182=0,0,H351/$H$1182)</f>
        <v>0.00028138477689561</v>
      </c>
      <c r="J351" s="10" t="n">
        <f aca="false">IF(C351&lt;=0,0,H351/C351)</f>
        <v>62.9035185185185</v>
      </c>
    </row>
    <row r="352" customFormat="false" ht="15" hidden="false" customHeight="true" outlineLevel="0" collapsed="false">
      <c r="A352" s="11" t="n">
        <v>348</v>
      </c>
      <c r="B352" s="11" t="s">
        <v>359</v>
      </c>
      <c r="C352" s="12" t="n">
        <v>54</v>
      </c>
      <c r="D352" s="12" t="n">
        <v>30</v>
      </c>
      <c r="E352" s="13" t="n">
        <v>2241.68</v>
      </c>
      <c r="F352" s="13" t="n">
        <v>-5.69</v>
      </c>
      <c r="G352" s="13" t="n">
        <v>-131.68</v>
      </c>
      <c r="H352" s="14" t="n">
        <f aca="false">E352+F352+G352</f>
        <v>2104.31</v>
      </c>
      <c r="I352" s="15" t="n">
        <f aca="false">IF($H$1182=0,0,H352/$H$1182)</f>
        <v>0.000174317752898825</v>
      </c>
      <c r="J352" s="16" t="n">
        <f aca="false">IF(C352&lt;=0,0,H352/C352)</f>
        <v>38.9687037037037</v>
      </c>
    </row>
    <row r="353" customFormat="false" ht="15" hidden="false" customHeight="true" outlineLevel="0" collapsed="false">
      <c r="A353" s="5" t="n">
        <v>349</v>
      </c>
      <c r="B353" s="5" t="s">
        <v>360</v>
      </c>
      <c r="C353" s="6" t="n">
        <v>54</v>
      </c>
      <c r="D353" s="6" t="n">
        <v>17</v>
      </c>
      <c r="E353" s="7" t="n">
        <v>2156.98</v>
      </c>
      <c r="F353" s="7" t="n">
        <v>-20</v>
      </c>
      <c r="G353" s="7" t="n">
        <v>-78</v>
      </c>
      <c r="H353" s="8" t="n">
        <f aca="false">E353+F353+G353</f>
        <v>2058.98</v>
      </c>
      <c r="I353" s="9" t="n">
        <f aca="false">IF($H$1182=0,0,H353/$H$1182)</f>
        <v>0.000170562686516541</v>
      </c>
      <c r="J353" s="10" t="n">
        <f aca="false">IF(C353&lt;=0,0,H353/C353)</f>
        <v>38.1292592592593</v>
      </c>
    </row>
    <row r="354" customFormat="false" ht="15" hidden="false" customHeight="true" outlineLevel="0" collapsed="false">
      <c r="A354" s="11" t="n">
        <v>350</v>
      </c>
      <c r="B354" s="11" t="s">
        <v>361</v>
      </c>
      <c r="C354" s="12" t="n">
        <v>53</v>
      </c>
      <c r="D354" s="12" t="n">
        <v>51</v>
      </c>
      <c r="E354" s="13" t="n">
        <v>13109.31</v>
      </c>
      <c r="F354" s="13" t="n">
        <v>-37.98</v>
      </c>
      <c r="G354" s="13" t="n">
        <v>-3039.84</v>
      </c>
      <c r="H354" s="14" t="n">
        <f aca="false">E354+F354+G354</f>
        <v>10031.49</v>
      </c>
      <c r="I354" s="15" t="n">
        <f aca="false">IF($H$1182=0,0,H354/$H$1182)</f>
        <v>0.000830992959700346</v>
      </c>
      <c r="J354" s="16" t="n">
        <f aca="false">IF(C354&lt;=0,0,H354/C354)</f>
        <v>189.273396226415</v>
      </c>
    </row>
    <row r="355" customFormat="false" ht="15" hidden="false" customHeight="true" outlineLevel="0" collapsed="false">
      <c r="A355" s="5" t="n">
        <v>351</v>
      </c>
      <c r="B355" s="5" t="s">
        <v>362</v>
      </c>
      <c r="C355" s="6" t="n">
        <v>53</v>
      </c>
      <c r="D355" s="6" t="n">
        <v>28</v>
      </c>
      <c r="E355" s="7" t="n">
        <v>12640.08</v>
      </c>
      <c r="F355" s="7" t="n">
        <v>-473.51</v>
      </c>
      <c r="G355" s="7" t="n">
        <v>-2189</v>
      </c>
      <c r="H355" s="8" t="n">
        <f aca="false">E355+F355+G355</f>
        <v>9977.57</v>
      </c>
      <c r="I355" s="9" t="n">
        <f aca="false">IF($H$1182=0,0,H355/$H$1182)</f>
        <v>0.000826526311137965</v>
      </c>
      <c r="J355" s="10" t="n">
        <f aca="false">IF(C355&lt;=0,0,H355/C355)</f>
        <v>188.256037735849</v>
      </c>
    </row>
    <row r="356" customFormat="false" ht="15" hidden="false" customHeight="true" outlineLevel="0" collapsed="false">
      <c r="A356" s="11" t="n">
        <v>352</v>
      </c>
      <c r="B356" s="11" t="s">
        <v>363</v>
      </c>
      <c r="C356" s="12" t="n">
        <v>53</v>
      </c>
      <c r="D356" s="12" t="n">
        <v>30</v>
      </c>
      <c r="E356" s="13" t="n">
        <v>4620.96</v>
      </c>
      <c r="F356" s="13" t="n">
        <v>-34.39</v>
      </c>
      <c r="G356" s="13" t="n">
        <v>-85.49</v>
      </c>
      <c r="H356" s="14" t="n">
        <f aca="false">E356+F356+G356</f>
        <v>4501.08</v>
      </c>
      <c r="I356" s="15" t="n">
        <f aca="false">IF($H$1182=0,0,H356/$H$1182)</f>
        <v>0.000372862435296056</v>
      </c>
      <c r="J356" s="16" t="n">
        <f aca="false">IF(C356&lt;=0,0,H356/C356)</f>
        <v>84.9260377358491</v>
      </c>
    </row>
    <row r="357" customFormat="false" ht="15" hidden="false" customHeight="true" outlineLevel="0" collapsed="false">
      <c r="A357" s="5" t="n">
        <v>353</v>
      </c>
      <c r="B357" s="5" t="s">
        <v>364</v>
      </c>
      <c r="C357" s="6" t="n">
        <v>52</v>
      </c>
      <c r="D357" s="6" t="n">
        <v>47</v>
      </c>
      <c r="E357" s="7" t="n">
        <v>35519.44</v>
      </c>
      <c r="F357" s="7" t="n">
        <v>-432.8</v>
      </c>
      <c r="G357" s="7" t="n">
        <v>-4199.93</v>
      </c>
      <c r="H357" s="8" t="n">
        <f aca="false">E357+F357+G357</f>
        <v>30886.71</v>
      </c>
      <c r="I357" s="9" t="n">
        <f aca="false">IF($H$1182=0,0,H357/$H$1182)</f>
        <v>0.00255860680300796</v>
      </c>
      <c r="J357" s="10" t="n">
        <f aca="false">IF(C357&lt;=0,0,H357/C357)</f>
        <v>593.975192307692</v>
      </c>
    </row>
    <row r="358" customFormat="false" ht="15" hidden="false" customHeight="true" outlineLevel="0" collapsed="false">
      <c r="A358" s="11" t="n">
        <v>354</v>
      </c>
      <c r="B358" s="11" t="s">
        <v>365</v>
      </c>
      <c r="C358" s="12" t="n">
        <v>52</v>
      </c>
      <c r="D358" s="12" t="n">
        <v>39</v>
      </c>
      <c r="E358" s="13" t="n">
        <v>9300</v>
      </c>
      <c r="F358" s="13" t="n">
        <v>-67.49</v>
      </c>
      <c r="G358" s="13" t="n">
        <v>-1500</v>
      </c>
      <c r="H358" s="14" t="n">
        <f aca="false">E358+F358+G358</f>
        <v>7732.51</v>
      </c>
      <c r="I358" s="15" t="n">
        <f aca="false">IF($H$1182=0,0,H358/$H$1182)</f>
        <v>0.000640549048128695</v>
      </c>
      <c r="J358" s="16" t="n">
        <f aca="false">IF(C358&lt;=0,0,H358/C358)</f>
        <v>148.702115384615</v>
      </c>
    </row>
    <row r="359" customFormat="false" ht="15" hidden="false" customHeight="true" outlineLevel="0" collapsed="false">
      <c r="A359" s="5" t="n">
        <v>355</v>
      </c>
      <c r="B359" s="5" t="s">
        <v>366</v>
      </c>
      <c r="C359" s="6" t="n">
        <v>52</v>
      </c>
      <c r="D359" s="6" t="n">
        <v>31</v>
      </c>
      <c r="E359" s="7" t="n">
        <v>3405.81</v>
      </c>
      <c r="F359" s="7" t="n">
        <v>-94.51</v>
      </c>
      <c r="G359" s="7" t="n">
        <v>0</v>
      </c>
      <c r="H359" s="8" t="n">
        <f aca="false">E359+F359+G359</f>
        <v>3311.3</v>
      </c>
      <c r="I359" s="9" t="n">
        <f aca="false">IF($H$1182=0,0,H359/$H$1182)</f>
        <v>0.000274302918854104</v>
      </c>
      <c r="J359" s="10" t="n">
        <f aca="false">IF(C359&lt;=0,0,H359/C359)</f>
        <v>63.6788461538462</v>
      </c>
    </row>
    <row r="360" customFormat="false" ht="15" hidden="false" customHeight="true" outlineLevel="0" collapsed="false">
      <c r="A360" s="11" t="n">
        <v>356</v>
      </c>
      <c r="B360" s="11" t="s">
        <v>367</v>
      </c>
      <c r="C360" s="12" t="n">
        <v>52</v>
      </c>
      <c r="D360" s="12" t="n">
        <v>28</v>
      </c>
      <c r="E360" s="13" t="n">
        <v>1101</v>
      </c>
      <c r="F360" s="13" t="n">
        <v>-4.66</v>
      </c>
      <c r="G360" s="13" t="n">
        <v>-95</v>
      </c>
      <c r="H360" s="14" t="n">
        <f aca="false">E360+F360+G360</f>
        <v>1001.34</v>
      </c>
      <c r="I360" s="15" t="n">
        <f aca="false">IF($H$1182=0,0,H360/$H$1182)</f>
        <v>8.29494412361817E-005</v>
      </c>
      <c r="J360" s="16" t="n">
        <f aca="false">IF(C360&lt;=0,0,H360/C360)</f>
        <v>19.2565384615385</v>
      </c>
    </row>
    <row r="361" customFormat="false" ht="15" hidden="false" customHeight="true" outlineLevel="0" collapsed="false">
      <c r="A361" s="5" t="n">
        <v>357</v>
      </c>
      <c r="B361" s="5" t="s">
        <v>368</v>
      </c>
      <c r="C361" s="6" t="n">
        <v>51</v>
      </c>
      <c r="D361" s="6" t="n">
        <v>37</v>
      </c>
      <c r="E361" s="7" t="n">
        <v>2494</v>
      </c>
      <c r="F361" s="7" t="n">
        <v>-8.89</v>
      </c>
      <c r="G361" s="7" t="n">
        <v>-301</v>
      </c>
      <c r="H361" s="8" t="n">
        <f aca="false">E361+F361+G361</f>
        <v>2184.11</v>
      </c>
      <c r="I361" s="9" t="n">
        <f aca="false">IF($H$1182=0,0,H361/$H$1182)</f>
        <v>0.000180928260229649</v>
      </c>
      <c r="J361" s="10" t="n">
        <f aca="false">IF(C361&lt;=0,0,H361/C361)</f>
        <v>42.8256862745098</v>
      </c>
    </row>
    <row r="362" customFormat="false" ht="15" hidden="false" customHeight="true" outlineLevel="0" collapsed="false">
      <c r="A362" s="11" t="n">
        <v>358</v>
      </c>
      <c r="B362" s="11" t="s">
        <v>369</v>
      </c>
      <c r="C362" s="12" t="n">
        <v>51</v>
      </c>
      <c r="D362" s="12" t="n">
        <v>37</v>
      </c>
      <c r="E362" s="13" t="n">
        <v>1374.43</v>
      </c>
      <c r="F362" s="13" t="n">
        <v>-9.96</v>
      </c>
      <c r="G362" s="13" t="n">
        <v>-159.93</v>
      </c>
      <c r="H362" s="14" t="n">
        <f aca="false">E362+F362+G362</f>
        <v>1204.54</v>
      </c>
      <c r="I362" s="15" t="n">
        <f aca="false">IF($H$1182=0,0,H362/$H$1182)</f>
        <v>9.97822117828413E-005</v>
      </c>
      <c r="J362" s="16" t="n">
        <f aca="false">IF(C362&lt;=0,0,H362/C362)</f>
        <v>23.618431372549</v>
      </c>
    </row>
    <row r="363" customFormat="false" ht="15" hidden="false" customHeight="true" outlineLevel="0" collapsed="false">
      <c r="A363" s="5" t="n">
        <v>359</v>
      </c>
      <c r="B363" s="5" t="s">
        <v>370</v>
      </c>
      <c r="C363" s="6" t="n">
        <v>50</v>
      </c>
      <c r="D363" s="6" t="n">
        <v>38</v>
      </c>
      <c r="E363" s="7" t="n">
        <v>14578.32</v>
      </c>
      <c r="F363" s="7" t="n">
        <v>-176.96</v>
      </c>
      <c r="G363" s="7" t="n">
        <v>-294.68</v>
      </c>
      <c r="H363" s="8" t="n">
        <f aca="false">E363+F363+G363</f>
        <v>14106.68</v>
      </c>
      <c r="I363" s="9" t="n">
        <f aca="false">IF($H$1182=0,0,H363/$H$1182)</f>
        <v>0.00116857533275173</v>
      </c>
      <c r="J363" s="10" t="n">
        <f aca="false">IF(C363&lt;=0,0,H363/C363)</f>
        <v>282.1336</v>
      </c>
    </row>
    <row r="364" customFormat="false" ht="15" hidden="false" customHeight="true" outlineLevel="0" collapsed="false">
      <c r="A364" s="11" t="n">
        <v>360</v>
      </c>
      <c r="B364" s="11" t="s">
        <v>371</v>
      </c>
      <c r="C364" s="12" t="n">
        <v>50</v>
      </c>
      <c r="D364" s="12" t="n">
        <v>48</v>
      </c>
      <c r="E364" s="13" t="n">
        <v>11874.44</v>
      </c>
      <c r="F364" s="13" t="n">
        <v>-42.48</v>
      </c>
      <c r="G364" s="13" t="n">
        <v>-1274.94</v>
      </c>
      <c r="H364" s="14" t="n">
        <f aca="false">E364+F364+G364</f>
        <v>10557.02</v>
      </c>
      <c r="I364" s="15" t="n">
        <f aca="false">IF($H$1182=0,0,H364/$H$1182)</f>
        <v>0.000874527043880395</v>
      </c>
      <c r="J364" s="16" t="n">
        <f aca="false">IF(C364&lt;=0,0,H364/C364)</f>
        <v>211.1404</v>
      </c>
    </row>
    <row r="365" customFormat="false" ht="15" hidden="false" customHeight="true" outlineLevel="0" collapsed="false">
      <c r="A365" s="5" t="n">
        <v>361</v>
      </c>
      <c r="B365" s="5" t="s">
        <v>372</v>
      </c>
      <c r="C365" s="6" t="n">
        <v>50</v>
      </c>
      <c r="D365" s="6" t="n">
        <v>34</v>
      </c>
      <c r="E365" s="7" t="n">
        <v>4767.65</v>
      </c>
      <c r="F365" s="7" t="n">
        <v>-16.34</v>
      </c>
      <c r="G365" s="7" t="n">
        <v>-718.36</v>
      </c>
      <c r="H365" s="8" t="n">
        <f aca="false">E365+F365+G365</f>
        <v>4032.95</v>
      </c>
      <c r="I365" s="9" t="n">
        <f aca="false">IF($H$1182=0,0,H365/$H$1182)</f>
        <v>0.000334083277441687</v>
      </c>
      <c r="J365" s="10" t="n">
        <f aca="false">IF(C365&lt;=0,0,H365/C365)</f>
        <v>80.659</v>
      </c>
    </row>
    <row r="366" customFormat="false" ht="15" hidden="false" customHeight="true" outlineLevel="0" collapsed="false">
      <c r="A366" s="11" t="n">
        <v>362</v>
      </c>
      <c r="B366" s="11" t="s">
        <v>373</v>
      </c>
      <c r="C366" s="12" t="n">
        <v>50</v>
      </c>
      <c r="D366" s="12" t="n">
        <v>21</v>
      </c>
      <c r="E366" s="13" t="n">
        <v>1843.44</v>
      </c>
      <c r="F366" s="13" t="n">
        <v>-3.99</v>
      </c>
      <c r="G366" s="13" t="n">
        <v>-39.99</v>
      </c>
      <c r="H366" s="14" t="n">
        <f aca="false">E366+F366+G366</f>
        <v>1799.46</v>
      </c>
      <c r="I366" s="15" t="n">
        <f aca="false">IF($H$1182=0,0,H366/$H$1182)</f>
        <v>0.000149064455156949</v>
      </c>
      <c r="J366" s="16" t="n">
        <f aca="false">IF(C366&lt;=0,0,H366/C366)</f>
        <v>35.9892</v>
      </c>
    </row>
    <row r="367" customFormat="false" ht="15" hidden="false" customHeight="true" outlineLevel="0" collapsed="false">
      <c r="A367" s="5" t="n">
        <v>363</v>
      </c>
      <c r="B367" s="5" t="s">
        <v>374</v>
      </c>
      <c r="C367" s="6" t="n">
        <v>50</v>
      </c>
      <c r="D367" s="6" t="n">
        <v>23</v>
      </c>
      <c r="E367" s="7" t="n">
        <v>1395.02</v>
      </c>
      <c r="F367" s="7" t="n">
        <v>-14.95</v>
      </c>
      <c r="G367" s="7" t="n">
        <v>-119.96</v>
      </c>
      <c r="H367" s="8" t="n">
        <f aca="false">E367+F367+G367</f>
        <v>1260.11</v>
      </c>
      <c r="I367" s="9" t="n">
        <f aca="false">IF($H$1182=0,0,H367/$H$1182)</f>
        <v>0.000104385543767476</v>
      </c>
      <c r="J367" s="10" t="n">
        <f aca="false">IF(C367&lt;=0,0,H367/C367)</f>
        <v>25.2022</v>
      </c>
    </row>
    <row r="368" customFormat="false" ht="15" hidden="false" customHeight="true" outlineLevel="0" collapsed="false">
      <c r="A368" s="11" t="n">
        <v>364</v>
      </c>
      <c r="B368" s="11" t="s">
        <v>375</v>
      </c>
      <c r="C368" s="12" t="n">
        <v>50</v>
      </c>
      <c r="D368" s="12" t="n">
        <v>42</v>
      </c>
      <c r="E368" s="13" t="n">
        <v>1215.15</v>
      </c>
      <c r="F368" s="13" t="n">
        <v>-15.41</v>
      </c>
      <c r="G368" s="13" t="n">
        <v>-176.05</v>
      </c>
      <c r="H368" s="14" t="n">
        <f aca="false">E368+F368+G368</f>
        <v>1023.69</v>
      </c>
      <c r="I368" s="15" t="n">
        <f aca="false">IF($H$1182=0,0,H368/$H$1182)</f>
        <v>8.48008803194388E-005</v>
      </c>
      <c r="J368" s="16" t="n">
        <f aca="false">IF(C368&lt;=0,0,H368/C368)</f>
        <v>20.4738</v>
      </c>
    </row>
    <row r="369" customFormat="false" ht="15" hidden="false" customHeight="true" outlineLevel="0" collapsed="false">
      <c r="A369" s="5" t="n">
        <v>365</v>
      </c>
      <c r="B369" s="5" t="s">
        <v>376</v>
      </c>
      <c r="C369" s="6" t="n">
        <v>49</v>
      </c>
      <c r="D369" s="6" t="n">
        <v>53</v>
      </c>
      <c r="E369" s="7" t="n">
        <v>45313.2</v>
      </c>
      <c r="F369" s="7" t="n">
        <v>-354.64</v>
      </c>
      <c r="G369" s="7" t="n">
        <v>-12903.2</v>
      </c>
      <c r="H369" s="8" t="n">
        <f aca="false">E369+F369+G369</f>
        <v>32055.36</v>
      </c>
      <c r="I369" s="9" t="n">
        <f aca="false">IF($H$1182=0,0,H369/$H$1182)</f>
        <v>0.00265541594326068</v>
      </c>
      <c r="J369" s="10" t="n">
        <f aca="false">IF(C369&lt;=0,0,H369/C369)</f>
        <v>654.191020408163</v>
      </c>
    </row>
    <row r="370" customFormat="false" ht="15" hidden="false" customHeight="true" outlineLevel="0" collapsed="false">
      <c r="A370" s="11" t="n">
        <v>366</v>
      </c>
      <c r="B370" s="11" t="s">
        <v>377</v>
      </c>
      <c r="C370" s="12" t="n">
        <v>49</v>
      </c>
      <c r="D370" s="12" t="n">
        <v>29</v>
      </c>
      <c r="E370" s="13" t="n">
        <v>19639.47</v>
      </c>
      <c r="F370" s="13" t="n">
        <v>-386.91</v>
      </c>
      <c r="G370" s="13" t="n">
        <v>-1479.96</v>
      </c>
      <c r="H370" s="14" t="n">
        <f aca="false">E370+F370+G370</f>
        <v>17772.6</v>
      </c>
      <c r="I370" s="15" t="n">
        <f aca="false">IF($H$1182=0,0,H370/$H$1182)</f>
        <v>0.00147225441839352</v>
      </c>
      <c r="J370" s="16" t="n">
        <f aca="false">IF(C370&lt;=0,0,H370/C370)</f>
        <v>362.70612244898</v>
      </c>
    </row>
    <row r="371" customFormat="false" ht="15" hidden="false" customHeight="true" outlineLevel="0" collapsed="false">
      <c r="A371" s="5" t="n">
        <v>367</v>
      </c>
      <c r="B371" s="5" t="s">
        <v>378</v>
      </c>
      <c r="C371" s="6" t="n">
        <v>49</v>
      </c>
      <c r="D371" s="6" t="n">
        <v>43</v>
      </c>
      <c r="E371" s="7" t="n">
        <v>6700.98</v>
      </c>
      <c r="F371" s="7" t="n">
        <v>-21.2</v>
      </c>
      <c r="G371" s="7" t="n">
        <v>-1273.78</v>
      </c>
      <c r="H371" s="8" t="n">
        <f aca="false">E371+F371+G371</f>
        <v>5406</v>
      </c>
      <c r="I371" s="9" t="n">
        <f aca="false">IF($H$1182=0,0,H371/$H$1182)</f>
        <v>0.000447824594366347</v>
      </c>
      <c r="J371" s="10" t="n">
        <f aca="false">IF(C371&lt;=0,0,H371/C371)</f>
        <v>110.326530612245</v>
      </c>
    </row>
    <row r="372" customFormat="false" ht="15" hidden="false" customHeight="true" outlineLevel="0" collapsed="false">
      <c r="A372" s="11" t="n">
        <v>368</v>
      </c>
      <c r="B372" s="11" t="s">
        <v>379</v>
      </c>
      <c r="C372" s="12" t="n">
        <v>48</v>
      </c>
      <c r="D372" s="12" t="n">
        <v>54</v>
      </c>
      <c r="E372" s="13" t="n">
        <v>29921.1</v>
      </c>
      <c r="F372" s="13" t="n">
        <v>-201.68</v>
      </c>
      <c r="G372" s="13" t="n">
        <v>-7198.93</v>
      </c>
      <c r="H372" s="14" t="n">
        <f aca="false">E372+F372+G372</f>
        <v>22520.49</v>
      </c>
      <c r="I372" s="15" t="n">
        <f aca="false">IF($H$1182=0,0,H372/$H$1182)</f>
        <v>0.00186556220850562</v>
      </c>
      <c r="J372" s="16" t="n">
        <f aca="false">IF(C372&lt;=0,0,H372/C372)</f>
        <v>469.176875</v>
      </c>
    </row>
    <row r="373" customFormat="false" ht="15" hidden="false" customHeight="true" outlineLevel="0" collapsed="false">
      <c r="A373" s="5" t="n">
        <v>369</v>
      </c>
      <c r="B373" s="5" t="s">
        <v>380</v>
      </c>
      <c r="C373" s="6" t="n">
        <v>48</v>
      </c>
      <c r="D373" s="6" t="n">
        <v>22</v>
      </c>
      <c r="E373" s="7" t="n">
        <v>3717.39</v>
      </c>
      <c r="F373" s="7" t="n">
        <v>-40.71</v>
      </c>
      <c r="G373" s="7" t="n">
        <v>-402.45</v>
      </c>
      <c r="H373" s="8" t="n">
        <f aca="false">E373+F373+G373</f>
        <v>3274.23</v>
      </c>
      <c r="I373" s="9" t="n">
        <f aca="false">IF($H$1182=0,0,H373/$H$1182)</f>
        <v>0.000271232097967467</v>
      </c>
      <c r="J373" s="10" t="n">
        <f aca="false">IF(C373&lt;=0,0,H373/C373)</f>
        <v>68.213125</v>
      </c>
    </row>
    <row r="374" customFormat="false" ht="15" hidden="false" customHeight="true" outlineLevel="0" collapsed="false">
      <c r="A374" s="11" t="n">
        <v>370</v>
      </c>
      <c r="B374" s="11" t="s">
        <v>381</v>
      </c>
      <c r="C374" s="12" t="n">
        <v>47</v>
      </c>
      <c r="D374" s="12" t="n">
        <v>38</v>
      </c>
      <c r="E374" s="13" t="n">
        <v>30879.78</v>
      </c>
      <c r="F374" s="13" t="n">
        <v>-104.9</v>
      </c>
      <c r="G374" s="13" t="n">
        <v>-2991.47</v>
      </c>
      <c r="H374" s="14" t="n">
        <f aca="false">E374+F374+G374</f>
        <v>27783.41</v>
      </c>
      <c r="I374" s="15" t="n">
        <f aca="false">IF($H$1182=0,0,H374/$H$1182)</f>
        <v>0.00230153427920161</v>
      </c>
      <c r="J374" s="16" t="n">
        <f aca="false">IF(C374&lt;=0,0,H374/C374)</f>
        <v>591.136382978723</v>
      </c>
    </row>
    <row r="375" customFormat="false" ht="15" hidden="false" customHeight="true" outlineLevel="0" collapsed="false">
      <c r="A375" s="5" t="n">
        <v>371</v>
      </c>
      <c r="B375" s="5" t="s">
        <v>382</v>
      </c>
      <c r="C375" s="6" t="n">
        <v>47</v>
      </c>
      <c r="D375" s="6" t="n">
        <v>37</v>
      </c>
      <c r="E375" s="7" t="n">
        <v>26929.04</v>
      </c>
      <c r="F375" s="7" t="n">
        <v>-72.49</v>
      </c>
      <c r="G375" s="7" t="n">
        <v>0</v>
      </c>
      <c r="H375" s="8" t="n">
        <f aca="false">E375+F375+G375</f>
        <v>26856.55</v>
      </c>
      <c r="I375" s="9" t="n">
        <f aca="false">IF($H$1182=0,0,H375/$H$1182)</f>
        <v>0.00222475464480753</v>
      </c>
      <c r="J375" s="10" t="n">
        <f aca="false">IF(C375&lt;=0,0,H375/C375)</f>
        <v>571.415957446809</v>
      </c>
    </row>
    <row r="376" customFormat="false" ht="15" hidden="false" customHeight="true" outlineLevel="0" collapsed="false">
      <c r="A376" s="11" t="n">
        <v>372</v>
      </c>
      <c r="B376" s="11" t="s">
        <v>383</v>
      </c>
      <c r="C376" s="12" t="n">
        <v>47</v>
      </c>
      <c r="D376" s="12" t="n">
        <v>35</v>
      </c>
      <c r="E376" s="13" t="n">
        <v>27829.5</v>
      </c>
      <c r="F376" s="13" t="n">
        <v>-249.94</v>
      </c>
      <c r="G376" s="13" t="n">
        <v>-1666.47</v>
      </c>
      <c r="H376" s="14" t="n">
        <f aca="false">E376+F376+G376</f>
        <v>25913.09</v>
      </c>
      <c r="I376" s="15" t="n">
        <f aca="false">IF($H$1182=0,0,H376/$H$1182)</f>
        <v>0.00214659989234714</v>
      </c>
      <c r="J376" s="16" t="n">
        <f aca="false">IF(C376&lt;=0,0,H376/C376)</f>
        <v>551.342340425532</v>
      </c>
    </row>
    <row r="377" customFormat="false" ht="15" hidden="false" customHeight="true" outlineLevel="0" collapsed="false">
      <c r="A377" s="5" t="n">
        <v>373</v>
      </c>
      <c r="B377" s="5" t="s">
        <v>384</v>
      </c>
      <c r="C377" s="6" t="n">
        <v>47</v>
      </c>
      <c r="D377" s="6" t="n">
        <v>51</v>
      </c>
      <c r="E377" s="7" t="n">
        <v>20980.11</v>
      </c>
      <c r="F377" s="7" t="n">
        <v>-114.47</v>
      </c>
      <c r="G377" s="7" t="n">
        <v>-2142.76</v>
      </c>
      <c r="H377" s="8" t="n">
        <f aca="false">E377+F377+G377</f>
        <v>18722.88</v>
      </c>
      <c r="I377" s="9" t="n">
        <f aca="false">IF($H$1182=0,0,H377/$H$1182)</f>
        <v>0.00155097412899922</v>
      </c>
      <c r="J377" s="10" t="n">
        <f aca="false">IF(C377&lt;=0,0,H377/C377)</f>
        <v>398.35914893617</v>
      </c>
    </row>
    <row r="378" customFormat="false" ht="15" hidden="false" customHeight="true" outlineLevel="0" collapsed="false">
      <c r="A378" s="11" t="n">
        <v>374</v>
      </c>
      <c r="B378" s="11" t="s">
        <v>385</v>
      </c>
      <c r="C378" s="12" t="n">
        <v>47</v>
      </c>
      <c r="D378" s="12" t="n">
        <v>48</v>
      </c>
      <c r="E378" s="13" t="n">
        <v>20075</v>
      </c>
      <c r="F378" s="13" t="n">
        <v>-222.64</v>
      </c>
      <c r="G378" s="13" t="n">
        <v>-2920</v>
      </c>
      <c r="H378" s="14" t="n">
        <f aca="false">E378+F378+G378</f>
        <v>16932.36</v>
      </c>
      <c r="I378" s="15" t="n">
        <f aca="false">IF($H$1182=0,0,H378/$H$1182)</f>
        <v>0.00140265024947558</v>
      </c>
      <c r="J378" s="16" t="n">
        <f aca="false">IF(C378&lt;=0,0,H378/C378)</f>
        <v>360.262978723404</v>
      </c>
    </row>
    <row r="379" customFormat="false" ht="15" hidden="false" customHeight="true" outlineLevel="0" collapsed="false">
      <c r="A379" s="5" t="n">
        <v>375</v>
      </c>
      <c r="B379" s="5" t="s">
        <v>386</v>
      </c>
      <c r="C379" s="6" t="n">
        <v>47</v>
      </c>
      <c r="D379" s="6" t="n">
        <v>22</v>
      </c>
      <c r="E379" s="7" t="n">
        <v>4735.68</v>
      </c>
      <c r="F379" s="7" t="n">
        <v>-143.4</v>
      </c>
      <c r="G379" s="7" t="n">
        <v>-739.91</v>
      </c>
      <c r="H379" s="8" t="n">
        <f aca="false">E379+F379+G379</f>
        <v>3852.37</v>
      </c>
      <c r="I379" s="9" t="n">
        <f aca="false">IF($H$1182=0,0,H379/$H$1182)</f>
        <v>0.000319124312356472</v>
      </c>
      <c r="J379" s="10" t="n">
        <f aca="false">IF(C379&lt;=0,0,H379/C379)</f>
        <v>81.9653191489362</v>
      </c>
    </row>
    <row r="380" customFormat="false" ht="15" hidden="false" customHeight="true" outlineLevel="0" collapsed="false">
      <c r="A380" s="11" t="n">
        <v>376</v>
      </c>
      <c r="B380" s="11" t="s">
        <v>387</v>
      </c>
      <c r="C380" s="12" t="n">
        <v>47</v>
      </c>
      <c r="D380" s="12" t="n">
        <v>15</v>
      </c>
      <c r="E380" s="13" t="n">
        <v>2151.84</v>
      </c>
      <c r="F380" s="13" t="n">
        <v>-20.89</v>
      </c>
      <c r="G380" s="13" t="n">
        <v>-173.76</v>
      </c>
      <c r="H380" s="14" t="n">
        <f aca="false">E380+F380+G380</f>
        <v>1957.19</v>
      </c>
      <c r="I380" s="15" t="n">
        <f aca="false">IF($H$1182=0,0,H380/$H$1182)</f>
        <v>0.000162130561940043</v>
      </c>
      <c r="J380" s="16" t="n">
        <f aca="false">IF(C380&lt;=0,0,H380/C380)</f>
        <v>41.6423404255319</v>
      </c>
    </row>
    <row r="381" customFormat="false" ht="15" hidden="false" customHeight="true" outlineLevel="0" collapsed="false">
      <c r="A381" s="5" t="n">
        <v>377</v>
      </c>
      <c r="B381" s="5" t="s">
        <v>388</v>
      </c>
      <c r="C381" s="6" t="n">
        <v>47</v>
      </c>
      <c r="D381" s="6" t="n">
        <v>25</v>
      </c>
      <c r="E381" s="7" t="n">
        <v>2899.51</v>
      </c>
      <c r="F381" s="7" t="n">
        <v>-959.92</v>
      </c>
      <c r="G381" s="7" t="n">
        <v>-119.98</v>
      </c>
      <c r="H381" s="8" t="n">
        <f aca="false">E381+F381+G381</f>
        <v>1819.61</v>
      </c>
      <c r="I381" s="9" t="n">
        <f aca="false">IF($H$1182=0,0,H381/$H$1182)</f>
        <v>0.000150733649677201</v>
      </c>
      <c r="J381" s="10" t="n">
        <f aca="false">IF(C381&lt;=0,0,H381/C381)</f>
        <v>38.7151063829787</v>
      </c>
    </row>
    <row r="382" customFormat="false" ht="15" hidden="false" customHeight="true" outlineLevel="0" collapsed="false">
      <c r="A382" s="11" t="n">
        <v>378</v>
      </c>
      <c r="B382" s="11" t="s">
        <v>389</v>
      </c>
      <c r="C382" s="12" t="n">
        <v>47</v>
      </c>
      <c r="D382" s="12" t="n">
        <v>23</v>
      </c>
      <c r="E382" s="13" t="n">
        <v>1119.81</v>
      </c>
      <c r="F382" s="13" t="n">
        <v>-1.93</v>
      </c>
      <c r="G382" s="13" t="n">
        <v>-95</v>
      </c>
      <c r="H382" s="14" t="n">
        <f aca="false">E382+F382+G382</f>
        <v>1022.88</v>
      </c>
      <c r="I382" s="15" t="n">
        <f aca="false">IF($H$1182=0,0,H382/$H$1182)</f>
        <v>8.47337811848778E-005</v>
      </c>
      <c r="J382" s="16" t="n">
        <f aca="false">IF(C382&lt;=0,0,H382/C382)</f>
        <v>21.7634042553191</v>
      </c>
    </row>
    <row r="383" customFormat="false" ht="15" hidden="false" customHeight="true" outlineLevel="0" collapsed="false">
      <c r="A383" s="5" t="n">
        <v>379</v>
      </c>
      <c r="B383" s="5" t="s">
        <v>390</v>
      </c>
      <c r="C383" s="6" t="n">
        <v>46</v>
      </c>
      <c r="D383" s="6" t="n">
        <v>31</v>
      </c>
      <c r="E383" s="7" t="n">
        <v>8569.48</v>
      </c>
      <c r="F383" s="7" t="n">
        <v>-118.93</v>
      </c>
      <c r="G383" s="7" t="n">
        <v>-969.94</v>
      </c>
      <c r="H383" s="8" t="n">
        <f aca="false">E383+F383+G383</f>
        <v>7480.61</v>
      </c>
      <c r="I383" s="9" t="n">
        <f aca="false">IF($H$1182=0,0,H383/$H$1182)</f>
        <v>0.000619682045664603</v>
      </c>
      <c r="J383" s="10" t="n">
        <f aca="false">IF(C383&lt;=0,0,H383/C383)</f>
        <v>162.621956521739</v>
      </c>
    </row>
    <row r="384" customFormat="false" ht="15" hidden="false" customHeight="true" outlineLevel="0" collapsed="false">
      <c r="A384" s="11" t="n">
        <v>380</v>
      </c>
      <c r="B384" s="11" t="s">
        <v>391</v>
      </c>
      <c r="C384" s="12" t="n">
        <v>46</v>
      </c>
      <c r="D384" s="12" t="n">
        <v>29</v>
      </c>
      <c r="E384" s="13" t="n">
        <v>7548.02</v>
      </c>
      <c r="F384" s="13" t="n">
        <v>-63.84</v>
      </c>
      <c r="G384" s="13" t="n">
        <v>-309.98</v>
      </c>
      <c r="H384" s="14" t="n">
        <f aca="false">E384+F384+G384</f>
        <v>7174.2</v>
      </c>
      <c r="I384" s="15" t="n">
        <f aca="false">IF($H$1182=0,0,H384/$H$1182)</f>
        <v>0.000594299519959869</v>
      </c>
      <c r="J384" s="16" t="n">
        <f aca="false">IF(C384&lt;=0,0,H384/C384)</f>
        <v>155.960869565217</v>
      </c>
    </row>
    <row r="385" customFormat="false" ht="15" hidden="false" customHeight="true" outlineLevel="0" collapsed="false">
      <c r="A385" s="5" t="n">
        <v>381</v>
      </c>
      <c r="B385" s="5" t="s">
        <v>392</v>
      </c>
      <c r="C385" s="6" t="n">
        <v>46</v>
      </c>
      <c r="D385" s="6" t="n">
        <v>13</v>
      </c>
      <c r="E385" s="7" t="n">
        <v>3429.62</v>
      </c>
      <c r="F385" s="7" t="n">
        <v>-25.56</v>
      </c>
      <c r="G385" s="7" t="n">
        <v>-765</v>
      </c>
      <c r="H385" s="8" t="n">
        <f aca="false">E385+F385+G385</f>
        <v>2639.06</v>
      </c>
      <c r="I385" s="9" t="n">
        <f aca="false">IF($H$1182=0,0,H385/$H$1182)</f>
        <v>0.000218615607474742</v>
      </c>
      <c r="J385" s="10" t="n">
        <f aca="false">IF(C385&lt;=0,0,H385/C385)</f>
        <v>57.3708695652174</v>
      </c>
    </row>
    <row r="386" customFormat="false" ht="15" hidden="false" customHeight="true" outlineLevel="0" collapsed="false">
      <c r="A386" s="11" t="n">
        <v>382</v>
      </c>
      <c r="B386" s="11" t="s">
        <v>393</v>
      </c>
      <c r="C386" s="12" t="n">
        <v>45</v>
      </c>
      <c r="D386" s="12" t="n">
        <v>33</v>
      </c>
      <c r="E386" s="13" t="n">
        <v>2660.88</v>
      </c>
      <c r="F386" s="13" t="n">
        <v>-3.69</v>
      </c>
      <c r="G386" s="13" t="n">
        <v>-564.83</v>
      </c>
      <c r="H386" s="14" t="n">
        <f aca="false">E386+F386+G386</f>
        <v>2092.36</v>
      </c>
      <c r="I386" s="15" t="n">
        <f aca="false">IF($H$1182=0,0,H386/$H$1182)</f>
        <v>0.000173327833567956</v>
      </c>
      <c r="J386" s="16" t="n">
        <f aca="false">IF(C386&lt;=0,0,H386/C386)</f>
        <v>46.4968888888889</v>
      </c>
    </row>
    <row r="387" customFormat="false" ht="15" hidden="false" customHeight="true" outlineLevel="0" collapsed="false">
      <c r="A387" s="5" t="n">
        <v>383</v>
      </c>
      <c r="B387" s="5" t="s">
        <v>394</v>
      </c>
      <c r="C387" s="6" t="n">
        <v>45</v>
      </c>
      <c r="D387" s="6" t="n">
        <v>33</v>
      </c>
      <c r="E387" s="7" t="n">
        <v>1028.42</v>
      </c>
      <c r="F387" s="7" t="n">
        <v>-15.99</v>
      </c>
      <c r="G387" s="7" t="n">
        <v>-65.16</v>
      </c>
      <c r="H387" s="8" t="n">
        <f aca="false">E387+F387+G387</f>
        <v>947.27</v>
      </c>
      <c r="I387" s="9" t="n">
        <f aca="false">IF($H$1182=0,0,H387/$H$1182)</f>
        <v>7.84703669081409E-005</v>
      </c>
      <c r="J387" s="10" t="n">
        <f aca="false">IF(C387&lt;=0,0,H387/C387)</f>
        <v>21.0504444444444</v>
      </c>
    </row>
    <row r="388" customFormat="false" ht="15" hidden="false" customHeight="true" outlineLevel="0" collapsed="false">
      <c r="A388" s="11" t="n">
        <v>384</v>
      </c>
      <c r="B388" s="11" t="s">
        <v>395</v>
      </c>
      <c r="C388" s="12" t="n">
        <v>45</v>
      </c>
      <c r="D388" s="12" t="n">
        <v>12</v>
      </c>
      <c r="E388" s="13" t="n">
        <v>912</v>
      </c>
      <c r="F388" s="13" t="n">
        <v>-570</v>
      </c>
      <c r="G388" s="13" t="n">
        <v>-57</v>
      </c>
      <c r="H388" s="14" t="n">
        <f aca="false">E388+F388+G388</f>
        <v>285</v>
      </c>
      <c r="I388" s="15" t="n">
        <f aca="false">IF($H$1182=0,0,H388/$H$1182)</f>
        <v>2.36089547529428E-005</v>
      </c>
      <c r="J388" s="16" t="n">
        <f aca="false">IF(C388&lt;=0,0,H388/C388)</f>
        <v>6.33333333333333</v>
      </c>
    </row>
    <row r="389" customFormat="false" ht="15" hidden="false" customHeight="true" outlineLevel="0" collapsed="false">
      <c r="A389" s="5" t="n">
        <v>385</v>
      </c>
      <c r="B389" s="5" t="s">
        <v>396</v>
      </c>
      <c r="C389" s="6" t="n">
        <v>44</v>
      </c>
      <c r="D389" s="6" t="n">
        <v>44</v>
      </c>
      <c r="E389" s="7" t="n">
        <v>72200</v>
      </c>
      <c r="F389" s="7" t="n">
        <v>-755.7</v>
      </c>
      <c r="G389" s="7" t="n">
        <v>-4600</v>
      </c>
      <c r="H389" s="8" t="n">
        <f aca="false">E389+F389+G389</f>
        <v>66844.3</v>
      </c>
      <c r="I389" s="9" t="n">
        <f aca="false">IF($H$1182=0,0,H389/$H$1182)</f>
        <v>0.00553727738313031</v>
      </c>
      <c r="J389" s="10" t="n">
        <f aca="false">IF(C389&lt;=0,0,H389/C389)</f>
        <v>1519.18863636364</v>
      </c>
    </row>
    <row r="390" customFormat="false" ht="15" hidden="false" customHeight="true" outlineLevel="0" collapsed="false">
      <c r="A390" s="11" t="n">
        <v>386</v>
      </c>
      <c r="B390" s="11" t="s">
        <v>397</v>
      </c>
      <c r="C390" s="12" t="n">
        <v>44</v>
      </c>
      <c r="D390" s="12" t="n">
        <v>33</v>
      </c>
      <c r="E390" s="13" t="n">
        <v>16372.72</v>
      </c>
      <c r="F390" s="13" t="n">
        <v>-134.99</v>
      </c>
      <c r="G390" s="13" t="n">
        <v>-1889.96</v>
      </c>
      <c r="H390" s="14" t="n">
        <f aca="false">E390+F390+G390</f>
        <v>14347.77</v>
      </c>
      <c r="I390" s="15" t="n">
        <f aca="false">IF($H$1182=0,0,H390/$H$1182)</f>
        <v>0.00118854685170397</v>
      </c>
      <c r="J390" s="16" t="n">
        <f aca="false">IF(C390&lt;=0,0,H390/C390)</f>
        <v>326.085681818182</v>
      </c>
    </row>
    <row r="391" customFormat="false" ht="15" hidden="false" customHeight="true" outlineLevel="0" collapsed="false">
      <c r="A391" s="5" t="n">
        <v>387</v>
      </c>
      <c r="B391" s="5" t="s">
        <v>398</v>
      </c>
      <c r="C391" s="6" t="n">
        <v>44</v>
      </c>
      <c r="D391" s="6" t="n">
        <v>47</v>
      </c>
      <c r="E391" s="7" t="n">
        <v>17004.21</v>
      </c>
      <c r="F391" s="7" t="n">
        <v>-97.28</v>
      </c>
      <c r="G391" s="7" t="n">
        <v>-3232.29</v>
      </c>
      <c r="H391" s="8" t="n">
        <f aca="false">E391+F391+G391</f>
        <v>13674.64</v>
      </c>
      <c r="I391" s="9" t="n">
        <f aca="false">IF($H$1182=0,0,H391/$H$1182)</f>
        <v>0.00113278581411503</v>
      </c>
      <c r="J391" s="10" t="n">
        <f aca="false">IF(C391&lt;=0,0,H391/C391)</f>
        <v>310.787272727273</v>
      </c>
    </row>
    <row r="392" customFormat="false" ht="15" hidden="false" customHeight="true" outlineLevel="0" collapsed="false">
      <c r="A392" s="11" t="n">
        <v>388</v>
      </c>
      <c r="B392" s="11" t="s">
        <v>399</v>
      </c>
      <c r="C392" s="12" t="n">
        <v>44</v>
      </c>
      <c r="D392" s="12" t="n">
        <v>26</v>
      </c>
      <c r="E392" s="13" t="n">
        <v>11249.55</v>
      </c>
      <c r="F392" s="13" t="n">
        <v>-49.98</v>
      </c>
      <c r="G392" s="13" t="n">
        <v>-249.99</v>
      </c>
      <c r="H392" s="14" t="n">
        <f aca="false">E392+F392+G392</f>
        <v>10949.58</v>
      </c>
      <c r="I392" s="15" t="n">
        <f aca="false">IF($H$1182=0,0,H392/$H$1182)</f>
        <v>0.000907046100995536</v>
      </c>
      <c r="J392" s="16" t="n">
        <f aca="false">IF(C392&lt;=0,0,H392/C392)</f>
        <v>248.854090909091</v>
      </c>
    </row>
    <row r="393" customFormat="false" ht="15" hidden="false" customHeight="true" outlineLevel="0" collapsed="false">
      <c r="A393" s="5" t="n">
        <v>389</v>
      </c>
      <c r="B393" s="5" t="s">
        <v>400</v>
      </c>
      <c r="C393" s="6" t="n">
        <v>44</v>
      </c>
      <c r="D393" s="6" t="n">
        <v>44</v>
      </c>
      <c r="E393" s="7" t="n">
        <v>8399.44</v>
      </c>
      <c r="F393" s="7" t="n">
        <v>-29.98</v>
      </c>
      <c r="G393" s="7" t="n">
        <v>-1799.88</v>
      </c>
      <c r="H393" s="8" t="n">
        <f aca="false">E393+F393+G393</f>
        <v>6569.58</v>
      </c>
      <c r="I393" s="9" t="n">
        <f aca="false">IF($H$1182=0,0,H393/$H$1182)</f>
        <v>0.000544213743739783</v>
      </c>
      <c r="J393" s="10" t="n">
        <f aca="false">IF(C393&lt;=0,0,H393/C393)</f>
        <v>149.308636363636</v>
      </c>
    </row>
    <row r="394" customFormat="false" ht="15" hidden="false" customHeight="true" outlineLevel="0" collapsed="false">
      <c r="A394" s="11" t="n">
        <v>390</v>
      </c>
      <c r="B394" s="11" t="s">
        <v>401</v>
      </c>
      <c r="C394" s="12" t="n">
        <v>44</v>
      </c>
      <c r="D394" s="12" t="n">
        <v>37</v>
      </c>
      <c r="E394" s="13" t="n">
        <v>6821.38</v>
      </c>
      <c r="F394" s="13" t="n">
        <v>-69.5</v>
      </c>
      <c r="G394" s="13" t="n">
        <v>-1534.77</v>
      </c>
      <c r="H394" s="14" t="n">
        <f aca="false">E394+F394+G394</f>
        <v>5217.11</v>
      </c>
      <c r="I394" s="15" t="n">
        <f aca="false">IF($H$1182=0,0,H394/$H$1182)</f>
        <v>0.000432177241863599</v>
      </c>
      <c r="J394" s="16" t="n">
        <f aca="false">IF(C394&lt;=0,0,H394/C394)</f>
        <v>118.570681818182</v>
      </c>
    </row>
    <row r="395" customFormat="false" ht="15" hidden="false" customHeight="true" outlineLevel="0" collapsed="false">
      <c r="A395" s="5" t="n">
        <v>391</v>
      </c>
      <c r="B395" s="5" t="s">
        <v>402</v>
      </c>
      <c r="C395" s="6" t="n">
        <v>44</v>
      </c>
      <c r="D395" s="6" t="n">
        <v>35</v>
      </c>
      <c r="E395" s="7" t="n">
        <v>3309.69</v>
      </c>
      <c r="F395" s="7" t="n">
        <v>-11.11</v>
      </c>
      <c r="G395" s="7" t="n">
        <v>-844.38</v>
      </c>
      <c r="H395" s="8" t="n">
        <f aca="false">E395+F395+G395</f>
        <v>2454.2</v>
      </c>
      <c r="I395" s="9" t="n">
        <f aca="false">IF($H$1182=0,0,H395/$H$1182)</f>
        <v>0.000203302093876043</v>
      </c>
      <c r="J395" s="10" t="n">
        <f aca="false">IF(C395&lt;=0,0,H395/C395)</f>
        <v>55.7772727272727</v>
      </c>
    </row>
    <row r="396" customFormat="false" ht="15" hidden="false" customHeight="true" outlineLevel="0" collapsed="false">
      <c r="A396" s="11" t="n">
        <v>392</v>
      </c>
      <c r="B396" s="11" t="s">
        <v>403</v>
      </c>
      <c r="C396" s="12" t="n">
        <v>44</v>
      </c>
      <c r="D396" s="12" t="n">
        <v>43</v>
      </c>
      <c r="E396" s="13" t="n">
        <v>2995.06</v>
      </c>
      <c r="F396" s="13" t="n">
        <v>-30.89</v>
      </c>
      <c r="G396" s="13" t="n">
        <v>-530.37</v>
      </c>
      <c r="H396" s="14" t="n">
        <f aca="false">E396+F396+G396</f>
        <v>2433.8</v>
      </c>
      <c r="I396" s="15" t="n">
        <f aca="false">IF($H$1182=0,0,H396/$H$1182)</f>
        <v>0.000201612189746359</v>
      </c>
      <c r="J396" s="16" t="n">
        <f aca="false">IF(C396&lt;=0,0,H396/C396)</f>
        <v>55.3136363636364</v>
      </c>
    </row>
    <row r="397" customFormat="false" ht="15" hidden="false" customHeight="true" outlineLevel="0" collapsed="false">
      <c r="A397" s="5" t="n">
        <v>393</v>
      </c>
      <c r="B397" s="5" t="s">
        <v>404</v>
      </c>
      <c r="C397" s="6" t="n">
        <v>44</v>
      </c>
      <c r="D397" s="6" t="n">
        <v>21</v>
      </c>
      <c r="E397" s="7" t="n">
        <v>1799.55</v>
      </c>
      <c r="F397" s="7" t="n">
        <v>-36.37</v>
      </c>
      <c r="G397" s="7" t="n">
        <v>-39.99</v>
      </c>
      <c r="H397" s="8" t="n">
        <f aca="false">E397+F397+G397</f>
        <v>1723.19</v>
      </c>
      <c r="I397" s="9" t="n">
        <f aca="false">IF($H$1182=0,0,H397/$H$1182)</f>
        <v>0.000142746367511311</v>
      </c>
      <c r="J397" s="10" t="n">
        <f aca="false">IF(C397&lt;=0,0,H397/C397)</f>
        <v>39.1634090909091</v>
      </c>
    </row>
    <row r="398" customFormat="false" ht="15" hidden="false" customHeight="true" outlineLevel="0" collapsed="false">
      <c r="A398" s="11" t="n">
        <v>394</v>
      </c>
      <c r="B398" s="11" t="s">
        <v>405</v>
      </c>
      <c r="C398" s="12" t="n">
        <v>44</v>
      </c>
      <c r="D398" s="12" t="n">
        <v>29</v>
      </c>
      <c r="E398" s="13" t="n">
        <v>1307.63</v>
      </c>
      <c r="F398" s="13" t="n">
        <v>-18.34</v>
      </c>
      <c r="G398" s="13" t="n">
        <v>-83.99</v>
      </c>
      <c r="H398" s="14" t="n">
        <f aca="false">E398+F398+G398</f>
        <v>1205.3</v>
      </c>
      <c r="I398" s="15" t="n">
        <f aca="false">IF($H$1182=0,0,H398/$H$1182)</f>
        <v>9.98451689955158E-005</v>
      </c>
      <c r="J398" s="16" t="n">
        <f aca="false">IF(C398&lt;=0,0,H398/C398)</f>
        <v>27.3931818181818</v>
      </c>
    </row>
    <row r="399" customFormat="false" ht="15" hidden="false" customHeight="true" outlineLevel="0" collapsed="false">
      <c r="A399" s="5" t="n">
        <v>395</v>
      </c>
      <c r="B399" s="5" t="s">
        <v>406</v>
      </c>
      <c r="C399" s="6" t="n">
        <v>44</v>
      </c>
      <c r="D399" s="6" t="n">
        <v>23</v>
      </c>
      <c r="E399" s="7" t="n">
        <v>711.76</v>
      </c>
      <c r="F399" s="7" t="n">
        <v>-1.86</v>
      </c>
      <c r="G399" s="7" t="n">
        <v>-48.42</v>
      </c>
      <c r="H399" s="8" t="n">
        <f aca="false">E399+F399+G399</f>
        <v>661.48</v>
      </c>
      <c r="I399" s="9" t="n">
        <f aca="false">IF($H$1182=0,0,H399/$H$1182)</f>
        <v>5.47959697893917E-005</v>
      </c>
      <c r="J399" s="10" t="n">
        <f aca="false">IF(C399&lt;=0,0,H399/C399)</f>
        <v>15.0336363636364</v>
      </c>
    </row>
    <row r="400" customFormat="false" ht="15" hidden="false" customHeight="true" outlineLevel="0" collapsed="false">
      <c r="A400" s="11" t="n">
        <v>396</v>
      </c>
      <c r="B400" s="11" t="s">
        <v>407</v>
      </c>
      <c r="C400" s="12" t="n">
        <v>43</v>
      </c>
      <c r="D400" s="12" t="n">
        <v>29</v>
      </c>
      <c r="E400" s="13" t="n">
        <v>12040</v>
      </c>
      <c r="F400" s="13" t="n">
        <v>-84</v>
      </c>
      <c r="G400" s="13" t="n">
        <v>0</v>
      </c>
      <c r="H400" s="14" t="n">
        <f aca="false">E400+F400+G400</f>
        <v>11956</v>
      </c>
      <c r="I400" s="15" t="n">
        <f aca="false">IF($H$1182=0,0,H400/$H$1182)</f>
        <v>0.000990416361495385</v>
      </c>
      <c r="J400" s="16" t="n">
        <f aca="false">IF(C400&lt;=0,0,H400/C400)</f>
        <v>278.046511627907</v>
      </c>
    </row>
    <row r="401" customFormat="false" ht="15" hidden="false" customHeight="true" outlineLevel="0" collapsed="false">
      <c r="A401" s="5" t="n">
        <v>397</v>
      </c>
      <c r="B401" s="5" t="s">
        <v>408</v>
      </c>
      <c r="C401" s="6" t="n">
        <v>43</v>
      </c>
      <c r="D401" s="6" t="n">
        <v>19</v>
      </c>
      <c r="E401" s="7" t="n">
        <v>11528.92</v>
      </c>
      <c r="F401" s="7" t="n">
        <v>-82.94</v>
      </c>
      <c r="G401" s="7" t="n">
        <v>0</v>
      </c>
      <c r="H401" s="8" t="n">
        <f aca="false">E401+F401+G401</f>
        <v>11445.98</v>
      </c>
      <c r="I401" s="9" t="n">
        <f aca="false">IF($H$1182=0,0,H401/$H$1182)</f>
        <v>0.000948167101484522</v>
      </c>
      <c r="J401" s="10" t="n">
        <f aca="false">IF(C401&lt;=0,0,H401/C401)</f>
        <v>266.185581395349</v>
      </c>
    </row>
    <row r="402" customFormat="false" ht="15" hidden="false" customHeight="true" outlineLevel="0" collapsed="false">
      <c r="A402" s="11" t="n">
        <v>398</v>
      </c>
      <c r="B402" s="11" t="s">
        <v>409</v>
      </c>
      <c r="C402" s="12" t="n">
        <v>43</v>
      </c>
      <c r="D402" s="12" t="n">
        <v>28</v>
      </c>
      <c r="E402" s="13" t="n">
        <v>13409.91</v>
      </c>
      <c r="F402" s="13" t="n">
        <v>-482.42</v>
      </c>
      <c r="G402" s="13" t="n">
        <v>-1674</v>
      </c>
      <c r="H402" s="14" t="n">
        <f aca="false">E402+F402+G402</f>
        <v>11253.49</v>
      </c>
      <c r="I402" s="15" t="n">
        <f aca="false">IF($H$1182=0,0,H402/$H$1182)</f>
        <v>0.000932221530605946</v>
      </c>
      <c r="J402" s="16" t="n">
        <f aca="false">IF(C402&lt;=0,0,H402/C402)</f>
        <v>261.709069767442</v>
      </c>
    </row>
    <row r="403" customFormat="false" ht="15" hidden="false" customHeight="true" outlineLevel="0" collapsed="false">
      <c r="A403" s="5" t="n">
        <v>399</v>
      </c>
      <c r="B403" s="5" t="s">
        <v>410</v>
      </c>
      <c r="C403" s="6" t="n">
        <v>43</v>
      </c>
      <c r="D403" s="6" t="n">
        <v>33</v>
      </c>
      <c r="E403" s="7" t="n">
        <v>11166.2</v>
      </c>
      <c r="F403" s="7" t="n">
        <v>-75.35</v>
      </c>
      <c r="G403" s="7" t="n">
        <v>-1402.46</v>
      </c>
      <c r="H403" s="8" t="n">
        <f aca="false">E403+F403+G403</f>
        <v>9688.39</v>
      </c>
      <c r="I403" s="9" t="n">
        <f aca="false">IF($H$1182=0,0,H403/$H$1182)</f>
        <v>0.000802571091715312</v>
      </c>
      <c r="J403" s="10" t="n">
        <f aca="false">IF(C403&lt;=0,0,H403/C403)</f>
        <v>225.311395348837</v>
      </c>
    </row>
    <row r="404" customFormat="false" ht="15" hidden="false" customHeight="true" outlineLevel="0" collapsed="false">
      <c r="A404" s="11" t="n">
        <v>400</v>
      </c>
      <c r="B404" s="11" t="s">
        <v>411</v>
      </c>
      <c r="C404" s="12" t="n">
        <v>43</v>
      </c>
      <c r="D404" s="12" t="n">
        <v>25</v>
      </c>
      <c r="E404" s="13" t="n">
        <v>4399.56</v>
      </c>
      <c r="F404" s="13" t="n">
        <v>-9.99</v>
      </c>
      <c r="G404" s="13" t="n">
        <v>-99.99</v>
      </c>
      <c r="H404" s="14" t="n">
        <f aca="false">E404+F404+G404</f>
        <v>4289.58</v>
      </c>
      <c r="I404" s="15" t="n">
        <f aca="false">IF($H$1182=0,0,H404/$H$1182)</f>
        <v>0.000355342105716241</v>
      </c>
      <c r="J404" s="16" t="n">
        <f aca="false">IF(C404&lt;=0,0,H404/C404)</f>
        <v>99.7576744186047</v>
      </c>
    </row>
    <row r="405" customFormat="false" ht="15" hidden="false" customHeight="true" outlineLevel="0" collapsed="false">
      <c r="A405" s="5" t="n">
        <v>401</v>
      </c>
      <c r="B405" s="5" t="s">
        <v>412</v>
      </c>
      <c r="C405" s="6" t="n">
        <v>43</v>
      </c>
      <c r="D405" s="6" t="n">
        <v>12</v>
      </c>
      <c r="E405" s="7" t="n">
        <v>1739</v>
      </c>
      <c r="F405" s="7" t="n">
        <v>-109.17</v>
      </c>
      <c r="G405" s="7" t="n">
        <v>-140.6</v>
      </c>
      <c r="H405" s="8" t="n">
        <f aca="false">E405+F405+G405</f>
        <v>1489.23</v>
      </c>
      <c r="I405" s="9" t="n">
        <f aca="false">IF($H$1182=0,0,H405/$H$1182)</f>
        <v>0.000123365486620088</v>
      </c>
      <c r="J405" s="10" t="n">
        <f aca="false">IF(C405&lt;=0,0,H405/C405)</f>
        <v>34.6332558139535</v>
      </c>
    </row>
    <row r="406" customFormat="false" ht="15" hidden="false" customHeight="true" outlineLevel="0" collapsed="false">
      <c r="A406" s="11" t="n">
        <v>402</v>
      </c>
      <c r="B406" s="11" t="s">
        <v>413</v>
      </c>
      <c r="C406" s="12" t="n">
        <v>42</v>
      </c>
      <c r="D406" s="12" t="n">
        <v>14</v>
      </c>
      <c r="E406" s="13" t="n">
        <v>14299.57</v>
      </c>
      <c r="F406" s="13" t="n">
        <v>-187.48</v>
      </c>
      <c r="G406" s="13" t="n">
        <v>-349.99</v>
      </c>
      <c r="H406" s="14" t="n">
        <f aca="false">E406+F406+G406</f>
        <v>13762.1</v>
      </c>
      <c r="I406" s="15" t="n">
        <f aca="false">IF($H$1182=0,0,H406/$H$1182)</f>
        <v>0.00114003086387886</v>
      </c>
      <c r="J406" s="16" t="n">
        <f aca="false">IF(C406&lt;=0,0,H406/C406)</f>
        <v>327.669047619048</v>
      </c>
    </row>
    <row r="407" customFormat="false" ht="15" hidden="false" customHeight="true" outlineLevel="0" collapsed="false">
      <c r="A407" s="5" t="n">
        <v>403</v>
      </c>
      <c r="B407" s="5" t="s">
        <v>414</v>
      </c>
      <c r="C407" s="6" t="n">
        <v>42</v>
      </c>
      <c r="D407" s="6" t="n">
        <v>43</v>
      </c>
      <c r="E407" s="7" t="n">
        <v>7425</v>
      </c>
      <c r="F407" s="7" t="n">
        <v>-64.81</v>
      </c>
      <c r="G407" s="7" t="n">
        <v>-787</v>
      </c>
      <c r="H407" s="8" t="n">
        <f aca="false">E407+F407+G407</f>
        <v>6573.19</v>
      </c>
      <c r="I407" s="9" t="n">
        <f aca="false">IF($H$1182=0,0,H407/$H$1182)</f>
        <v>0.000544512790499987</v>
      </c>
      <c r="J407" s="10" t="n">
        <f aca="false">IF(C407&lt;=0,0,H407/C407)</f>
        <v>156.504523809524</v>
      </c>
    </row>
    <row r="408" customFormat="false" ht="15" hidden="false" customHeight="true" outlineLevel="0" collapsed="false">
      <c r="A408" s="11" t="n">
        <v>404</v>
      </c>
      <c r="B408" s="11" t="s">
        <v>415</v>
      </c>
      <c r="C408" s="12" t="n">
        <v>42</v>
      </c>
      <c r="D408" s="12" t="n">
        <v>31</v>
      </c>
      <c r="E408" s="13" t="n">
        <v>7294.77</v>
      </c>
      <c r="F408" s="13" t="n">
        <v>-87.16</v>
      </c>
      <c r="G408" s="13" t="n">
        <v>-934.94</v>
      </c>
      <c r="H408" s="14" t="n">
        <f aca="false">E408+F408+G408</f>
        <v>6272.67</v>
      </c>
      <c r="I408" s="15" t="n">
        <f aca="false">IF($H$1182=0,0,H408/$H$1182)</f>
        <v>0.000519618183193481</v>
      </c>
      <c r="J408" s="16" t="n">
        <f aca="false">IF(C408&lt;=0,0,H408/C408)</f>
        <v>149.349285714286</v>
      </c>
    </row>
    <row r="409" customFormat="false" ht="15" hidden="false" customHeight="true" outlineLevel="0" collapsed="false">
      <c r="A409" s="5" t="n">
        <v>405</v>
      </c>
      <c r="B409" s="5" t="s">
        <v>416</v>
      </c>
      <c r="C409" s="6" t="n">
        <v>42</v>
      </c>
      <c r="D409" s="6" t="n">
        <v>15</v>
      </c>
      <c r="E409" s="7" t="n">
        <v>3707.91</v>
      </c>
      <c r="F409" s="7" t="n">
        <v>-118.54</v>
      </c>
      <c r="G409" s="7" t="n">
        <v>-175.38</v>
      </c>
      <c r="H409" s="8" t="n">
        <f aca="false">E409+F409+G409</f>
        <v>3413.99</v>
      </c>
      <c r="I409" s="9" t="n">
        <f aca="false">IF($H$1182=0,0,H409/$H$1182)</f>
        <v>0.000282809598024559</v>
      </c>
      <c r="J409" s="10" t="n">
        <f aca="false">IF(C409&lt;=0,0,H409/C409)</f>
        <v>81.2854761904762</v>
      </c>
    </row>
    <row r="410" customFormat="false" ht="15" hidden="false" customHeight="true" outlineLevel="0" collapsed="false">
      <c r="A410" s="11" t="n">
        <v>406</v>
      </c>
      <c r="B410" s="11" t="s">
        <v>417</v>
      </c>
      <c r="C410" s="12" t="n">
        <v>42</v>
      </c>
      <c r="D410" s="12" t="n">
        <v>30</v>
      </c>
      <c r="E410" s="13" t="n">
        <v>6367.45</v>
      </c>
      <c r="F410" s="13" t="n">
        <v>-608.31</v>
      </c>
      <c r="G410" s="13" t="n">
        <v>-2437.2</v>
      </c>
      <c r="H410" s="14" t="n">
        <f aca="false">E410+F410+G410</f>
        <v>3321.94</v>
      </c>
      <c r="I410" s="15" t="n">
        <f aca="false">IF($H$1182=0,0,H410/$H$1182)</f>
        <v>0.000275184319831547</v>
      </c>
      <c r="J410" s="16" t="n">
        <f aca="false">IF(C410&lt;=0,0,H410/C410)</f>
        <v>79.0938095238095</v>
      </c>
    </row>
    <row r="411" customFormat="false" ht="15" hidden="false" customHeight="true" outlineLevel="0" collapsed="false">
      <c r="A411" s="5" t="n">
        <v>407</v>
      </c>
      <c r="B411" s="5" t="s">
        <v>418</v>
      </c>
      <c r="C411" s="6" t="n">
        <v>42</v>
      </c>
      <c r="D411" s="6" t="n">
        <v>20</v>
      </c>
      <c r="E411" s="7" t="n">
        <v>1843.16</v>
      </c>
      <c r="F411" s="7" t="n">
        <v>-12.92</v>
      </c>
      <c r="G411" s="7" t="n">
        <v>-84.38</v>
      </c>
      <c r="H411" s="8" t="n">
        <f aca="false">E411+F411+G411</f>
        <v>1745.86</v>
      </c>
      <c r="I411" s="9" t="n">
        <f aca="false">IF($H$1182=0,0,H411/$H$1182)</f>
        <v>0.000144624314894641</v>
      </c>
      <c r="J411" s="10" t="n">
        <f aca="false">IF(C411&lt;=0,0,H411/C411)</f>
        <v>41.5680952380952</v>
      </c>
    </row>
    <row r="412" customFormat="false" ht="15" hidden="false" customHeight="true" outlineLevel="0" collapsed="false">
      <c r="A412" s="11" t="n">
        <v>408</v>
      </c>
      <c r="B412" s="11" t="s">
        <v>419</v>
      </c>
      <c r="C412" s="12" t="n">
        <v>42</v>
      </c>
      <c r="D412" s="12" t="n">
        <v>28</v>
      </c>
      <c r="E412" s="13" t="n">
        <v>1031.02</v>
      </c>
      <c r="F412" s="13" t="n">
        <v>-1.5</v>
      </c>
      <c r="G412" s="13" t="n">
        <v>-223.86</v>
      </c>
      <c r="H412" s="14" t="n">
        <f aca="false">E412+F412+G412</f>
        <v>805.66</v>
      </c>
      <c r="I412" s="15" t="n">
        <f aca="false">IF($H$1182=0,0,H412/$H$1182)</f>
        <v>6.67396157412489E-005</v>
      </c>
      <c r="J412" s="16" t="n">
        <f aca="false">IF(C412&lt;=0,0,H412/C412)</f>
        <v>19.182380952381</v>
      </c>
    </row>
    <row r="413" customFormat="false" ht="15" hidden="false" customHeight="true" outlineLevel="0" collapsed="false">
      <c r="A413" s="5" t="n">
        <v>409</v>
      </c>
      <c r="B413" s="5" t="s">
        <v>420</v>
      </c>
      <c r="C413" s="6" t="n">
        <v>42</v>
      </c>
      <c r="D413" s="6" t="n">
        <v>34</v>
      </c>
      <c r="E413" s="7" t="n">
        <v>1029.2</v>
      </c>
      <c r="F413" s="7" t="n">
        <v>-6.54</v>
      </c>
      <c r="G413" s="7" t="n">
        <v>-232.82</v>
      </c>
      <c r="H413" s="8" t="n">
        <f aca="false">E413+F413+G413</f>
        <v>789.84</v>
      </c>
      <c r="I413" s="9" t="n">
        <f aca="false">IF($H$1182=0,0,H413/$H$1182)</f>
        <v>6.54291116563662E-005</v>
      </c>
      <c r="J413" s="10" t="n">
        <f aca="false">IF(C413&lt;=0,0,H413/C413)</f>
        <v>18.8057142857143</v>
      </c>
    </row>
    <row r="414" customFormat="false" ht="15" hidden="false" customHeight="true" outlineLevel="0" collapsed="false">
      <c r="A414" s="11" t="n">
        <v>410</v>
      </c>
      <c r="B414" s="11" t="s">
        <v>421</v>
      </c>
      <c r="C414" s="12" t="n">
        <v>42</v>
      </c>
      <c r="D414" s="12" t="n">
        <v>28</v>
      </c>
      <c r="E414" s="13" t="n">
        <v>845.28</v>
      </c>
      <c r="F414" s="13" t="n">
        <v>-11.5</v>
      </c>
      <c r="G414" s="13" t="n">
        <v>-95.46</v>
      </c>
      <c r="H414" s="14" t="n">
        <f aca="false">E414+F414+G414</f>
        <v>738.32</v>
      </c>
      <c r="I414" s="15" t="n">
        <f aca="false">IF($H$1182=0,0,H414/$H$1182)</f>
        <v>6.1161275344536E-005</v>
      </c>
      <c r="J414" s="16" t="n">
        <f aca="false">IF(C414&lt;=0,0,H414/C414)</f>
        <v>17.5790476190476</v>
      </c>
    </row>
    <row r="415" customFormat="false" ht="15" hidden="false" customHeight="true" outlineLevel="0" collapsed="false">
      <c r="A415" s="5" t="n">
        <v>411</v>
      </c>
      <c r="B415" s="5" t="s">
        <v>422</v>
      </c>
      <c r="C415" s="6" t="n">
        <v>42</v>
      </c>
      <c r="D415" s="6" t="n">
        <v>34</v>
      </c>
      <c r="E415" s="7" t="n">
        <v>635.5</v>
      </c>
      <c r="F415" s="7" t="n">
        <v>-11.01</v>
      </c>
      <c r="G415" s="7" t="n">
        <v>-101.79</v>
      </c>
      <c r="H415" s="8" t="n">
        <f aca="false">E415+F415+G415</f>
        <v>522.7</v>
      </c>
      <c r="I415" s="9" t="n">
        <f aca="false">IF($H$1182=0,0,H415/$H$1182)</f>
        <v>4.32996514012745E-005</v>
      </c>
      <c r="J415" s="10" t="n">
        <f aca="false">IF(C415&lt;=0,0,H415/C415)</f>
        <v>12.4452380952381</v>
      </c>
    </row>
    <row r="416" customFormat="false" ht="15" hidden="false" customHeight="true" outlineLevel="0" collapsed="false">
      <c r="A416" s="11" t="n">
        <v>412</v>
      </c>
      <c r="B416" s="11" t="s">
        <v>423</v>
      </c>
      <c r="C416" s="12" t="n">
        <v>41</v>
      </c>
      <c r="D416" s="12" t="n">
        <v>35</v>
      </c>
      <c r="E416" s="13" t="n">
        <v>42899</v>
      </c>
      <c r="F416" s="13" t="n">
        <v>-463</v>
      </c>
      <c r="G416" s="13" t="n">
        <v>-2755</v>
      </c>
      <c r="H416" s="14" t="n">
        <f aca="false">E416+F416+G416</f>
        <v>39681</v>
      </c>
      <c r="I416" s="15" t="n">
        <f aca="false">IF($H$1182=0,0,H416/$H$1182)</f>
        <v>0.00328711204754921</v>
      </c>
      <c r="J416" s="16" t="n">
        <f aca="false">IF(C416&lt;=0,0,H416/C416)</f>
        <v>967.829268292683</v>
      </c>
    </row>
    <row r="417" customFormat="false" ht="15" hidden="false" customHeight="true" outlineLevel="0" collapsed="false">
      <c r="A417" s="5" t="n">
        <v>413</v>
      </c>
      <c r="B417" s="5" t="s">
        <v>424</v>
      </c>
      <c r="C417" s="6" t="n">
        <v>41</v>
      </c>
      <c r="D417" s="6" t="n">
        <v>24</v>
      </c>
      <c r="E417" s="7" t="n">
        <v>5719.56</v>
      </c>
      <c r="F417" s="7" t="n">
        <v>-60.69</v>
      </c>
      <c r="G417" s="7" t="n">
        <v>-389.97</v>
      </c>
      <c r="H417" s="8" t="n">
        <f aca="false">E417+F417+G417</f>
        <v>5268.9</v>
      </c>
      <c r="I417" s="9" t="n">
        <f aca="false">IF($H$1182=0,0,H417/$H$1182)</f>
        <v>0.000436467444553616</v>
      </c>
      <c r="J417" s="10" t="n">
        <f aca="false">IF(C417&lt;=0,0,H417/C417)</f>
        <v>128.509756097561</v>
      </c>
    </row>
    <row r="418" customFormat="false" ht="15" hidden="false" customHeight="true" outlineLevel="0" collapsed="false">
      <c r="A418" s="11" t="n">
        <v>414</v>
      </c>
      <c r="B418" s="11" t="s">
        <v>425</v>
      </c>
      <c r="C418" s="12" t="n">
        <v>41</v>
      </c>
      <c r="D418" s="12" t="n">
        <v>25</v>
      </c>
      <c r="E418" s="13" t="n">
        <v>5804.57</v>
      </c>
      <c r="F418" s="13" t="n">
        <v>-996.11</v>
      </c>
      <c r="G418" s="13" t="n">
        <v>-269.98</v>
      </c>
      <c r="H418" s="14" t="n">
        <f aca="false">E418+F418+G418</f>
        <v>4538.48</v>
      </c>
      <c r="I418" s="15" t="n">
        <f aca="false">IF($H$1182=0,0,H418/$H$1182)</f>
        <v>0.000375960592867144</v>
      </c>
      <c r="J418" s="16" t="n">
        <f aca="false">IF(C418&lt;=0,0,H418/C418)</f>
        <v>110.694634146341</v>
      </c>
    </row>
    <row r="419" customFormat="false" ht="15" hidden="false" customHeight="true" outlineLevel="0" collapsed="false">
      <c r="A419" s="5" t="n">
        <v>415</v>
      </c>
      <c r="B419" s="5" t="s">
        <v>426</v>
      </c>
      <c r="C419" s="6" t="n">
        <v>41</v>
      </c>
      <c r="D419" s="6" t="n">
        <v>33</v>
      </c>
      <c r="E419" s="7" t="n">
        <v>1771.38</v>
      </c>
      <c r="F419" s="7" t="n">
        <v>-16.49</v>
      </c>
      <c r="G419" s="7" t="n">
        <v>-155.35</v>
      </c>
      <c r="H419" s="8" t="n">
        <f aca="false">E419+F419+G419</f>
        <v>1599.54</v>
      </c>
      <c r="I419" s="9" t="n">
        <f aca="false">IF($H$1182=0,0,H419/$H$1182)</f>
        <v>0.000132503394686043</v>
      </c>
      <c r="J419" s="10" t="n">
        <f aca="false">IF(C419&lt;=0,0,H419/C419)</f>
        <v>39.0131707317073</v>
      </c>
    </row>
    <row r="420" customFormat="false" ht="15" hidden="false" customHeight="true" outlineLevel="0" collapsed="false">
      <c r="A420" s="11" t="n">
        <v>416</v>
      </c>
      <c r="B420" s="11" t="s">
        <v>427</v>
      </c>
      <c r="C420" s="12" t="n">
        <v>41</v>
      </c>
      <c r="D420" s="12" t="n">
        <v>15</v>
      </c>
      <c r="E420" s="13" t="n">
        <v>3941.76</v>
      </c>
      <c r="F420" s="13" t="n">
        <v>-2647.36</v>
      </c>
      <c r="G420" s="13" t="n">
        <v>-58.03</v>
      </c>
      <c r="H420" s="14" t="n">
        <f aca="false">E420+F420+G420</f>
        <v>1236.37</v>
      </c>
      <c r="I420" s="15" t="n">
        <f aca="false">IF($H$1182=0,0,H420/$H$1182)</f>
        <v>0.000102418959255775</v>
      </c>
      <c r="J420" s="16" t="n">
        <f aca="false">IF(C420&lt;=0,0,H420/C420)</f>
        <v>30.1553658536585</v>
      </c>
    </row>
    <row r="421" customFormat="false" ht="15" hidden="false" customHeight="true" outlineLevel="0" collapsed="false">
      <c r="A421" s="5" t="n">
        <v>417</v>
      </c>
      <c r="B421" s="5" t="s">
        <v>428</v>
      </c>
      <c r="C421" s="6" t="n">
        <v>40</v>
      </c>
      <c r="D421" s="6" t="n">
        <v>32</v>
      </c>
      <c r="E421" s="7" t="n">
        <v>12230.58</v>
      </c>
      <c r="F421" s="7" t="n">
        <v>0</v>
      </c>
      <c r="G421" s="7" t="n">
        <v>-3552</v>
      </c>
      <c r="H421" s="8" t="n">
        <f aca="false">E421+F421+G421</f>
        <v>8678.58</v>
      </c>
      <c r="I421" s="9" t="n">
        <f aca="false">IF($H$1182=0,0,H421/$H$1182)</f>
        <v>0.00071892000891156</v>
      </c>
      <c r="J421" s="10" t="n">
        <f aca="false">IF(C421&lt;=0,0,H421/C421)</f>
        <v>216.9645</v>
      </c>
    </row>
    <row r="422" customFormat="false" ht="15" hidden="false" customHeight="true" outlineLevel="0" collapsed="false">
      <c r="A422" s="11" t="n">
        <v>418</v>
      </c>
      <c r="B422" s="11" t="s">
        <v>429</v>
      </c>
      <c r="C422" s="12" t="n">
        <v>40</v>
      </c>
      <c r="D422" s="12" t="n">
        <v>17</v>
      </c>
      <c r="E422" s="13" t="n">
        <v>3671.13</v>
      </c>
      <c r="F422" s="13" t="n">
        <v>-72</v>
      </c>
      <c r="G422" s="13" t="n">
        <v>-90</v>
      </c>
      <c r="H422" s="14" t="n">
        <f aca="false">E422+F422+G422</f>
        <v>3509.13</v>
      </c>
      <c r="I422" s="15" t="n">
        <f aca="false">IF($H$1182=0,0,H422/$H$1182)</f>
        <v>0.000290690846990156</v>
      </c>
      <c r="J422" s="16" t="n">
        <f aca="false">IF(C422&lt;=0,0,H422/C422)</f>
        <v>87.72825</v>
      </c>
    </row>
    <row r="423" customFormat="false" ht="15" hidden="false" customHeight="true" outlineLevel="0" collapsed="false">
      <c r="A423" s="5" t="n">
        <v>419</v>
      </c>
      <c r="B423" s="5" t="s">
        <v>430</v>
      </c>
      <c r="C423" s="6" t="n">
        <v>40</v>
      </c>
      <c r="D423" s="6" t="n">
        <v>13</v>
      </c>
      <c r="E423" s="7" t="n">
        <v>2519.58</v>
      </c>
      <c r="F423" s="7" t="n">
        <v>0</v>
      </c>
      <c r="G423" s="7" t="n">
        <v>-119.98</v>
      </c>
      <c r="H423" s="8" t="n">
        <f aca="false">E423+F423+G423</f>
        <v>2399.6</v>
      </c>
      <c r="I423" s="9" t="n">
        <f aca="false">IF($H$1182=0,0,H423/$H$1182)</f>
        <v>0.000198779115176006</v>
      </c>
      <c r="J423" s="10" t="n">
        <f aca="false">IF(C423&lt;=0,0,H423/C423)</f>
        <v>59.99</v>
      </c>
    </row>
    <row r="424" customFormat="false" ht="15" hidden="false" customHeight="true" outlineLevel="0" collapsed="false">
      <c r="A424" s="11" t="n">
        <v>420</v>
      </c>
      <c r="B424" s="11" t="s">
        <v>431</v>
      </c>
      <c r="C424" s="12" t="n">
        <v>40</v>
      </c>
      <c r="D424" s="12" t="n">
        <v>27</v>
      </c>
      <c r="E424" s="13" t="n">
        <v>2979.39</v>
      </c>
      <c r="F424" s="13" t="n">
        <v>-5.7</v>
      </c>
      <c r="G424" s="13" t="n">
        <v>-685.71</v>
      </c>
      <c r="H424" s="14" t="n">
        <f aca="false">E424+F424+G424</f>
        <v>2287.98</v>
      </c>
      <c r="I424" s="15" t="n">
        <f aca="false">IF($H$1182=0,0,H424/$H$1182)</f>
        <v>0.000189532688756625</v>
      </c>
      <c r="J424" s="16" t="n">
        <f aca="false">IF(C424&lt;=0,0,H424/C424)</f>
        <v>57.1995</v>
      </c>
    </row>
    <row r="425" customFormat="false" ht="15" hidden="false" customHeight="true" outlineLevel="0" collapsed="false">
      <c r="A425" s="5" t="n">
        <v>421</v>
      </c>
      <c r="B425" s="5" t="s">
        <v>432</v>
      </c>
      <c r="C425" s="6" t="n">
        <v>40</v>
      </c>
      <c r="D425" s="6" t="n">
        <v>25</v>
      </c>
      <c r="E425" s="7" t="n">
        <v>1258.21</v>
      </c>
      <c r="F425" s="7" t="n">
        <v>0</v>
      </c>
      <c r="G425" s="7" t="n">
        <v>-61.49</v>
      </c>
      <c r="H425" s="8" t="n">
        <f aca="false">E425+F425+G425</f>
        <v>1196.72</v>
      </c>
      <c r="I425" s="9" t="n">
        <f aca="false">IF($H$1182=0,0,H425/$H$1182)</f>
        <v>9.91344151997956E-005</v>
      </c>
      <c r="J425" s="10" t="n">
        <f aca="false">IF(C425&lt;=0,0,H425/C425)</f>
        <v>29.918</v>
      </c>
    </row>
    <row r="426" customFormat="false" ht="15" hidden="false" customHeight="true" outlineLevel="0" collapsed="false">
      <c r="A426" s="11" t="n">
        <v>422</v>
      </c>
      <c r="B426" s="11" t="s">
        <v>433</v>
      </c>
      <c r="C426" s="12" t="n">
        <v>40</v>
      </c>
      <c r="D426" s="12" t="n">
        <v>12</v>
      </c>
      <c r="E426" s="13" t="n">
        <v>1035.01</v>
      </c>
      <c r="F426" s="13" t="n">
        <v>-15.94</v>
      </c>
      <c r="G426" s="13" t="n">
        <v>-27</v>
      </c>
      <c r="H426" s="14" t="n">
        <f aca="false">E426+F426+G426</f>
        <v>992.07</v>
      </c>
      <c r="I426" s="15" t="n">
        <f aca="false">IF($H$1182=0,0,H426/$H$1182)</f>
        <v>8.21815289184281E-005</v>
      </c>
      <c r="J426" s="16" t="n">
        <f aca="false">IF(C426&lt;=0,0,H426/C426)</f>
        <v>24.80175</v>
      </c>
    </row>
    <row r="427" customFormat="false" ht="15" hidden="false" customHeight="true" outlineLevel="0" collapsed="false">
      <c r="A427" s="5" t="n">
        <v>423</v>
      </c>
      <c r="B427" s="5" t="s">
        <v>434</v>
      </c>
      <c r="C427" s="6" t="n">
        <v>40</v>
      </c>
      <c r="D427" s="6" t="n">
        <v>36</v>
      </c>
      <c r="E427" s="7" t="n">
        <v>376.65</v>
      </c>
      <c r="F427" s="7" t="n">
        <v>-0.9</v>
      </c>
      <c r="G427" s="7" t="n">
        <v>-32.1</v>
      </c>
      <c r="H427" s="8" t="n">
        <f aca="false">E427+F427+G427</f>
        <v>343.65</v>
      </c>
      <c r="I427" s="9" t="n">
        <f aca="false">IF($H$1182=0,0,H427/$H$1182)</f>
        <v>2.84674291257853E-005</v>
      </c>
      <c r="J427" s="10" t="n">
        <f aca="false">IF(C427&lt;=0,0,H427/C427)</f>
        <v>8.59125</v>
      </c>
    </row>
    <row r="428" customFormat="false" ht="15" hidden="false" customHeight="true" outlineLevel="0" collapsed="false">
      <c r="A428" s="11" t="n">
        <v>424</v>
      </c>
      <c r="B428" s="11" t="s">
        <v>435</v>
      </c>
      <c r="C428" s="12" t="n">
        <v>39</v>
      </c>
      <c r="D428" s="12" t="n">
        <v>39</v>
      </c>
      <c r="E428" s="13" t="n">
        <v>18983.71</v>
      </c>
      <c r="F428" s="13" t="n">
        <v>-155.24</v>
      </c>
      <c r="G428" s="13" t="n">
        <v>-3401.28</v>
      </c>
      <c r="H428" s="14" t="n">
        <f aca="false">E428+F428+G428</f>
        <v>15427.19</v>
      </c>
      <c r="I428" s="15" t="n">
        <f aca="false">IF($H$1182=0,0,H428/$H$1182)</f>
        <v>0.00127796431815808</v>
      </c>
      <c r="J428" s="16" t="n">
        <f aca="false">IF(C428&lt;=0,0,H428/C428)</f>
        <v>395.568974358974</v>
      </c>
    </row>
    <row r="429" customFormat="false" ht="15" hidden="false" customHeight="true" outlineLevel="0" collapsed="false">
      <c r="A429" s="5" t="n">
        <v>425</v>
      </c>
      <c r="B429" s="5" t="s">
        <v>436</v>
      </c>
      <c r="C429" s="6" t="n">
        <v>39</v>
      </c>
      <c r="D429" s="6" t="n">
        <v>35</v>
      </c>
      <c r="E429" s="7" t="n">
        <v>15465</v>
      </c>
      <c r="F429" s="7" t="n">
        <v>-164.29</v>
      </c>
      <c r="G429" s="7" t="n">
        <v>0</v>
      </c>
      <c r="H429" s="8" t="n">
        <f aca="false">E429+F429+G429</f>
        <v>15300.71</v>
      </c>
      <c r="I429" s="9" t="n">
        <f aca="false">IF($H$1182=0,0,H429/$H$1182)</f>
        <v>0.00126748691255404</v>
      </c>
      <c r="J429" s="10" t="n">
        <f aca="false">IF(C429&lt;=0,0,H429/C429)</f>
        <v>392.325897435897</v>
      </c>
    </row>
    <row r="430" customFormat="false" ht="15" hidden="false" customHeight="true" outlineLevel="0" collapsed="false">
      <c r="A430" s="11" t="n">
        <v>426</v>
      </c>
      <c r="B430" s="11" t="s">
        <v>437</v>
      </c>
      <c r="C430" s="12" t="n">
        <v>39</v>
      </c>
      <c r="D430" s="12" t="n">
        <v>19</v>
      </c>
      <c r="E430" s="13" t="n">
        <v>10827.5</v>
      </c>
      <c r="F430" s="13" t="n">
        <v>-82.56</v>
      </c>
      <c r="G430" s="13" t="n">
        <v>-330</v>
      </c>
      <c r="H430" s="14" t="n">
        <f aca="false">E430+F430+G430</f>
        <v>10414.94</v>
      </c>
      <c r="I430" s="15" t="n">
        <f aca="false">IF($H$1182=0,0,H430/$H$1182)</f>
        <v>0.00086275735864777</v>
      </c>
      <c r="J430" s="16" t="n">
        <f aca="false">IF(C430&lt;=0,0,H430/C430)</f>
        <v>267.049743589744</v>
      </c>
    </row>
    <row r="431" customFormat="false" ht="15" hidden="false" customHeight="true" outlineLevel="0" collapsed="false">
      <c r="A431" s="5" t="n">
        <v>427</v>
      </c>
      <c r="B431" s="5" t="s">
        <v>438</v>
      </c>
      <c r="C431" s="6" t="n">
        <v>39</v>
      </c>
      <c r="D431" s="6" t="n">
        <v>21</v>
      </c>
      <c r="E431" s="7" t="n">
        <v>6975.76</v>
      </c>
      <c r="F431" s="7" t="n">
        <v>-125.33</v>
      </c>
      <c r="G431" s="7" t="n">
        <v>-142.61</v>
      </c>
      <c r="H431" s="8" t="n">
        <f aca="false">E431+F431+G431</f>
        <v>6707.82</v>
      </c>
      <c r="I431" s="9" t="n">
        <f aca="false">IF($H$1182=0,0,H431/$H$1182)</f>
        <v>0.000555665329371527</v>
      </c>
      <c r="J431" s="10" t="n">
        <f aca="false">IF(C431&lt;=0,0,H431/C431)</f>
        <v>171.995384615385</v>
      </c>
    </row>
    <row r="432" customFormat="false" ht="15" hidden="false" customHeight="true" outlineLevel="0" collapsed="false">
      <c r="A432" s="11" t="n">
        <v>428</v>
      </c>
      <c r="B432" s="11" t="s">
        <v>439</v>
      </c>
      <c r="C432" s="12" t="n">
        <v>39</v>
      </c>
      <c r="D432" s="12" t="n">
        <v>24</v>
      </c>
      <c r="E432" s="13" t="n">
        <v>2892.25</v>
      </c>
      <c r="F432" s="13" t="n">
        <v>-27.96</v>
      </c>
      <c r="G432" s="13" t="n">
        <v>-255.41</v>
      </c>
      <c r="H432" s="14" t="n">
        <f aca="false">E432+F432+G432</f>
        <v>2608.88</v>
      </c>
      <c r="I432" s="15" t="n">
        <f aca="false">IF($H$1182=0,0,H432/$H$1182)</f>
        <v>0.000216115543424062</v>
      </c>
      <c r="J432" s="16" t="n">
        <f aca="false">IF(C432&lt;=0,0,H432/C432)</f>
        <v>66.894358974359</v>
      </c>
    </row>
    <row r="433" customFormat="false" ht="15" hidden="false" customHeight="true" outlineLevel="0" collapsed="false">
      <c r="A433" s="5" t="n">
        <v>429</v>
      </c>
      <c r="B433" s="5" t="s">
        <v>440</v>
      </c>
      <c r="C433" s="6" t="n">
        <v>39</v>
      </c>
      <c r="D433" s="6" t="n">
        <v>24</v>
      </c>
      <c r="E433" s="7" t="n">
        <v>1881.3</v>
      </c>
      <c r="F433" s="7" t="n">
        <v>-4.99</v>
      </c>
      <c r="G433" s="7" t="n">
        <v>-49.99</v>
      </c>
      <c r="H433" s="8" t="n">
        <f aca="false">E433+F433+G433</f>
        <v>1826.32</v>
      </c>
      <c r="I433" s="9" t="n">
        <f aca="false">IF($H$1182=0,0,H433/$H$1182)</f>
        <v>0.000151289495594367</v>
      </c>
      <c r="J433" s="10" t="n">
        <f aca="false">IF(C433&lt;=0,0,H433/C433)</f>
        <v>46.8287179487179</v>
      </c>
    </row>
    <row r="434" customFormat="false" ht="15" hidden="false" customHeight="true" outlineLevel="0" collapsed="false">
      <c r="A434" s="11" t="n">
        <v>430</v>
      </c>
      <c r="B434" s="11" t="s">
        <v>441</v>
      </c>
      <c r="C434" s="12" t="n">
        <v>39</v>
      </c>
      <c r="D434" s="12" t="n">
        <v>29</v>
      </c>
      <c r="E434" s="13" t="n">
        <v>1044.68</v>
      </c>
      <c r="F434" s="13" t="n">
        <v>0</v>
      </c>
      <c r="G434" s="13" t="n">
        <v>-87</v>
      </c>
      <c r="H434" s="14" t="n">
        <f aca="false">E434+F434+G434</f>
        <v>957.68</v>
      </c>
      <c r="I434" s="15" t="n">
        <f aca="false">IF($H$1182=0,0,H434/$H$1182)</f>
        <v>7.93327150449063E-005</v>
      </c>
      <c r="J434" s="16" t="n">
        <f aca="false">IF(C434&lt;=0,0,H434/C434)</f>
        <v>24.5558974358974</v>
      </c>
    </row>
    <row r="435" customFormat="false" ht="15" hidden="false" customHeight="true" outlineLevel="0" collapsed="false">
      <c r="A435" s="5" t="n">
        <v>431</v>
      </c>
      <c r="B435" s="5" t="s">
        <v>442</v>
      </c>
      <c r="C435" s="6" t="n">
        <v>38</v>
      </c>
      <c r="D435" s="6" t="n">
        <v>36</v>
      </c>
      <c r="E435" s="7" t="n">
        <v>29063.01</v>
      </c>
      <c r="F435" s="7" t="n">
        <v>-147.98</v>
      </c>
      <c r="G435" s="7" t="n">
        <v>-2780.97</v>
      </c>
      <c r="H435" s="8" t="n">
        <f aca="false">E435+F435+G435</f>
        <v>26134.06</v>
      </c>
      <c r="I435" s="9" t="n">
        <f aca="false">IF($H$1182=0,0,H435/$H$1182)</f>
        <v>0.00216490470193226</v>
      </c>
      <c r="J435" s="10" t="n">
        <f aca="false">IF(C435&lt;=0,0,H435/C435)</f>
        <v>687.738421052632</v>
      </c>
    </row>
    <row r="436" customFormat="false" ht="15" hidden="false" customHeight="true" outlineLevel="0" collapsed="false">
      <c r="A436" s="11" t="n">
        <v>432</v>
      </c>
      <c r="B436" s="11" t="s">
        <v>443</v>
      </c>
      <c r="C436" s="12" t="n">
        <v>38</v>
      </c>
      <c r="D436" s="12" t="n">
        <v>39</v>
      </c>
      <c r="E436" s="13" t="n">
        <v>25257.96</v>
      </c>
      <c r="F436" s="13" t="n">
        <v>-161.14</v>
      </c>
      <c r="G436" s="13" t="n">
        <v>-1986</v>
      </c>
      <c r="H436" s="14" t="n">
        <f aca="false">E436+F436+G436</f>
        <v>23110.82</v>
      </c>
      <c r="I436" s="15" t="n">
        <f aca="false">IF($H$1182=0,0,H436/$H$1182)</f>
        <v>0.00191446422345055</v>
      </c>
      <c r="J436" s="16" t="n">
        <f aca="false">IF(C436&lt;=0,0,H436/C436)</f>
        <v>608.179473684211</v>
      </c>
    </row>
    <row r="437" customFormat="false" ht="15" hidden="false" customHeight="true" outlineLevel="0" collapsed="false">
      <c r="A437" s="5" t="n">
        <v>433</v>
      </c>
      <c r="B437" s="5" t="s">
        <v>444</v>
      </c>
      <c r="C437" s="6" t="n">
        <v>38</v>
      </c>
      <c r="D437" s="6" t="n">
        <v>36</v>
      </c>
      <c r="E437" s="7" t="n">
        <v>15965</v>
      </c>
      <c r="F437" s="7" t="n">
        <v>-899.46</v>
      </c>
      <c r="G437" s="7" t="n">
        <v>-790</v>
      </c>
      <c r="H437" s="8" t="n">
        <f aca="false">E437+F437+G437</f>
        <v>14275.54</v>
      </c>
      <c r="I437" s="9" t="n">
        <f aca="false">IF($H$1182=0,0,H437/$H$1182)</f>
        <v>0.00118256343134676</v>
      </c>
      <c r="J437" s="10" t="n">
        <f aca="false">IF(C437&lt;=0,0,H437/C437)</f>
        <v>375.672105263158</v>
      </c>
    </row>
    <row r="438" customFormat="false" ht="15" hidden="false" customHeight="true" outlineLevel="0" collapsed="false">
      <c r="A438" s="11" t="n">
        <v>434</v>
      </c>
      <c r="B438" s="11" t="s">
        <v>445</v>
      </c>
      <c r="C438" s="12" t="n">
        <v>38</v>
      </c>
      <c r="D438" s="12" t="n">
        <v>35</v>
      </c>
      <c r="E438" s="13" t="n">
        <v>14711.9</v>
      </c>
      <c r="F438" s="13" t="n">
        <v>-36.6</v>
      </c>
      <c r="G438" s="13" t="n">
        <v>-1331.98</v>
      </c>
      <c r="H438" s="14" t="n">
        <f aca="false">E438+F438+G438</f>
        <v>13343.32</v>
      </c>
      <c r="I438" s="15" t="n">
        <f aca="false">IF($H$1182=0,0,H438/$H$1182)</f>
        <v>0.00110533978292645</v>
      </c>
      <c r="J438" s="16" t="n">
        <f aca="false">IF(C438&lt;=0,0,H438/C438)</f>
        <v>351.14</v>
      </c>
    </row>
    <row r="439" customFormat="false" ht="15" hidden="false" customHeight="true" outlineLevel="0" collapsed="false">
      <c r="A439" s="5" t="n">
        <v>435</v>
      </c>
      <c r="B439" s="5" t="s">
        <v>446</v>
      </c>
      <c r="C439" s="6" t="n">
        <v>38</v>
      </c>
      <c r="D439" s="6" t="n">
        <v>18</v>
      </c>
      <c r="E439" s="7" t="n">
        <v>3433.52</v>
      </c>
      <c r="F439" s="7" t="n">
        <v>-72</v>
      </c>
      <c r="G439" s="7" t="n">
        <v>-90</v>
      </c>
      <c r="H439" s="8" t="n">
        <f aca="false">E439+F439+G439</f>
        <v>3271.52</v>
      </c>
      <c r="I439" s="9" t="n">
        <f aca="false">IF($H$1182=0,0,H439/$H$1182)</f>
        <v>0.00027100760580122</v>
      </c>
      <c r="J439" s="10" t="n">
        <f aca="false">IF(C439&lt;=0,0,H439/C439)</f>
        <v>86.0926315789474</v>
      </c>
    </row>
    <row r="440" customFormat="false" ht="15" hidden="false" customHeight="true" outlineLevel="0" collapsed="false">
      <c r="A440" s="11" t="n">
        <v>436</v>
      </c>
      <c r="B440" s="11" t="s">
        <v>447</v>
      </c>
      <c r="C440" s="12" t="n">
        <v>38</v>
      </c>
      <c r="D440" s="12" t="n">
        <v>16</v>
      </c>
      <c r="E440" s="13" t="n">
        <v>2873</v>
      </c>
      <c r="F440" s="13" t="n">
        <v>-9.52</v>
      </c>
      <c r="G440" s="13" t="n">
        <v>-79</v>
      </c>
      <c r="H440" s="14" t="n">
        <f aca="false">E440+F440+G440</f>
        <v>2784.48</v>
      </c>
      <c r="I440" s="15" t="n">
        <f aca="false">IF($H$1182=0,0,H440/$H$1182)</f>
        <v>0.000230661973089383</v>
      </c>
      <c r="J440" s="16" t="n">
        <f aca="false">IF(C440&lt;=0,0,H440/C440)</f>
        <v>73.2757894736842</v>
      </c>
    </row>
    <row r="441" customFormat="false" ht="15" hidden="false" customHeight="true" outlineLevel="0" collapsed="false">
      <c r="A441" s="5" t="n">
        <v>437</v>
      </c>
      <c r="B441" s="5" t="s">
        <v>448</v>
      </c>
      <c r="C441" s="6" t="n">
        <v>38</v>
      </c>
      <c r="D441" s="6" t="n">
        <v>25</v>
      </c>
      <c r="E441" s="7" t="n">
        <v>2019.57</v>
      </c>
      <c r="F441" s="7" t="n">
        <v>-50.99</v>
      </c>
      <c r="G441" s="7" t="n">
        <v>-209.95</v>
      </c>
      <c r="H441" s="8" t="n">
        <f aca="false">E441+F441+G441</f>
        <v>1758.63</v>
      </c>
      <c r="I441" s="9" t="n">
        <f aca="false">IF($H$1182=0,0,H441/$H$1182)</f>
        <v>0.000145682161744449</v>
      </c>
      <c r="J441" s="10" t="n">
        <f aca="false">IF(C441&lt;=0,0,H441/C441)</f>
        <v>46.2797368421053</v>
      </c>
    </row>
    <row r="442" customFormat="false" ht="15" hidden="false" customHeight="true" outlineLevel="0" collapsed="false">
      <c r="A442" s="11" t="n">
        <v>438</v>
      </c>
      <c r="B442" s="11" t="s">
        <v>449</v>
      </c>
      <c r="C442" s="12" t="n">
        <v>38</v>
      </c>
      <c r="D442" s="12" t="n">
        <v>25</v>
      </c>
      <c r="E442" s="13" t="n">
        <v>1112.66</v>
      </c>
      <c r="F442" s="13" t="n">
        <v>-9.27</v>
      </c>
      <c r="G442" s="13" t="n">
        <v>-126</v>
      </c>
      <c r="H442" s="14" t="n">
        <f aca="false">E442+F442+G442</f>
        <v>977.39</v>
      </c>
      <c r="I442" s="15" t="n">
        <f aca="false">IF($H$1182=0,0,H442/$H$1182)</f>
        <v>8.09654606525572E-005</v>
      </c>
      <c r="J442" s="16" t="n">
        <f aca="false">IF(C442&lt;=0,0,H442/C442)</f>
        <v>25.7207894736842</v>
      </c>
    </row>
    <row r="443" customFormat="false" ht="15" hidden="false" customHeight="true" outlineLevel="0" collapsed="false">
      <c r="A443" s="5" t="n">
        <v>439</v>
      </c>
      <c r="B443" s="5" t="s">
        <v>450</v>
      </c>
      <c r="C443" s="6" t="n">
        <v>38</v>
      </c>
      <c r="D443" s="6" t="n">
        <v>17</v>
      </c>
      <c r="E443" s="7" t="n">
        <v>901.05</v>
      </c>
      <c r="F443" s="7" t="n">
        <v>-4.52</v>
      </c>
      <c r="G443" s="7" t="n">
        <v>-29.99</v>
      </c>
      <c r="H443" s="8" t="n">
        <f aca="false">E443+F443+G443</f>
        <v>866.54</v>
      </c>
      <c r="I443" s="9" t="n">
        <f aca="false">IF($H$1182=0,0,H443/$H$1182)</f>
        <v>7.17828198302284E-005</v>
      </c>
      <c r="J443" s="10" t="n">
        <f aca="false">IF(C443&lt;=0,0,H443/C443)</f>
        <v>22.8036842105263</v>
      </c>
    </row>
    <row r="444" customFormat="false" ht="15" hidden="false" customHeight="true" outlineLevel="0" collapsed="false">
      <c r="A444" s="11" t="n">
        <v>440</v>
      </c>
      <c r="B444" s="11" t="s">
        <v>451</v>
      </c>
      <c r="C444" s="12" t="n">
        <v>37</v>
      </c>
      <c r="D444" s="12" t="n">
        <v>32</v>
      </c>
      <c r="E444" s="13" t="n">
        <v>38087</v>
      </c>
      <c r="F444" s="13" t="n">
        <v>-619.9</v>
      </c>
      <c r="G444" s="13" t="n">
        <v>-3649</v>
      </c>
      <c r="H444" s="14" t="n">
        <f aca="false">E444+F444+G444</f>
        <v>33818.1</v>
      </c>
      <c r="I444" s="15" t="n">
        <f aca="false">IF($H$1182=0,0,H444/$H$1182)</f>
        <v>0.0028014385709842</v>
      </c>
      <c r="J444" s="16" t="n">
        <f aca="false">IF(C444&lt;=0,0,H444/C444)</f>
        <v>914.002702702703</v>
      </c>
    </row>
    <row r="445" customFormat="false" ht="15" hidden="false" customHeight="true" outlineLevel="0" collapsed="false">
      <c r="A445" s="5" t="n">
        <v>441</v>
      </c>
      <c r="B445" s="5" t="s">
        <v>452</v>
      </c>
      <c r="C445" s="6" t="n">
        <v>37</v>
      </c>
      <c r="D445" s="6" t="n">
        <v>33</v>
      </c>
      <c r="E445" s="7" t="n">
        <v>12401.98</v>
      </c>
      <c r="F445" s="7" t="n">
        <v>-14.1</v>
      </c>
      <c r="G445" s="7" t="n">
        <v>-1195</v>
      </c>
      <c r="H445" s="8" t="n">
        <f aca="false">E445+F445+G445</f>
        <v>11192.88</v>
      </c>
      <c r="I445" s="9" t="n">
        <f aca="false">IF($H$1182=0,0,H445/$H$1182)</f>
        <v>0.000927200692895154</v>
      </c>
      <c r="J445" s="10" t="n">
        <f aca="false">IF(C445&lt;=0,0,H445/C445)</f>
        <v>302.51027027027</v>
      </c>
    </row>
    <row r="446" customFormat="false" ht="15" hidden="false" customHeight="true" outlineLevel="0" collapsed="false">
      <c r="A446" s="11" t="n">
        <v>442</v>
      </c>
      <c r="B446" s="11" t="s">
        <v>453</v>
      </c>
      <c r="C446" s="12" t="n">
        <v>37</v>
      </c>
      <c r="D446" s="12" t="n">
        <v>37</v>
      </c>
      <c r="E446" s="13" t="n">
        <v>7604.9</v>
      </c>
      <c r="F446" s="13" t="n">
        <v>-38.82</v>
      </c>
      <c r="G446" s="13" t="n">
        <v>-1039.98</v>
      </c>
      <c r="H446" s="14" t="n">
        <f aca="false">E446+F446+G446</f>
        <v>6526.1</v>
      </c>
      <c r="I446" s="15" t="n">
        <f aca="false">IF($H$1182=0,0,H446/$H$1182)</f>
        <v>0.000540611928467299</v>
      </c>
      <c r="J446" s="16" t="n">
        <f aca="false">IF(C446&lt;=0,0,H446/C446)</f>
        <v>176.381081081081</v>
      </c>
    </row>
    <row r="447" customFormat="false" ht="15" hidden="false" customHeight="true" outlineLevel="0" collapsed="false">
      <c r="A447" s="5" t="n">
        <v>443</v>
      </c>
      <c r="B447" s="5" t="s">
        <v>454</v>
      </c>
      <c r="C447" s="6" t="n">
        <v>37</v>
      </c>
      <c r="D447" s="6" t="n">
        <v>22</v>
      </c>
      <c r="E447" s="7" t="n">
        <v>739.63</v>
      </c>
      <c r="F447" s="7" t="n">
        <v>-0.05</v>
      </c>
      <c r="G447" s="7" t="n">
        <v>0</v>
      </c>
      <c r="H447" s="8" t="n">
        <f aca="false">E447+F447+G447</f>
        <v>739.58</v>
      </c>
      <c r="I447" s="9" t="n">
        <f aca="false">IF($H$1182=0,0,H447/$H$1182)</f>
        <v>6.12656517760753E-005</v>
      </c>
      <c r="J447" s="10" t="n">
        <f aca="false">IF(C447&lt;=0,0,H447/C447)</f>
        <v>19.9886486486487</v>
      </c>
    </row>
    <row r="448" customFormat="false" ht="15" hidden="false" customHeight="true" outlineLevel="0" collapsed="false">
      <c r="A448" s="11" t="n">
        <v>444</v>
      </c>
      <c r="B448" s="11" t="s">
        <v>455</v>
      </c>
      <c r="C448" s="12" t="n">
        <v>37</v>
      </c>
      <c r="D448" s="12" t="n">
        <v>15</v>
      </c>
      <c r="E448" s="13" t="n">
        <v>722.19</v>
      </c>
      <c r="F448" s="13" t="n">
        <v>-1.59</v>
      </c>
      <c r="G448" s="13" t="n">
        <v>-15.67</v>
      </c>
      <c r="H448" s="14" t="n">
        <f aca="false">E448+F448+G448</f>
        <v>704.93</v>
      </c>
      <c r="I448" s="15" t="n">
        <f aca="false">IF($H$1182=0,0,H448/$H$1182)</f>
        <v>5.83952999087439E-005</v>
      </c>
      <c r="J448" s="16" t="n">
        <f aca="false">IF(C448&lt;=0,0,H448/C448)</f>
        <v>19.0521621621622</v>
      </c>
    </row>
    <row r="449" customFormat="false" ht="15" hidden="false" customHeight="true" outlineLevel="0" collapsed="false">
      <c r="A449" s="5" t="n">
        <v>445</v>
      </c>
      <c r="B449" s="5" t="s">
        <v>456</v>
      </c>
      <c r="C449" s="6" t="n">
        <v>37</v>
      </c>
      <c r="D449" s="6" t="n">
        <v>25</v>
      </c>
      <c r="E449" s="7" t="n">
        <v>679.15</v>
      </c>
      <c r="F449" s="7" t="n">
        <v>-3.8</v>
      </c>
      <c r="G449" s="7" t="n">
        <v>-46.22</v>
      </c>
      <c r="H449" s="8" t="n">
        <f aca="false">E449+F449+G449</f>
        <v>629.13</v>
      </c>
      <c r="I449" s="9" t="n">
        <f aca="false">IF($H$1182=0,0,H449/$H$1182)</f>
        <v>5.21161463288384E-005</v>
      </c>
      <c r="J449" s="10" t="n">
        <f aca="false">IF(C449&lt;=0,0,H449/C449)</f>
        <v>17.0035135135135</v>
      </c>
    </row>
    <row r="450" customFormat="false" ht="15" hidden="false" customHeight="true" outlineLevel="0" collapsed="false">
      <c r="A450" s="11" t="n">
        <v>446</v>
      </c>
      <c r="B450" s="11" t="s">
        <v>457</v>
      </c>
      <c r="C450" s="12" t="n">
        <v>36</v>
      </c>
      <c r="D450" s="12" t="n">
        <v>30</v>
      </c>
      <c r="E450" s="13" t="n">
        <v>39641.85</v>
      </c>
      <c r="F450" s="13" t="n">
        <v>-250.03</v>
      </c>
      <c r="G450" s="13" t="n">
        <v>-2143.05</v>
      </c>
      <c r="H450" s="14" t="n">
        <f aca="false">E450+F450+G450</f>
        <v>37248.77</v>
      </c>
      <c r="I450" s="15" t="n">
        <f aca="false">IF($H$1182=0,0,H450/$H$1182)</f>
        <v>0.00308562991415009</v>
      </c>
      <c r="J450" s="16" t="n">
        <f aca="false">IF(C450&lt;=0,0,H450/C450)</f>
        <v>1034.68805555556</v>
      </c>
    </row>
    <row r="451" customFormat="false" ht="15" hidden="false" customHeight="true" outlineLevel="0" collapsed="false">
      <c r="A451" s="5" t="n">
        <v>447</v>
      </c>
      <c r="B451" s="5" t="s">
        <v>458</v>
      </c>
      <c r="C451" s="6" t="n">
        <v>36</v>
      </c>
      <c r="D451" s="6" t="n">
        <v>37</v>
      </c>
      <c r="E451" s="7" t="n">
        <v>21538</v>
      </c>
      <c r="F451" s="7" t="n">
        <v>-120</v>
      </c>
      <c r="G451" s="7" t="n">
        <v>-4016</v>
      </c>
      <c r="H451" s="8" t="n">
        <f aca="false">E451+F451+G451</f>
        <v>17402</v>
      </c>
      <c r="I451" s="9" t="n">
        <f aca="false">IF($H$1182=0,0,H451/$H$1182)</f>
        <v>0.00144155449337092</v>
      </c>
      <c r="J451" s="10" t="n">
        <f aca="false">IF(C451&lt;=0,0,H451/C451)</f>
        <v>483.388888888889</v>
      </c>
    </row>
    <row r="452" customFormat="false" ht="15" hidden="false" customHeight="true" outlineLevel="0" collapsed="false">
      <c r="A452" s="11" t="n">
        <v>448</v>
      </c>
      <c r="B452" s="11" t="s">
        <v>459</v>
      </c>
      <c r="C452" s="12" t="n">
        <v>36</v>
      </c>
      <c r="D452" s="12" t="n">
        <v>37</v>
      </c>
      <c r="E452" s="13" t="n">
        <v>15474.59</v>
      </c>
      <c r="F452" s="13" t="n">
        <v>-120.17</v>
      </c>
      <c r="G452" s="13" t="n">
        <v>-1963.25</v>
      </c>
      <c r="H452" s="14" t="n">
        <f aca="false">E452+F452+G452</f>
        <v>13391.17</v>
      </c>
      <c r="I452" s="15" t="n">
        <f aca="false">IF($H$1182=0,0,H452/$H$1182)</f>
        <v>0.00110930360217181</v>
      </c>
      <c r="J452" s="16" t="n">
        <f aca="false">IF(C452&lt;=0,0,H452/C452)</f>
        <v>371.976944444444</v>
      </c>
    </row>
    <row r="453" customFormat="false" ht="15" hidden="false" customHeight="true" outlineLevel="0" collapsed="false">
      <c r="A453" s="5" t="n">
        <v>449</v>
      </c>
      <c r="B453" s="5" t="s">
        <v>460</v>
      </c>
      <c r="C453" s="6" t="n">
        <v>36</v>
      </c>
      <c r="D453" s="6" t="n">
        <v>20</v>
      </c>
      <c r="E453" s="7" t="n">
        <v>4031.61</v>
      </c>
      <c r="F453" s="7" t="n">
        <v>-30.57</v>
      </c>
      <c r="G453" s="7" t="n">
        <v>-299.97</v>
      </c>
      <c r="H453" s="8" t="n">
        <f aca="false">E453+F453+G453</f>
        <v>3701.07</v>
      </c>
      <c r="I453" s="9" t="n">
        <f aca="false">IF($H$1182=0,0,H453/$H$1182)</f>
        <v>0.00030659085672798</v>
      </c>
      <c r="J453" s="10" t="n">
        <f aca="false">IF(C453&lt;=0,0,H453/C453)</f>
        <v>102.8075</v>
      </c>
    </row>
    <row r="454" customFormat="false" ht="15" hidden="false" customHeight="true" outlineLevel="0" collapsed="false">
      <c r="A454" s="11" t="n">
        <v>450</v>
      </c>
      <c r="B454" s="11" t="s">
        <v>461</v>
      </c>
      <c r="C454" s="12" t="n">
        <v>36</v>
      </c>
      <c r="D454" s="12" t="n">
        <v>15</v>
      </c>
      <c r="E454" s="13" t="n">
        <v>607.29</v>
      </c>
      <c r="F454" s="13" t="n">
        <v>-12.91</v>
      </c>
      <c r="G454" s="13" t="n">
        <v>-36.23</v>
      </c>
      <c r="H454" s="14" t="n">
        <f aca="false">E454+F454+G454</f>
        <v>558.15</v>
      </c>
      <c r="I454" s="15" t="n">
        <f aca="false">IF($H$1182=0,0,H454/$H$1182)</f>
        <v>4.62362740187896E-005</v>
      </c>
      <c r="J454" s="16" t="n">
        <f aca="false">IF(C454&lt;=0,0,H454/C454)</f>
        <v>15.5041666666667</v>
      </c>
    </row>
    <row r="455" customFormat="false" ht="15" hidden="false" customHeight="true" outlineLevel="0" collapsed="false">
      <c r="A455" s="5" t="n">
        <v>451</v>
      </c>
      <c r="B455" s="5" t="s">
        <v>462</v>
      </c>
      <c r="C455" s="6" t="n">
        <v>35</v>
      </c>
      <c r="D455" s="6" t="n">
        <v>37</v>
      </c>
      <c r="E455" s="7" t="n">
        <v>19259.59</v>
      </c>
      <c r="F455" s="7" t="n">
        <v>-24.75</v>
      </c>
      <c r="G455" s="7" t="n">
        <v>-2744.94</v>
      </c>
      <c r="H455" s="8" t="n">
        <f aca="false">E455+F455+G455</f>
        <v>16489.9</v>
      </c>
      <c r="I455" s="9" t="n">
        <f aca="false">IF($H$1182=0,0,H455/$H$1182)</f>
        <v>0.00136599755431773</v>
      </c>
      <c r="J455" s="10" t="n">
        <f aca="false">IF(C455&lt;=0,0,H455/C455)</f>
        <v>471.14</v>
      </c>
    </row>
    <row r="456" customFormat="false" ht="15" hidden="false" customHeight="true" outlineLevel="0" collapsed="false">
      <c r="A456" s="11" t="n">
        <v>452</v>
      </c>
      <c r="B456" s="11" t="s">
        <v>463</v>
      </c>
      <c r="C456" s="12" t="n">
        <v>35</v>
      </c>
      <c r="D456" s="12" t="n">
        <v>25</v>
      </c>
      <c r="E456" s="13" t="n">
        <v>10003.89</v>
      </c>
      <c r="F456" s="13" t="n">
        <v>-230.16</v>
      </c>
      <c r="G456" s="13" t="n">
        <v>-556.26</v>
      </c>
      <c r="H456" s="14" t="n">
        <f aca="false">E456+F456+G456</f>
        <v>9217.47</v>
      </c>
      <c r="I456" s="15" t="n">
        <f aca="false">IF($H$1182=0,0,H456/$H$1182)</f>
        <v>0.000763560814619677</v>
      </c>
      <c r="J456" s="16" t="n">
        <f aca="false">IF(C456&lt;=0,0,H456/C456)</f>
        <v>263.356285714286</v>
      </c>
    </row>
    <row r="457" customFormat="false" ht="15" hidden="false" customHeight="true" outlineLevel="0" collapsed="false">
      <c r="A457" s="5" t="n">
        <v>453</v>
      </c>
      <c r="B457" s="5" t="s">
        <v>464</v>
      </c>
      <c r="C457" s="6" t="n">
        <v>35</v>
      </c>
      <c r="D457" s="6" t="n">
        <v>30</v>
      </c>
      <c r="E457" s="7" t="n">
        <v>1546.86</v>
      </c>
      <c r="F457" s="7" t="n">
        <v>-0.72</v>
      </c>
      <c r="G457" s="7" t="n">
        <v>-149.97</v>
      </c>
      <c r="H457" s="8" t="n">
        <f aca="false">E457+F457+G457</f>
        <v>1396.17</v>
      </c>
      <c r="I457" s="9" t="n">
        <f aca="false">IF($H$1182=0,0,H457/$H$1182)</f>
        <v>0.000115656541604969</v>
      </c>
      <c r="J457" s="10" t="n">
        <f aca="false">IF(C457&lt;=0,0,H457/C457)</f>
        <v>39.8905714285714</v>
      </c>
    </row>
    <row r="458" customFormat="false" ht="15" hidden="false" customHeight="true" outlineLevel="0" collapsed="false">
      <c r="A458" s="11" t="n">
        <v>454</v>
      </c>
      <c r="B458" s="11" t="s">
        <v>465</v>
      </c>
      <c r="C458" s="12" t="n">
        <v>35</v>
      </c>
      <c r="D458" s="12" t="n">
        <v>27</v>
      </c>
      <c r="E458" s="13" t="n">
        <v>1085.2</v>
      </c>
      <c r="F458" s="13" t="n">
        <v>-18.34</v>
      </c>
      <c r="G458" s="13" t="n">
        <v>-71.4</v>
      </c>
      <c r="H458" s="14" t="n">
        <f aca="false">E458+F458+G458</f>
        <v>995.46</v>
      </c>
      <c r="I458" s="15" t="n">
        <f aca="false">IF($H$1182=0,0,H458/$H$1182)</f>
        <v>8.24623512223315E-005</v>
      </c>
      <c r="J458" s="16" t="n">
        <f aca="false">IF(C458&lt;=0,0,H458/C458)</f>
        <v>28.4417142857143</v>
      </c>
    </row>
    <row r="459" customFormat="false" ht="15" hidden="false" customHeight="true" outlineLevel="0" collapsed="false">
      <c r="A459" s="5" t="n">
        <v>455</v>
      </c>
      <c r="B459" s="5" t="s">
        <v>466</v>
      </c>
      <c r="C459" s="6" t="n">
        <v>34</v>
      </c>
      <c r="D459" s="6" t="n">
        <v>35</v>
      </c>
      <c r="E459" s="7" t="n">
        <v>21169.46</v>
      </c>
      <c r="F459" s="7" t="n">
        <v>-142.7</v>
      </c>
      <c r="G459" s="7" t="n">
        <v>-1818.97</v>
      </c>
      <c r="H459" s="8" t="n">
        <f aca="false">E459+F459+G459</f>
        <v>19207.79</v>
      </c>
      <c r="I459" s="9" t="n">
        <f aca="false">IF($H$1182=0,0,H459/$H$1182)</f>
        <v>0.00159114331583869</v>
      </c>
      <c r="J459" s="10" t="n">
        <f aca="false">IF(C459&lt;=0,0,H459/C459)</f>
        <v>564.935</v>
      </c>
    </row>
    <row r="460" customFormat="false" ht="15" hidden="false" customHeight="true" outlineLevel="0" collapsed="false">
      <c r="A460" s="11" t="n">
        <v>456</v>
      </c>
      <c r="B460" s="11" t="s">
        <v>467</v>
      </c>
      <c r="C460" s="12" t="n">
        <v>34</v>
      </c>
      <c r="D460" s="12" t="n">
        <v>26</v>
      </c>
      <c r="E460" s="13" t="n">
        <v>16874.63</v>
      </c>
      <c r="F460" s="13" t="n">
        <v>-44.99</v>
      </c>
      <c r="G460" s="13" t="n">
        <v>-1349.97</v>
      </c>
      <c r="H460" s="14" t="n">
        <f aca="false">E460+F460+G460</f>
        <v>15479.67</v>
      </c>
      <c r="I460" s="15" t="n">
        <f aca="false">IF($H$1182=0,0,H460/$H$1182)</f>
        <v>0.00128231167937013</v>
      </c>
      <c r="J460" s="16" t="n">
        <f aca="false">IF(C460&lt;=0,0,H460/C460)</f>
        <v>455.284411764706</v>
      </c>
    </row>
    <row r="461" customFormat="false" ht="15" hidden="false" customHeight="true" outlineLevel="0" collapsed="false">
      <c r="A461" s="5" t="n">
        <v>457</v>
      </c>
      <c r="B461" s="5" t="s">
        <v>468</v>
      </c>
      <c r="C461" s="6" t="n">
        <v>34</v>
      </c>
      <c r="D461" s="6" t="n">
        <v>18</v>
      </c>
      <c r="E461" s="7" t="n">
        <v>9859.77</v>
      </c>
      <c r="F461" s="7" t="n">
        <v>0</v>
      </c>
      <c r="G461" s="7" t="n">
        <v>-220</v>
      </c>
      <c r="H461" s="8" t="n">
        <f aca="false">E461+F461+G461</f>
        <v>9639.77</v>
      </c>
      <c r="I461" s="9" t="n">
        <f aca="false">IF($H$1182=0,0,H461/$H$1182)</f>
        <v>0.000798543486872898</v>
      </c>
      <c r="J461" s="10" t="n">
        <f aca="false">IF(C461&lt;=0,0,H461/C461)</f>
        <v>283.522647058824</v>
      </c>
    </row>
    <row r="462" customFormat="false" ht="15" hidden="false" customHeight="true" outlineLevel="0" collapsed="false">
      <c r="A462" s="11" t="n">
        <v>458</v>
      </c>
      <c r="B462" s="11" t="s">
        <v>469</v>
      </c>
      <c r="C462" s="12" t="n">
        <v>34</v>
      </c>
      <c r="D462" s="12" t="n">
        <v>28</v>
      </c>
      <c r="E462" s="13" t="n">
        <v>5830.5</v>
      </c>
      <c r="F462" s="13" t="n">
        <v>-11.44</v>
      </c>
      <c r="G462" s="13" t="n">
        <v>0</v>
      </c>
      <c r="H462" s="14" t="n">
        <f aca="false">E462+F462+G462</f>
        <v>5819.06</v>
      </c>
      <c r="I462" s="15" t="n">
        <f aca="false">IF($H$1182=0,0,H462/$H$1182)</f>
        <v>0.000482041839454946</v>
      </c>
      <c r="J462" s="16" t="n">
        <f aca="false">IF(C462&lt;=0,0,H462/C462)</f>
        <v>171.148823529412</v>
      </c>
    </row>
    <row r="463" customFormat="false" ht="15" hidden="false" customHeight="true" outlineLevel="0" collapsed="false">
      <c r="A463" s="5" t="n">
        <v>459</v>
      </c>
      <c r="B463" s="5" t="s">
        <v>470</v>
      </c>
      <c r="C463" s="6" t="n">
        <v>34</v>
      </c>
      <c r="D463" s="6" t="n">
        <v>11</v>
      </c>
      <c r="E463" s="7" t="n">
        <v>3960</v>
      </c>
      <c r="F463" s="7" t="n">
        <v>-11.12</v>
      </c>
      <c r="G463" s="7" t="n">
        <v>-220</v>
      </c>
      <c r="H463" s="8" t="n">
        <f aca="false">E463+F463+G463</f>
        <v>3728.88</v>
      </c>
      <c r="I463" s="9" t="n">
        <f aca="false">IF($H$1182=0,0,H463/$H$1182)</f>
        <v>0.00030889459368124</v>
      </c>
      <c r="J463" s="10" t="n">
        <f aca="false">IF(C463&lt;=0,0,H463/C463)</f>
        <v>109.672941176471</v>
      </c>
    </row>
    <row r="464" customFormat="false" ht="15" hidden="false" customHeight="true" outlineLevel="0" collapsed="false">
      <c r="A464" s="11" t="n">
        <v>460</v>
      </c>
      <c r="B464" s="11" t="s">
        <v>471</v>
      </c>
      <c r="C464" s="12" t="n">
        <v>34</v>
      </c>
      <c r="D464" s="12" t="n">
        <v>13</v>
      </c>
      <c r="E464" s="13" t="n">
        <v>686.96</v>
      </c>
      <c r="F464" s="13" t="n">
        <v>0</v>
      </c>
      <c r="G464" s="13" t="n">
        <v>0</v>
      </c>
      <c r="H464" s="14" t="n">
        <f aca="false">E464+F464+G464</f>
        <v>686.96</v>
      </c>
      <c r="I464" s="15" t="n">
        <f aca="false">IF($H$1182=0,0,H464/$H$1182)</f>
        <v>5.69066931827425E-005</v>
      </c>
      <c r="J464" s="16" t="n">
        <f aca="false">IF(C464&lt;=0,0,H464/C464)</f>
        <v>20.2047058823529</v>
      </c>
    </row>
    <row r="465" customFormat="false" ht="15" hidden="false" customHeight="true" outlineLevel="0" collapsed="false">
      <c r="A465" s="5" t="n">
        <v>461</v>
      </c>
      <c r="B465" s="5" t="s">
        <v>472</v>
      </c>
      <c r="C465" s="6" t="n">
        <v>34</v>
      </c>
      <c r="D465" s="6" t="n">
        <v>17</v>
      </c>
      <c r="E465" s="7" t="n">
        <v>579.7</v>
      </c>
      <c r="F465" s="7" t="n">
        <v>-8.67</v>
      </c>
      <c r="G465" s="7" t="n">
        <v>-70.82</v>
      </c>
      <c r="H465" s="8" t="n">
        <f aca="false">E465+F465+G465</f>
        <v>500.21</v>
      </c>
      <c r="I465" s="9" t="n">
        <f aca="false">IF($H$1182=0,0,H465/$H$1182)</f>
        <v>4.14366149367352E-005</v>
      </c>
      <c r="J465" s="10" t="n">
        <f aca="false">IF(C465&lt;=0,0,H465/C465)</f>
        <v>14.7120588235294</v>
      </c>
    </row>
    <row r="466" customFormat="false" ht="15" hidden="false" customHeight="true" outlineLevel="0" collapsed="false">
      <c r="A466" s="11" t="n">
        <v>462</v>
      </c>
      <c r="B466" s="11" t="s">
        <v>473</v>
      </c>
      <c r="C466" s="12" t="n">
        <v>33</v>
      </c>
      <c r="D466" s="12" t="n">
        <v>28</v>
      </c>
      <c r="E466" s="13" t="n">
        <v>43500</v>
      </c>
      <c r="F466" s="13" t="n">
        <v>-424.56</v>
      </c>
      <c r="G466" s="13" t="n">
        <v>-4436.84</v>
      </c>
      <c r="H466" s="14" t="n">
        <f aca="false">E466+F466+G466</f>
        <v>38638.6</v>
      </c>
      <c r="I466" s="15" t="n">
        <f aca="false">IF($H$1182=0,0,H466/$H$1182)</f>
        <v>0.00320076126005985</v>
      </c>
      <c r="J466" s="16" t="n">
        <f aca="false">IF(C466&lt;=0,0,H466/C466)</f>
        <v>1170.86666666667</v>
      </c>
    </row>
    <row r="467" customFormat="false" ht="15" hidden="false" customHeight="true" outlineLevel="0" collapsed="false">
      <c r="A467" s="5" t="n">
        <v>463</v>
      </c>
      <c r="B467" s="5" t="s">
        <v>474</v>
      </c>
      <c r="C467" s="6" t="n">
        <v>33</v>
      </c>
      <c r="D467" s="6" t="n">
        <v>13</v>
      </c>
      <c r="E467" s="7" t="n">
        <v>7283.33</v>
      </c>
      <c r="F467" s="7" t="n">
        <v>-123.74</v>
      </c>
      <c r="G467" s="7" t="n">
        <v>0</v>
      </c>
      <c r="H467" s="8" t="n">
        <f aca="false">E467+F467+G467</f>
        <v>7159.59</v>
      </c>
      <c r="I467" s="9" t="n">
        <f aca="false">IF($H$1182=0,0,H467/$H$1182)</f>
        <v>0.000593089250384639</v>
      </c>
      <c r="J467" s="10" t="n">
        <f aca="false">IF(C467&lt;=0,0,H467/C467)</f>
        <v>216.957272727273</v>
      </c>
    </row>
    <row r="468" customFormat="false" ht="15" hidden="false" customHeight="true" outlineLevel="0" collapsed="false">
      <c r="A468" s="11" t="n">
        <v>464</v>
      </c>
      <c r="B468" s="11" t="s">
        <v>475</v>
      </c>
      <c r="C468" s="12" t="n">
        <v>33</v>
      </c>
      <c r="D468" s="12" t="n">
        <v>30</v>
      </c>
      <c r="E468" s="13" t="n">
        <v>6609.55</v>
      </c>
      <c r="F468" s="13" t="n">
        <v>-378.46</v>
      </c>
      <c r="G468" s="13" t="n">
        <v>-1599.88</v>
      </c>
      <c r="H468" s="14" t="n">
        <f aca="false">E468+F468+G468</f>
        <v>4631.21</v>
      </c>
      <c r="I468" s="15" t="n">
        <f aca="false">IF($H$1182=0,0,H468/$H$1182)</f>
        <v>0.000383642201197812</v>
      </c>
      <c r="J468" s="16" t="n">
        <f aca="false">IF(C468&lt;=0,0,H468/C468)</f>
        <v>140.339696969697</v>
      </c>
    </row>
    <row r="469" customFormat="false" ht="15" hidden="false" customHeight="true" outlineLevel="0" collapsed="false">
      <c r="A469" s="5" t="n">
        <v>465</v>
      </c>
      <c r="B469" s="5" t="s">
        <v>476</v>
      </c>
      <c r="C469" s="6" t="n">
        <v>33</v>
      </c>
      <c r="D469" s="6" t="n">
        <v>21</v>
      </c>
      <c r="E469" s="7" t="n">
        <v>2609.64</v>
      </c>
      <c r="F469" s="7" t="n">
        <v>-7.99</v>
      </c>
      <c r="G469" s="7" t="n">
        <v>-239.97</v>
      </c>
      <c r="H469" s="8" t="n">
        <f aca="false">E469+F469+G469</f>
        <v>2361.68</v>
      </c>
      <c r="I469" s="9" t="n">
        <f aca="false">IF($H$1182=0,0,H469/$H$1182)</f>
        <v>0.000195637881617298</v>
      </c>
      <c r="J469" s="10" t="n">
        <f aca="false">IF(C469&lt;=0,0,H469/C469)</f>
        <v>71.5660606060606</v>
      </c>
    </row>
    <row r="470" customFormat="false" ht="15" hidden="false" customHeight="true" outlineLevel="0" collapsed="false">
      <c r="A470" s="11" t="n">
        <v>466</v>
      </c>
      <c r="B470" s="11" t="s">
        <v>477</v>
      </c>
      <c r="C470" s="12" t="n">
        <v>33</v>
      </c>
      <c r="D470" s="12" t="n">
        <v>29</v>
      </c>
      <c r="E470" s="13" t="n">
        <v>2581.59</v>
      </c>
      <c r="F470" s="13" t="n">
        <v>-32.16</v>
      </c>
      <c r="G470" s="13" t="n">
        <v>-499.92</v>
      </c>
      <c r="H470" s="14" t="n">
        <f aca="false">E470+F470+G470</f>
        <v>2049.51</v>
      </c>
      <c r="I470" s="15" t="n">
        <f aca="false">IF($H$1182=0,0,H470/$H$1182)</f>
        <v>0.000169778206511242</v>
      </c>
      <c r="J470" s="16" t="n">
        <f aca="false">IF(C470&lt;=0,0,H470/C470)</f>
        <v>62.1063636363636</v>
      </c>
    </row>
    <row r="471" customFormat="false" ht="15" hidden="false" customHeight="true" outlineLevel="0" collapsed="false">
      <c r="A471" s="5" t="n">
        <v>467</v>
      </c>
      <c r="B471" s="5" t="s">
        <v>478</v>
      </c>
      <c r="C471" s="6" t="n">
        <v>33</v>
      </c>
      <c r="D471" s="6" t="n">
        <v>30</v>
      </c>
      <c r="E471" s="7" t="n">
        <v>1329.62</v>
      </c>
      <c r="F471" s="7" t="n">
        <v>-24.43</v>
      </c>
      <c r="G471" s="7" t="n">
        <v>-174.95</v>
      </c>
      <c r="H471" s="8" t="n">
        <f aca="false">E471+F471+G471</f>
        <v>1130.24</v>
      </c>
      <c r="I471" s="9" t="n">
        <f aca="false">IF($H$1182=0,0,H471/$H$1182)</f>
        <v>9.36273158595302E-005</v>
      </c>
      <c r="J471" s="10" t="n">
        <f aca="false">IF(C471&lt;=0,0,H471/C471)</f>
        <v>34.249696969697</v>
      </c>
    </row>
    <row r="472" customFormat="false" ht="15" hidden="false" customHeight="true" outlineLevel="0" collapsed="false">
      <c r="A472" s="11" t="n">
        <v>468</v>
      </c>
      <c r="B472" s="11" t="s">
        <v>479</v>
      </c>
      <c r="C472" s="12" t="n">
        <v>33</v>
      </c>
      <c r="D472" s="12" t="n">
        <v>24</v>
      </c>
      <c r="E472" s="13" t="n">
        <v>618</v>
      </c>
      <c r="F472" s="13" t="n">
        <v>-3.5</v>
      </c>
      <c r="G472" s="13" t="n">
        <v>-169</v>
      </c>
      <c r="H472" s="14" t="n">
        <f aca="false">E472+F472+G472</f>
        <v>445.5</v>
      </c>
      <c r="I472" s="15" t="n">
        <f aca="false">IF($H$1182=0,0,H472/$H$1182)</f>
        <v>3.69045240085475E-005</v>
      </c>
      <c r="J472" s="16" t="n">
        <f aca="false">IF(C472&lt;=0,0,H472/C472)</f>
        <v>13.5</v>
      </c>
    </row>
    <row r="473" customFormat="false" ht="15" hidden="false" customHeight="true" outlineLevel="0" collapsed="false">
      <c r="A473" s="5" t="n">
        <v>469</v>
      </c>
      <c r="B473" s="5" t="s">
        <v>480</v>
      </c>
      <c r="C473" s="6" t="n">
        <v>32</v>
      </c>
      <c r="D473" s="6" t="n">
        <v>25</v>
      </c>
      <c r="E473" s="7" t="n">
        <v>11841</v>
      </c>
      <c r="F473" s="7" t="n">
        <v>-99.9</v>
      </c>
      <c r="G473" s="7" t="n">
        <v>-999</v>
      </c>
      <c r="H473" s="8" t="n">
        <f aca="false">E473+F473+G473</f>
        <v>10742.1</v>
      </c>
      <c r="I473" s="9" t="n">
        <f aca="false">IF($H$1182=0,0,H473/$H$1182)</f>
        <v>0.000889858781935394</v>
      </c>
      <c r="J473" s="10" t="n">
        <f aca="false">IF(C473&lt;=0,0,H473/C473)</f>
        <v>335.690625</v>
      </c>
    </row>
    <row r="474" customFormat="false" ht="15" hidden="false" customHeight="true" outlineLevel="0" collapsed="false">
      <c r="A474" s="11" t="n">
        <v>470</v>
      </c>
      <c r="B474" s="11" t="s">
        <v>481</v>
      </c>
      <c r="C474" s="12" t="n">
        <v>32</v>
      </c>
      <c r="D474" s="12" t="n">
        <v>20</v>
      </c>
      <c r="E474" s="13" t="n">
        <v>7999.68</v>
      </c>
      <c r="F474" s="13" t="n">
        <v>0</v>
      </c>
      <c r="G474" s="13" t="n">
        <v>0</v>
      </c>
      <c r="H474" s="14" t="n">
        <f aca="false">E474+F474+G474</f>
        <v>7999.68</v>
      </c>
      <c r="I474" s="15" t="n">
        <f aca="false">IF($H$1182=0,0,H474/$H$1182)</f>
        <v>0.000662680993536919</v>
      </c>
      <c r="J474" s="16" t="n">
        <f aca="false">IF(C474&lt;=0,0,H474/C474)</f>
        <v>249.99</v>
      </c>
    </row>
    <row r="475" customFormat="false" ht="15" hidden="false" customHeight="true" outlineLevel="0" collapsed="false">
      <c r="A475" s="5" t="n">
        <v>471</v>
      </c>
      <c r="B475" s="5" t="s">
        <v>482</v>
      </c>
      <c r="C475" s="6" t="n">
        <v>32</v>
      </c>
      <c r="D475" s="6" t="n">
        <v>32</v>
      </c>
      <c r="E475" s="7" t="n">
        <v>5144.44</v>
      </c>
      <c r="F475" s="7" t="n">
        <v>-22.39</v>
      </c>
      <c r="G475" s="7" t="n">
        <v>-814.45</v>
      </c>
      <c r="H475" s="8" t="n">
        <f aca="false">E475+F475+G475</f>
        <v>4307.6</v>
      </c>
      <c r="I475" s="9" t="n">
        <f aca="false">IF($H$1182=0,0,H475/$H$1182)</f>
        <v>0.000356834854364128</v>
      </c>
      <c r="J475" s="10" t="n">
        <f aca="false">IF(C475&lt;=0,0,H475/C475)</f>
        <v>134.6125</v>
      </c>
    </row>
    <row r="476" customFormat="false" ht="15" hidden="false" customHeight="true" outlineLevel="0" collapsed="false">
      <c r="A476" s="11" t="n">
        <v>472</v>
      </c>
      <c r="B476" s="11" t="s">
        <v>483</v>
      </c>
      <c r="C476" s="12" t="n">
        <v>32</v>
      </c>
      <c r="D476" s="12" t="n">
        <v>37</v>
      </c>
      <c r="E476" s="13" t="n">
        <v>2659.95</v>
      </c>
      <c r="F476" s="13" t="n">
        <v>-4.17</v>
      </c>
      <c r="G476" s="13" t="n">
        <v>-534.75</v>
      </c>
      <c r="H476" s="14" t="n">
        <f aca="false">E476+F476+G476</f>
        <v>2121.03</v>
      </c>
      <c r="I476" s="15" t="n">
        <f aca="false">IF($H$1182=0,0,H476/$H$1182)</f>
        <v>0.000175702811577664</v>
      </c>
      <c r="J476" s="16" t="n">
        <f aca="false">IF(C476&lt;=0,0,H476/C476)</f>
        <v>66.2821875</v>
      </c>
    </row>
    <row r="477" customFormat="false" ht="15" hidden="false" customHeight="true" outlineLevel="0" collapsed="false">
      <c r="A477" s="5" t="n">
        <v>473</v>
      </c>
      <c r="B477" s="5" t="s">
        <v>484</v>
      </c>
      <c r="C477" s="6" t="n">
        <v>32</v>
      </c>
      <c r="D477" s="6" t="n">
        <v>27</v>
      </c>
      <c r="E477" s="7" t="n">
        <v>985.43</v>
      </c>
      <c r="F477" s="7" t="n">
        <v>-10.8</v>
      </c>
      <c r="G477" s="7" t="n">
        <v>-70.2</v>
      </c>
      <c r="H477" s="8" t="n">
        <f aca="false">E477+F477+G477</f>
        <v>904.43</v>
      </c>
      <c r="I477" s="9" t="n">
        <f aca="false">IF($H$1182=0,0,H477/$H$1182)</f>
        <v>7.49215682358038E-005</v>
      </c>
      <c r="J477" s="10" t="n">
        <f aca="false">IF(C477&lt;=0,0,H477/C477)</f>
        <v>28.2634375</v>
      </c>
    </row>
    <row r="478" customFormat="false" ht="15" hidden="false" customHeight="true" outlineLevel="0" collapsed="false">
      <c r="A478" s="11" t="n">
        <v>474</v>
      </c>
      <c r="B478" s="11" t="s">
        <v>485</v>
      </c>
      <c r="C478" s="12" t="n">
        <v>31</v>
      </c>
      <c r="D478" s="12" t="n">
        <v>19</v>
      </c>
      <c r="E478" s="13" t="n">
        <v>12399.69</v>
      </c>
      <c r="F478" s="13" t="n">
        <v>-359.91</v>
      </c>
      <c r="G478" s="13" t="n">
        <v>0</v>
      </c>
      <c r="H478" s="14" t="n">
        <f aca="false">E478+F478+G478</f>
        <v>12039.78</v>
      </c>
      <c r="I478" s="15" t="n">
        <f aca="false">IF($H$1182=0,0,H478/$H$1182)</f>
        <v>0.000997356565808373</v>
      </c>
      <c r="J478" s="16" t="n">
        <f aca="false">IF(C478&lt;=0,0,H478/C478)</f>
        <v>388.38</v>
      </c>
    </row>
    <row r="479" customFormat="false" ht="15" hidden="false" customHeight="true" outlineLevel="0" collapsed="false">
      <c r="A479" s="5" t="n">
        <v>475</v>
      </c>
      <c r="B479" s="5" t="s">
        <v>486</v>
      </c>
      <c r="C479" s="6" t="n">
        <v>31</v>
      </c>
      <c r="D479" s="6" t="n">
        <v>25</v>
      </c>
      <c r="E479" s="7" t="n">
        <v>11439</v>
      </c>
      <c r="F479" s="7" t="n">
        <v>0</v>
      </c>
      <c r="G479" s="7" t="n">
        <v>0</v>
      </c>
      <c r="H479" s="8" t="n">
        <f aca="false">E479+F479+G479</f>
        <v>11439</v>
      </c>
      <c r="I479" s="9" t="n">
        <f aca="false">IF($H$1182=0,0,H479/$H$1182)</f>
        <v>0.000947588889189169</v>
      </c>
      <c r="J479" s="10" t="n">
        <f aca="false">IF(C479&lt;=0,0,H479/C479)</f>
        <v>369</v>
      </c>
    </row>
    <row r="480" customFormat="false" ht="15" hidden="false" customHeight="true" outlineLevel="0" collapsed="false">
      <c r="A480" s="11" t="n">
        <v>476</v>
      </c>
      <c r="B480" s="11" t="s">
        <v>487</v>
      </c>
      <c r="C480" s="12" t="n">
        <v>31</v>
      </c>
      <c r="D480" s="12" t="n">
        <v>28</v>
      </c>
      <c r="E480" s="13" t="n">
        <v>6982.48</v>
      </c>
      <c r="F480" s="13" t="n">
        <v>-61.36</v>
      </c>
      <c r="G480" s="13" t="n">
        <v>-848</v>
      </c>
      <c r="H480" s="14" t="n">
        <f aca="false">E480+F480+G480</f>
        <v>6073.12</v>
      </c>
      <c r="I480" s="15" t="n">
        <f aca="false">IF($H$1182=0,0,H480/$H$1182)</f>
        <v>0.000503087772944534</v>
      </c>
      <c r="J480" s="16" t="n">
        <f aca="false">IF(C480&lt;=0,0,H480/C480)</f>
        <v>195.907096774194</v>
      </c>
    </row>
    <row r="481" customFormat="false" ht="15" hidden="false" customHeight="true" outlineLevel="0" collapsed="false">
      <c r="A481" s="5" t="n">
        <v>477</v>
      </c>
      <c r="B481" s="5" t="s">
        <v>488</v>
      </c>
      <c r="C481" s="6" t="n">
        <v>31</v>
      </c>
      <c r="D481" s="6" t="n">
        <v>32</v>
      </c>
      <c r="E481" s="7" t="n">
        <v>5942.48</v>
      </c>
      <c r="F481" s="7" t="n">
        <v>-32.6</v>
      </c>
      <c r="G481" s="7" t="n">
        <v>-1539.86</v>
      </c>
      <c r="H481" s="8" t="n">
        <f aca="false">E481+F481+G481</f>
        <v>4370.02</v>
      </c>
      <c r="I481" s="9" t="n">
        <f aca="false">IF($H$1182=0,0,H481/$H$1182)</f>
        <v>0.000362005629647211</v>
      </c>
      <c r="J481" s="10" t="n">
        <f aca="false">IF(C481&lt;=0,0,H481/C481)</f>
        <v>140.968387096774</v>
      </c>
    </row>
    <row r="482" customFormat="false" ht="15" hidden="false" customHeight="true" outlineLevel="0" collapsed="false">
      <c r="A482" s="11" t="n">
        <v>478</v>
      </c>
      <c r="B482" s="11" t="s">
        <v>489</v>
      </c>
      <c r="C482" s="12" t="n">
        <v>31</v>
      </c>
      <c r="D482" s="12" t="n">
        <v>20</v>
      </c>
      <c r="E482" s="13" t="n">
        <v>1979.67</v>
      </c>
      <c r="F482" s="13" t="n">
        <v>-6.58</v>
      </c>
      <c r="G482" s="13" t="n">
        <v>-119.98</v>
      </c>
      <c r="H482" s="14" t="n">
        <f aca="false">E482+F482+G482</f>
        <v>1853.11</v>
      </c>
      <c r="I482" s="15" t="n">
        <f aca="false">IF($H$1182=0,0,H482/$H$1182)</f>
        <v>0.000153508737341144</v>
      </c>
      <c r="J482" s="16" t="n">
        <f aca="false">IF(C482&lt;=0,0,H482/C482)</f>
        <v>59.7777419354839</v>
      </c>
    </row>
    <row r="483" customFormat="false" ht="15" hidden="false" customHeight="true" outlineLevel="0" collapsed="false">
      <c r="A483" s="5" t="n">
        <v>479</v>
      </c>
      <c r="B483" s="5" t="s">
        <v>490</v>
      </c>
      <c r="C483" s="6" t="n">
        <v>31</v>
      </c>
      <c r="D483" s="6" t="n">
        <v>21</v>
      </c>
      <c r="E483" s="7" t="n">
        <v>1519</v>
      </c>
      <c r="F483" s="7" t="n">
        <v>0</v>
      </c>
      <c r="G483" s="7" t="n">
        <v>0</v>
      </c>
      <c r="H483" s="8" t="n">
        <f aca="false">E483+F483+G483</f>
        <v>1519</v>
      </c>
      <c r="I483" s="9" t="n">
        <f aca="false">IF($H$1182=0,0,H483/$H$1182)</f>
        <v>0.000125831586911299</v>
      </c>
      <c r="J483" s="10" t="n">
        <f aca="false">IF(C483&lt;=0,0,H483/C483)</f>
        <v>49</v>
      </c>
    </row>
    <row r="484" customFormat="false" ht="15" hidden="false" customHeight="true" outlineLevel="0" collapsed="false">
      <c r="A484" s="11" t="n">
        <v>480</v>
      </c>
      <c r="B484" s="11" t="s">
        <v>491</v>
      </c>
      <c r="C484" s="12" t="n">
        <v>31</v>
      </c>
      <c r="D484" s="12" t="n">
        <v>26</v>
      </c>
      <c r="E484" s="13" t="n">
        <v>455.07</v>
      </c>
      <c r="F484" s="13" t="n">
        <v>-15.71</v>
      </c>
      <c r="G484" s="13" t="n">
        <v>-42</v>
      </c>
      <c r="H484" s="14" t="n">
        <f aca="false">E484+F484+G484</f>
        <v>397.36</v>
      </c>
      <c r="I484" s="15" t="n">
        <f aca="false">IF($H$1182=0,0,H484/$H$1182)</f>
        <v>3.29166816162434E-005</v>
      </c>
      <c r="J484" s="16" t="n">
        <f aca="false">IF(C484&lt;=0,0,H484/C484)</f>
        <v>12.818064516129</v>
      </c>
    </row>
    <row r="485" customFormat="false" ht="15" hidden="false" customHeight="true" outlineLevel="0" collapsed="false">
      <c r="A485" s="5" t="n">
        <v>481</v>
      </c>
      <c r="B485" s="5" t="s">
        <v>492</v>
      </c>
      <c r="C485" s="6" t="n">
        <v>30</v>
      </c>
      <c r="D485" s="6" t="n">
        <v>20</v>
      </c>
      <c r="E485" s="7" t="n">
        <v>19799.67</v>
      </c>
      <c r="F485" s="7" t="n">
        <v>-66.37</v>
      </c>
      <c r="G485" s="7" t="n">
        <v>-1799.97</v>
      </c>
      <c r="H485" s="8" t="n">
        <f aca="false">E485+F485+G485</f>
        <v>17933.33</v>
      </c>
      <c r="I485" s="9" t="n">
        <f aca="false">IF($H$1182=0,0,H485/$H$1182)</f>
        <v>0.0014855690404898</v>
      </c>
      <c r="J485" s="10" t="n">
        <f aca="false">IF(C485&lt;=0,0,H485/C485)</f>
        <v>597.777666666667</v>
      </c>
    </row>
    <row r="486" customFormat="false" ht="15" hidden="false" customHeight="true" outlineLevel="0" collapsed="false">
      <c r="A486" s="11" t="n">
        <v>482</v>
      </c>
      <c r="B486" s="11" t="s">
        <v>493</v>
      </c>
      <c r="C486" s="12" t="n">
        <v>30</v>
      </c>
      <c r="D486" s="12" t="n">
        <v>28</v>
      </c>
      <c r="E486" s="13" t="n">
        <v>14245.45</v>
      </c>
      <c r="F486" s="13" t="n">
        <v>-40.95</v>
      </c>
      <c r="G486" s="13" t="n">
        <v>-1559</v>
      </c>
      <c r="H486" s="14" t="n">
        <f aca="false">E486+F486+G486</f>
        <v>12645.5</v>
      </c>
      <c r="I486" s="15" t="n">
        <f aca="false">IF($H$1182=0,0,H486/$H$1182)</f>
        <v>0.00104753346430996</v>
      </c>
      <c r="J486" s="16" t="n">
        <f aca="false">IF(C486&lt;=0,0,H486/C486)</f>
        <v>421.516666666667</v>
      </c>
    </row>
    <row r="487" customFormat="false" ht="15" hidden="false" customHeight="true" outlineLevel="0" collapsed="false">
      <c r="A487" s="5" t="n">
        <v>483</v>
      </c>
      <c r="B487" s="5" t="s">
        <v>494</v>
      </c>
      <c r="C487" s="6" t="n">
        <v>30</v>
      </c>
      <c r="D487" s="6" t="n">
        <v>25</v>
      </c>
      <c r="E487" s="7" t="n">
        <v>13199.67</v>
      </c>
      <c r="F487" s="7" t="n">
        <v>-59.99</v>
      </c>
      <c r="G487" s="7" t="n">
        <v>-1179.98</v>
      </c>
      <c r="H487" s="8" t="n">
        <f aca="false">E487+F487+G487</f>
        <v>11959.7</v>
      </c>
      <c r="I487" s="9" t="n">
        <f aca="false">IF($H$1182=0,0,H487/$H$1182)</f>
        <v>0.000990722863714984</v>
      </c>
      <c r="J487" s="10" t="n">
        <f aca="false">IF(C487&lt;=0,0,H487/C487)</f>
        <v>398.656666666667</v>
      </c>
    </row>
    <row r="488" customFormat="false" ht="15" hidden="false" customHeight="true" outlineLevel="0" collapsed="false">
      <c r="A488" s="11" t="n">
        <v>484</v>
      </c>
      <c r="B488" s="11" t="s">
        <v>495</v>
      </c>
      <c r="C488" s="12" t="n">
        <v>30</v>
      </c>
      <c r="D488" s="12" t="n">
        <v>16</v>
      </c>
      <c r="E488" s="13" t="n">
        <v>8969.61</v>
      </c>
      <c r="F488" s="13" t="n">
        <v>-22.99</v>
      </c>
      <c r="G488" s="13" t="n">
        <v>-2069.91</v>
      </c>
      <c r="H488" s="14" t="n">
        <f aca="false">E488+F488+G488</f>
        <v>6876.71</v>
      </c>
      <c r="I488" s="15" t="n">
        <f aca="false">IF($H$1182=0,0,H488/$H$1182)</f>
        <v>0.000569655913119683</v>
      </c>
      <c r="J488" s="16" t="n">
        <f aca="false">IF(C488&lt;=0,0,H488/C488)</f>
        <v>229.223666666667</v>
      </c>
    </row>
    <row r="489" customFormat="false" ht="15" hidden="false" customHeight="true" outlineLevel="0" collapsed="false">
      <c r="A489" s="5" t="n">
        <v>485</v>
      </c>
      <c r="B489" s="5" t="s">
        <v>496</v>
      </c>
      <c r="C489" s="6" t="n">
        <v>30</v>
      </c>
      <c r="D489" s="6" t="n">
        <v>15</v>
      </c>
      <c r="E489" s="7" t="n">
        <v>4029.69</v>
      </c>
      <c r="F489" s="7" t="n">
        <v>-12.99</v>
      </c>
      <c r="G489" s="7" t="n">
        <v>-129.99</v>
      </c>
      <c r="H489" s="8" t="n">
        <f aca="false">E489+F489+G489</f>
        <v>3886.71</v>
      </c>
      <c r="I489" s="9" t="n">
        <f aca="false">IF($H$1182=0,0,H489/$H$1182)</f>
        <v>0.000321968984308107</v>
      </c>
      <c r="J489" s="10" t="n">
        <f aca="false">IF(C489&lt;=0,0,H489/C489)</f>
        <v>129.557</v>
      </c>
    </row>
    <row r="490" customFormat="false" ht="15" hidden="false" customHeight="true" outlineLevel="0" collapsed="false">
      <c r="A490" s="11" t="n">
        <v>486</v>
      </c>
      <c r="B490" s="11" t="s">
        <v>497</v>
      </c>
      <c r="C490" s="12" t="n">
        <v>30</v>
      </c>
      <c r="D490" s="12" t="n">
        <v>26</v>
      </c>
      <c r="E490" s="13" t="n">
        <v>3099.69</v>
      </c>
      <c r="F490" s="13" t="n">
        <v>-29.97</v>
      </c>
      <c r="G490" s="13" t="n">
        <v>-99.99</v>
      </c>
      <c r="H490" s="14" t="n">
        <f aca="false">E490+F490+G490</f>
        <v>2969.73</v>
      </c>
      <c r="I490" s="15" t="n">
        <f aca="false">IF($H$1182=0,0,H490/$H$1182)</f>
        <v>0.000246007793678796</v>
      </c>
      <c r="J490" s="16" t="n">
        <f aca="false">IF(C490&lt;=0,0,H490/C490)</f>
        <v>98.991</v>
      </c>
    </row>
    <row r="491" customFormat="false" ht="15" hidden="false" customHeight="true" outlineLevel="0" collapsed="false">
      <c r="A491" s="5" t="n">
        <v>487</v>
      </c>
      <c r="B491" s="5" t="s">
        <v>498</v>
      </c>
      <c r="C491" s="6" t="n">
        <v>30</v>
      </c>
      <c r="D491" s="6" t="n">
        <v>25</v>
      </c>
      <c r="E491" s="7" t="n">
        <v>3023.67</v>
      </c>
      <c r="F491" s="7" t="n">
        <v>-26.97</v>
      </c>
      <c r="G491" s="7" t="n">
        <v>-272.67</v>
      </c>
      <c r="H491" s="8" t="n">
        <f aca="false">E491+F491+G491</f>
        <v>2724.03</v>
      </c>
      <c r="I491" s="9" t="n">
        <f aca="false">IF($H$1182=0,0,H491/$H$1182)</f>
        <v>0.000225654389528628</v>
      </c>
      <c r="J491" s="10" t="n">
        <f aca="false">IF(C491&lt;=0,0,H491/C491)</f>
        <v>90.801</v>
      </c>
    </row>
    <row r="492" customFormat="false" ht="15" hidden="false" customHeight="true" outlineLevel="0" collapsed="false">
      <c r="A492" s="11" t="n">
        <v>488</v>
      </c>
      <c r="B492" s="11" t="s">
        <v>499</v>
      </c>
      <c r="C492" s="12" t="n">
        <v>30</v>
      </c>
      <c r="D492" s="12" t="n">
        <v>22</v>
      </c>
      <c r="E492" s="13" t="n">
        <v>1974.7</v>
      </c>
      <c r="F492" s="13" t="n">
        <v>-37.22</v>
      </c>
      <c r="G492" s="13" t="n">
        <v>-75.99</v>
      </c>
      <c r="H492" s="14" t="n">
        <f aca="false">E492+F492+G492</f>
        <v>1861.49</v>
      </c>
      <c r="I492" s="15" t="n">
        <f aca="false">IF($H$1182=0,0,H492/$H$1182)</f>
        <v>0.000154202923449318</v>
      </c>
      <c r="J492" s="16" t="n">
        <f aca="false">IF(C492&lt;=0,0,H492/C492)</f>
        <v>62.0496666666667</v>
      </c>
    </row>
    <row r="493" customFormat="false" ht="15" hidden="false" customHeight="true" outlineLevel="0" collapsed="false">
      <c r="A493" s="5" t="n">
        <v>489</v>
      </c>
      <c r="B493" s="5" t="s">
        <v>500</v>
      </c>
      <c r="C493" s="6" t="n">
        <v>30</v>
      </c>
      <c r="D493" s="6" t="n">
        <v>6</v>
      </c>
      <c r="E493" s="7" t="n">
        <v>779.19</v>
      </c>
      <c r="F493" s="7" t="n">
        <v>-5.44</v>
      </c>
      <c r="G493" s="7" t="n">
        <v>-24.99</v>
      </c>
      <c r="H493" s="8" t="n">
        <f aca="false">E493+F493+G493</f>
        <v>748.76</v>
      </c>
      <c r="I493" s="9" t="n">
        <f aca="false">IF($H$1182=0,0,H493/$H$1182)</f>
        <v>6.20261086344333E-005</v>
      </c>
      <c r="J493" s="10" t="n">
        <f aca="false">IF(C493&lt;=0,0,H493/C493)</f>
        <v>24.9586666666667</v>
      </c>
    </row>
    <row r="494" customFormat="false" ht="15" hidden="false" customHeight="true" outlineLevel="0" collapsed="false">
      <c r="A494" s="11" t="n">
        <v>490</v>
      </c>
      <c r="B494" s="11" t="s">
        <v>501</v>
      </c>
      <c r="C494" s="12" t="n">
        <v>30</v>
      </c>
      <c r="D494" s="12" t="n">
        <v>25</v>
      </c>
      <c r="E494" s="13" t="n">
        <v>968.5</v>
      </c>
      <c r="F494" s="13" t="n">
        <v>-4.16</v>
      </c>
      <c r="G494" s="13" t="n">
        <v>-286.98</v>
      </c>
      <c r="H494" s="14" t="n">
        <f aca="false">E494+F494+G494</f>
        <v>677.36</v>
      </c>
      <c r="I494" s="15" t="n">
        <f aca="false">IF($H$1182=0,0,H494/$H$1182)</f>
        <v>5.61114441805381E-005</v>
      </c>
      <c r="J494" s="16" t="n">
        <f aca="false">IF(C494&lt;=0,0,H494/C494)</f>
        <v>22.5786666666667</v>
      </c>
    </row>
    <row r="495" customFormat="false" ht="15" hidden="false" customHeight="true" outlineLevel="0" collapsed="false">
      <c r="A495" s="5" t="n">
        <v>491</v>
      </c>
      <c r="B495" s="5" t="s">
        <v>502</v>
      </c>
      <c r="C495" s="6" t="n">
        <v>30</v>
      </c>
      <c r="D495" s="6" t="n">
        <v>17</v>
      </c>
      <c r="E495" s="7" t="n">
        <v>675.83</v>
      </c>
      <c r="F495" s="7" t="n">
        <v>-6.12</v>
      </c>
      <c r="G495" s="7" t="n">
        <v>-25</v>
      </c>
      <c r="H495" s="8" t="n">
        <f aca="false">E495+F495+G495</f>
        <v>644.71</v>
      </c>
      <c r="I495" s="9" t="n">
        <f aca="false">IF($H$1182=0,0,H495/$H$1182)</f>
        <v>5.34067691886659E-005</v>
      </c>
      <c r="J495" s="10" t="n">
        <f aca="false">IF(C495&lt;=0,0,H495/C495)</f>
        <v>21.4903333333333</v>
      </c>
    </row>
    <row r="496" customFormat="false" ht="15" hidden="false" customHeight="true" outlineLevel="0" collapsed="false">
      <c r="A496" s="11" t="n">
        <v>492</v>
      </c>
      <c r="B496" s="11" t="s">
        <v>503</v>
      </c>
      <c r="C496" s="12" t="n">
        <v>29</v>
      </c>
      <c r="D496" s="12" t="n">
        <v>21</v>
      </c>
      <c r="E496" s="13" t="n">
        <v>11439</v>
      </c>
      <c r="F496" s="13" t="n">
        <v>-36.9</v>
      </c>
      <c r="G496" s="13" t="n">
        <v>-738</v>
      </c>
      <c r="H496" s="14" t="n">
        <f aca="false">E496+F496+G496</f>
        <v>10664.1</v>
      </c>
      <c r="I496" s="15" t="n">
        <f aca="false">IF($H$1182=0,0,H496/$H$1182)</f>
        <v>0.000883397383792483</v>
      </c>
      <c r="J496" s="16" t="n">
        <f aca="false">IF(C496&lt;=0,0,H496/C496)</f>
        <v>367.727586206897</v>
      </c>
    </row>
    <row r="497" customFormat="false" ht="15" hidden="false" customHeight="true" outlineLevel="0" collapsed="false">
      <c r="A497" s="5" t="n">
        <v>493</v>
      </c>
      <c r="B497" s="5" t="s">
        <v>504</v>
      </c>
      <c r="C497" s="6" t="n">
        <v>29</v>
      </c>
      <c r="D497" s="6" t="n">
        <v>8</v>
      </c>
      <c r="E497" s="7" t="n">
        <v>12579.99</v>
      </c>
      <c r="F497" s="7" t="n">
        <v>-481.91</v>
      </c>
      <c r="G497" s="7" t="n">
        <v>-3883.08</v>
      </c>
      <c r="H497" s="8" t="n">
        <f aca="false">E497+F497+G497</f>
        <v>8215</v>
      </c>
      <c r="I497" s="9" t="n">
        <f aca="false">IF($H$1182=0,0,H497/$H$1182)</f>
        <v>0.000680517765948861</v>
      </c>
      <c r="J497" s="10" t="n">
        <f aca="false">IF(C497&lt;=0,0,H497/C497)</f>
        <v>283.275862068966</v>
      </c>
    </row>
    <row r="498" customFormat="false" ht="15" hidden="false" customHeight="true" outlineLevel="0" collapsed="false">
      <c r="A498" s="11" t="n">
        <v>494</v>
      </c>
      <c r="B498" s="11" t="s">
        <v>505</v>
      </c>
      <c r="C498" s="12" t="n">
        <v>29</v>
      </c>
      <c r="D498" s="12" t="n">
        <v>17</v>
      </c>
      <c r="E498" s="13" t="n">
        <v>8639.8</v>
      </c>
      <c r="F498" s="13" t="n">
        <v>0</v>
      </c>
      <c r="G498" s="13" t="n">
        <v>-739.99</v>
      </c>
      <c r="H498" s="14" t="n">
        <f aca="false">E498+F498+G498</f>
        <v>7899.81</v>
      </c>
      <c r="I498" s="15" t="n">
        <f aca="false">IF($H$1182=0,0,H498/$H$1182)</f>
        <v>0.000654407918760861</v>
      </c>
      <c r="J498" s="16" t="n">
        <f aca="false">IF(C498&lt;=0,0,H498/C498)</f>
        <v>272.40724137931</v>
      </c>
    </row>
    <row r="499" customFormat="false" ht="15" hidden="false" customHeight="true" outlineLevel="0" collapsed="false">
      <c r="A499" s="5" t="n">
        <v>495</v>
      </c>
      <c r="B499" s="5" t="s">
        <v>506</v>
      </c>
      <c r="C499" s="6" t="n">
        <v>29</v>
      </c>
      <c r="D499" s="6" t="n">
        <v>7</v>
      </c>
      <c r="E499" s="7" t="n">
        <v>1884.96</v>
      </c>
      <c r="F499" s="7" t="n">
        <v>-3.99</v>
      </c>
      <c r="G499" s="7" t="n">
        <v>0</v>
      </c>
      <c r="H499" s="8" t="n">
        <f aca="false">E499+F499+G499</f>
        <v>1880.97</v>
      </c>
      <c r="I499" s="9" t="n">
        <f aca="false">IF($H$1182=0,0,H499/$H$1182)</f>
        <v>0.000155816616216291</v>
      </c>
      <c r="J499" s="10" t="n">
        <f aca="false">IF(C499&lt;=0,0,H499/C499)</f>
        <v>64.8610344827586</v>
      </c>
    </row>
    <row r="500" customFormat="false" ht="15" hidden="false" customHeight="true" outlineLevel="0" collapsed="false">
      <c r="A500" s="11" t="n">
        <v>496</v>
      </c>
      <c r="B500" s="11" t="s">
        <v>507</v>
      </c>
      <c r="C500" s="12" t="n">
        <v>29</v>
      </c>
      <c r="D500" s="12" t="n">
        <v>9</v>
      </c>
      <c r="E500" s="13" t="n">
        <v>1553.79</v>
      </c>
      <c r="F500" s="13" t="n">
        <v>0</v>
      </c>
      <c r="G500" s="13" t="n">
        <v>0</v>
      </c>
      <c r="H500" s="14" t="n">
        <f aca="false">E500+F500+G500</f>
        <v>1553.79</v>
      </c>
      <c r="I500" s="15" t="n">
        <f aca="false">IF($H$1182=0,0,H500/$H$1182)</f>
        <v>0.000128713536159912</v>
      </c>
      <c r="J500" s="16" t="n">
        <f aca="false">IF(C500&lt;=0,0,H500/C500)</f>
        <v>53.5789655172414</v>
      </c>
    </row>
    <row r="501" customFormat="false" ht="15" hidden="false" customHeight="true" outlineLevel="0" collapsed="false">
      <c r="A501" s="5" t="n">
        <v>497</v>
      </c>
      <c r="B501" s="5" t="s">
        <v>508</v>
      </c>
      <c r="C501" s="6" t="n">
        <v>28</v>
      </c>
      <c r="D501" s="6" t="n">
        <v>24</v>
      </c>
      <c r="E501" s="7" t="n">
        <v>32341</v>
      </c>
      <c r="F501" s="7" t="n">
        <v>-183.32</v>
      </c>
      <c r="G501" s="7" t="n">
        <v>-3698</v>
      </c>
      <c r="H501" s="8" t="n">
        <f aca="false">E501+F501+G501</f>
        <v>28459.68</v>
      </c>
      <c r="I501" s="9" t="n">
        <f aca="false">IF($H$1182=0,0,H501/$H$1182)</f>
        <v>0.00235755542948503</v>
      </c>
      <c r="J501" s="10" t="n">
        <f aca="false">IF(C501&lt;=0,0,H501/C501)</f>
        <v>1016.41714285714</v>
      </c>
    </row>
    <row r="502" customFormat="false" ht="15" hidden="false" customHeight="true" outlineLevel="0" collapsed="false">
      <c r="A502" s="11" t="n">
        <v>498</v>
      </c>
      <c r="B502" s="11" t="s">
        <v>509</v>
      </c>
      <c r="C502" s="12" t="n">
        <v>28</v>
      </c>
      <c r="D502" s="12" t="n">
        <v>15</v>
      </c>
      <c r="E502" s="13" t="n">
        <v>11599.71</v>
      </c>
      <c r="F502" s="13" t="n">
        <v>-240.29</v>
      </c>
      <c r="G502" s="13" t="n">
        <v>-399.99</v>
      </c>
      <c r="H502" s="14" t="n">
        <f aca="false">E502+F502+G502</f>
        <v>10959.43</v>
      </c>
      <c r="I502" s="15" t="n">
        <f aca="false">IF($H$1182=0,0,H502/$H$1182)</f>
        <v>0.000907862059607173</v>
      </c>
      <c r="J502" s="16" t="n">
        <f aca="false">IF(C502&lt;=0,0,H502/C502)</f>
        <v>391.408214285714</v>
      </c>
    </row>
    <row r="503" customFormat="false" ht="15" hidden="false" customHeight="true" outlineLevel="0" collapsed="false">
      <c r="A503" s="5" t="n">
        <v>499</v>
      </c>
      <c r="B503" s="5" t="s">
        <v>510</v>
      </c>
      <c r="C503" s="6" t="n">
        <v>28</v>
      </c>
      <c r="D503" s="6" t="n">
        <v>17</v>
      </c>
      <c r="E503" s="7" t="n">
        <v>10332</v>
      </c>
      <c r="F503" s="7" t="n">
        <v>0</v>
      </c>
      <c r="G503" s="7" t="n">
        <v>0</v>
      </c>
      <c r="H503" s="8" t="n">
        <f aca="false">E503+F503+G503</f>
        <v>10332</v>
      </c>
      <c r="I503" s="9" t="n">
        <f aca="false">IF($H$1182=0,0,H503/$H$1182)</f>
        <v>0.000855886738622475</v>
      </c>
      <c r="J503" s="10" t="n">
        <f aca="false">IF(C503&lt;=0,0,H503/C503)</f>
        <v>369</v>
      </c>
    </row>
    <row r="504" customFormat="false" ht="15" hidden="false" customHeight="true" outlineLevel="0" collapsed="false">
      <c r="A504" s="11" t="n">
        <v>500</v>
      </c>
      <c r="B504" s="11" t="s">
        <v>511</v>
      </c>
      <c r="C504" s="12" t="n">
        <v>28</v>
      </c>
      <c r="D504" s="12" t="n">
        <v>28</v>
      </c>
      <c r="E504" s="13" t="n">
        <v>10830.18</v>
      </c>
      <c r="F504" s="13" t="n">
        <v>-72.07</v>
      </c>
      <c r="G504" s="13" t="n">
        <v>-899.98</v>
      </c>
      <c r="H504" s="14" t="n">
        <f aca="false">E504+F504+G504</f>
        <v>9858.13</v>
      </c>
      <c r="I504" s="15" t="n">
        <f aca="false">IF($H$1182=0,0,H504/$H$1182)</f>
        <v>0.000816632088135538</v>
      </c>
      <c r="J504" s="16" t="n">
        <f aca="false">IF(C504&lt;=0,0,H504/C504)</f>
        <v>352.076071428572</v>
      </c>
    </row>
    <row r="505" customFormat="false" ht="15" hidden="false" customHeight="true" outlineLevel="0" collapsed="false">
      <c r="A505" s="5" t="n">
        <v>501</v>
      </c>
      <c r="B505" s="5" t="s">
        <v>512</v>
      </c>
      <c r="C505" s="6" t="n">
        <v>28</v>
      </c>
      <c r="D505" s="6" t="n">
        <v>18</v>
      </c>
      <c r="E505" s="7" t="n">
        <v>8179.92</v>
      </c>
      <c r="F505" s="7" t="n">
        <v>0</v>
      </c>
      <c r="G505" s="7" t="n">
        <v>0</v>
      </c>
      <c r="H505" s="8" t="n">
        <f aca="false">E505+F505+G505</f>
        <v>8179.92</v>
      </c>
      <c r="I505" s="9" t="n">
        <f aca="false">IF($H$1182=0,0,H505/$H$1182)</f>
        <v>0.000677611793553306</v>
      </c>
      <c r="J505" s="10" t="n">
        <f aca="false">IF(C505&lt;=0,0,H505/C505)</f>
        <v>292.14</v>
      </c>
    </row>
    <row r="506" customFormat="false" ht="15" hidden="false" customHeight="true" outlineLevel="0" collapsed="false">
      <c r="A506" s="11" t="n">
        <v>502</v>
      </c>
      <c r="B506" s="11" t="s">
        <v>513</v>
      </c>
      <c r="C506" s="12" t="n">
        <v>28</v>
      </c>
      <c r="D506" s="12" t="n">
        <v>27</v>
      </c>
      <c r="E506" s="13" t="n">
        <v>7366.74</v>
      </c>
      <c r="F506" s="13" t="n">
        <v>-23.84</v>
      </c>
      <c r="G506" s="13" t="n">
        <v>-210.9</v>
      </c>
      <c r="H506" s="14" t="n">
        <f aca="false">E506+F506+G506</f>
        <v>7132</v>
      </c>
      <c r="I506" s="15" t="n">
        <f aca="false">IF($H$1182=0,0,H506/$H$1182)</f>
        <v>0.000590803737887678</v>
      </c>
      <c r="J506" s="16" t="n">
        <f aca="false">IF(C506&lt;=0,0,H506/C506)</f>
        <v>254.714285714286</v>
      </c>
    </row>
    <row r="507" customFormat="false" ht="15" hidden="false" customHeight="true" outlineLevel="0" collapsed="false">
      <c r="A507" s="5" t="n">
        <v>503</v>
      </c>
      <c r="B507" s="5" t="s">
        <v>514</v>
      </c>
      <c r="C507" s="6" t="n">
        <v>28</v>
      </c>
      <c r="D507" s="6" t="n">
        <v>25</v>
      </c>
      <c r="E507" s="7" t="n">
        <v>4950</v>
      </c>
      <c r="F507" s="7" t="n">
        <v>-65.99</v>
      </c>
      <c r="G507" s="7" t="n">
        <v>-313.51</v>
      </c>
      <c r="H507" s="8" t="n">
        <f aca="false">E507+F507+G507</f>
        <v>4570.5</v>
      </c>
      <c r="I507" s="9" t="n">
        <f aca="false">IF($H$1182=0,0,H507/$H$1182)</f>
        <v>0.000378613079643247</v>
      </c>
      <c r="J507" s="10" t="n">
        <f aca="false">IF(C507&lt;=0,0,H507/C507)</f>
        <v>163.232142857143</v>
      </c>
    </row>
    <row r="508" customFormat="false" ht="15" hidden="false" customHeight="true" outlineLevel="0" collapsed="false">
      <c r="A508" s="11" t="n">
        <v>504</v>
      </c>
      <c r="B508" s="11" t="s">
        <v>515</v>
      </c>
      <c r="C508" s="12" t="n">
        <v>28</v>
      </c>
      <c r="D508" s="12" t="n">
        <v>20</v>
      </c>
      <c r="E508" s="13" t="n">
        <v>4289.73</v>
      </c>
      <c r="F508" s="13" t="n">
        <v>-68.97</v>
      </c>
      <c r="G508" s="13" t="n">
        <v>-149.99</v>
      </c>
      <c r="H508" s="14" t="n">
        <f aca="false">E508+F508+G508</f>
        <v>4070.77</v>
      </c>
      <c r="I508" s="15" t="n">
        <f aca="false">IF($H$1182=0,0,H508/$H$1182)</f>
        <v>0.000337216227156621</v>
      </c>
      <c r="J508" s="16" t="n">
        <f aca="false">IF(C508&lt;=0,0,H508/C508)</f>
        <v>145.384642857143</v>
      </c>
    </row>
    <row r="509" customFormat="false" ht="15" hidden="false" customHeight="true" outlineLevel="0" collapsed="false">
      <c r="A509" s="5" t="n">
        <v>505</v>
      </c>
      <c r="B509" s="5" t="s">
        <v>516</v>
      </c>
      <c r="C509" s="6" t="n">
        <v>28</v>
      </c>
      <c r="D509" s="6" t="n">
        <v>27</v>
      </c>
      <c r="E509" s="7" t="n">
        <v>2700</v>
      </c>
      <c r="F509" s="7" t="n">
        <v>-3.53</v>
      </c>
      <c r="G509" s="7" t="n">
        <v>-180</v>
      </c>
      <c r="H509" s="8" t="n">
        <f aca="false">E509+F509+G509</f>
        <v>2516.47</v>
      </c>
      <c r="I509" s="9" t="n">
        <f aca="false">IF($H$1182=0,0,H509/$H$1182)</f>
        <v>0.000208460443393467</v>
      </c>
      <c r="J509" s="10" t="n">
        <f aca="false">IF(C509&lt;=0,0,H509/C509)</f>
        <v>89.8739285714286</v>
      </c>
    </row>
    <row r="510" customFormat="false" ht="15" hidden="false" customHeight="true" outlineLevel="0" collapsed="false">
      <c r="A510" s="11" t="n">
        <v>506</v>
      </c>
      <c r="B510" s="11" t="s">
        <v>517</v>
      </c>
      <c r="C510" s="12" t="n">
        <v>28</v>
      </c>
      <c r="D510" s="12" t="n">
        <v>12</v>
      </c>
      <c r="E510" s="13" t="n">
        <v>2039.72</v>
      </c>
      <c r="F510" s="13" t="n">
        <v>-6.44</v>
      </c>
      <c r="G510" s="13" t="n">
        <v>-64.49</v>
      </c>
      <c r="H510" s="14" t="n">
        <f aca="false">E510+F510+G510</f>
        <v>1968.79</v>
      </c>
      <c r="I510" s="15" t="n">
        <f aca="false">IF($H$1182=0,0,H510/$H$1182)</f>
        <v>0.000163091487817706</v>
      </c>
      <c r="J510" s="16" t="n">
        <f aca="false">IF(C510&lt;=0,0,H510/C510)</f>
        <v>70.3139285714286</v>
      </c>
    </row>
    <row r="511" customFormat="false" ht="15" hidden="false" customHeight="true" outlineLevel="0" collapsed="false">
      <c r="A511" s="5" t="n">
        <v>507</v>
      </c>
      <c r="B511" s="5" t="s">
        <v>518</v>
      </c>
      <c r="C511" s="6" t="n">
        <v>28</v>
      </c>
      <c r="D511" s="6" t="n">
        <v>9</v>
      </c>
      <c r="E511" s="7" t="n">
        <v>946.17</v>
      </c>
      <c r="F511" s="7" t="n">
        <v>-2.84</v>
      </c>
      <c r="G511" s="7" t="n">
        <v>-148.45</v>
      </c>
      <c r="H511" s="8" t="n">
        <f aca="false">E511+F511+G511</f>
        <v>794.88</v>
      </c>
      <c r="I511" s="9" t="n">
        <f aca="false">IF($H$1182=0,0,H511/$H$1182)</f>
        <v>6.58466173825235E-005</v>
      </c>
      <c r="J511" s="10" t="n">
        <f aca="false">IF(C511&lt;=0,0,H511/C511)</f>
        <v>28.3885714285714</v>
      </c>
    </row>
    <row r="512" customFormat="false" ht="15" hidden="false" customHeight="true" outlineLevel="0" collapsed="false">
      <c r="A512" s="11" t="n">
        <v>508</v>
      </c>
      <c r="B512" s="11" t="s">
        <v>519</v>
      </c>
      <c r="C512" s="12" t="n">
        <v>27</v>
      </c>
      <c r="D512" s="12" t="n">
        <v>22</v>
      </c>
      <c r="E512" s="13" t="n">
        <v>4464.42</v>
      </c>
      <c r="F512" s="13" t="n">
        <v>-57.72</v>
      </c>
      <c r="G512" s="13" t="n">
        <v>-184</v>
      </c>
      <c r="H512" s="14" t="n">
        <f aca="false">E512+F512+G512</f>
        <v>4222.7</v>
      </c>
      <c r="I512" s="15" t="n">
        <f aca="false">IF($H$1182=0,0,H512/$H$1182)</f>
        <v>0.000349801871000883</v>
      </c>
      <c r="J512" s="16" t="n">
        <f aca="false">IF(C512&lt;=0,0,H512/C512)</f>
        <v>156.396296296296</v>
      </c>
    </row>
    <row r="513" customFormat="false" ht="15" hidden="false" customHeight="true" outlineLevel="0" collapsed="false">
      <c r="A513" s="5" t="n">
        <v>509</v>
      </c>
      <c r="B513" s="5" t="s">
        <v>520</v>
      </c>
      <c r="C513" s="6" t="n">
        <v>27</v>
      </c>
      <c r="D513" s="6" t="n">
        <v>19</v>
      </c>
      <c r="E513" s="7" t="n">
        <v>2699.73</v>
      </c>
      <c r="F513" s="7" t="n">
        <v>-9.99</v>
      </c>
      <c r="G513" s="7" t="n">
        <v>0</v>
      </c>
      <c r="H513" s="8" t="n">
        <f aca="false">E513+F513+G513</f>
        <v>2689.74</v>
      </c>
      <c r="I513" s="9" t="n">
        <f aca="false">IF($H$1182=0,0,H513/$H$1182)</f>
        <v>0.000222813859498879</v>
      </c>
      <c r="J513" s="10" t="n">
        <f aca="false">IF(C513&lt;=0,0,H513/C513)</f>
        <v>99.62</v>
      </c>
    </row>
    <row r="514" customFormat="false" ht="15" hidden="false" customHeight="true" outlineLevel="0" collapsed="false">
      <c r="A514" s="11" t="n">
        <v>510</v>
      </c>
      <c r="B514" s="11" t="s">
        <v>521</v>
      </c>
      <c r="C514" s="12" t="n">
        <v>27</v>
      </c>
      <c r="D514" s="12" t="n">
        <v>24</v>
      </c>
      <c r="E514" s="13" t="n">
        <v>2399.7</v>
      </c>
      <c r="F514" s="13" t="n">
        <v>-51.94</v>
      </c>
      <c r="G514" s="13" t="n">
        <v>-235.97</v>
      </c>
      <c r="H514" s="14" t="n">
        <f aca="false">E514+F514+G514</f>
        <v>2111.79</v>
      </c>
      <c r="I514" s="15" t="n">
        <f aca="false">IF($H$1182=0,0,H514/$H$1182)</f>
        <v>0.000174937384413043</v>
      </c>
      <c r="J514" s="16" t="n">
        <f aca="false">IF(C514&lt;=0,0,H514/C514)</f>
        <v>78.2144444444444</v>
      </c>
    </row>
    <row r="515" customFormat="false" ht="15" hidden="false" customHeight="true" outlineLevel="0" collapsed="false">
      <c r="A515" s="5" t="n">
        <v>511</v>
      </c>
      <c r="B515" s="5" t="s">
        <v>522</v>
      </c>
      <c r="C515" s="6" t="n">
        <v>27</v>
      </c>
      <c r="D515" s="6" t="n">
        <v>19</v>
      </c>
      <c r="E515" s="7" t="n">
        <v>1799.7</v>
      </c>
      <c r="F515" s="7" t="n">
        <v>-42.06</v>
      </c>
      <c r="G515" s="7" t="n">
        <v>-179.84</v>
      </c>
      <c r="H515" s="8" t="n">
        <f aca="false">E515+F515+G515</f>
        <v>1577.8</v>
      </c>
      <c r="I515" s="9" t="n">
        <f aca="false">IF($H$1182=0,0,H515/$H$1182)</f>
        <v>0.000130702487049801</v>
      </c>
      <c r="J515" s="10" t="n">
        <f aca="false">IF(C515&lt;=0,0,H515/C515)</f>
        <v>58.437037037037</v>
      </c>
    </row>
    <row r="516" customFormat="false" ht="15" hidden="false" customHeight="true" outlineLevel="0" collapsed="false">
      <c r="A516" s="11" t="n">
        <v>512</v>
      </c>
      <c r="B516" s="11" t="s">
        <v>523</v>
      </c>
      <c r="C516" s="12" t="n">
        <v>27</v>
      </c>
      <c r="D516" s="12" t="n">
        <v>4</v>
      </c>
      <c r="E516" s="13" t="n">
        <v>1019.73</v>
      </c>
      <c r="F516" s="13" t="n">
        <v>0</v>
      </c>
      <c r="G516" s="13" t="n">
        <v>0</v>
      </c>
      <c r="H516" s="14" t="n">
        <f aca="false">E516+F516+G516</f>
        <v>1019.73</v>
      </c>
      <c r="I516" s="15" t="n">
        <f aca="false">IF($H$1182=0,0,H516/$H$1182)</f>
        <v>8.44728401060295E-005</v>
      </c>
      <c r="J516" s="16" t="n">
        <f aca="false">IF(C516&lt;=0,0,H516/C516)</f>
        <v>37.7677777777778</v>
      </c>
    </row>
    <row r="517" customFormat="false" ht="15" hidden="false" customHeight="true" outlineLevel="0" collapsed="false">
      <c r="A517" s="5" t="n">
        <v>513</v>
      </c>
      <c r="B517" s="5" t="s">
        <v>524</v>
      </c>
      <c r="C517" s="6" t="n">
        <v>27</v>
      </c>
      <c r="D517" s="6" t="n">
        <v>13</v>
      </c>
      <c r="E517" s="7" t="n">
        <v>779.7</v>
      </c>
      <c r="F517" s="7" t="n">
        <v>-6.35</v>
      </c>
      <c r="G517" s="7" t="n">
        <v>-77.97</v>
      </c>
      <c r="H517" s="8" t="n">
        <f aca="false">E517+F517+G517</f>
        <v>695.38</v>
      </c>
      <c r="I517" s="9" t="n">
        <f aca="false">IF($H$1182=0,0,H517/$H$1182)</f>
        <v>5.76041928284259E-005</v>
      </c>
      <c r="J517" s="10" t="n">
        <f aca="false">IF(C517&lt;=0,0,H517/C517)</f>
        <v>25.7548148148148</v>
      </c>
    </row>
    <row r="518" customFormat="false" ht="15" hidden="false" customHeight="true" outlineLevel="0" collapsed="false">
      <c r="A518" s="11" t="n">
        <v>514</v>
      </c>
      <c r="B518" s="11" t="s">
        <v>525</v>
      </c>
      <c r="C518" s="12" t="n">
        <v>27</v>
      </c>
      <c r="D518" s="12" t="n">
        <v>22</v>
      </c>
      <c r="E518" s="13" t="n">
        <v>774.69</v>
      </c>
      <c r="F518" s="13" t="n">
        <v>-2.53</v>
      </c>
      <c r="G518" s="13" t="n">
        <v>-99.92</v>
      </c>
      <c r="H518" s="14" t="n">
        <f aca="false">E518+F518+G518</f>
        <v>672.24</v>
      </c>
      <c r="I518" s="15" t="n">
        <f aca="false">IF($H$1182=0,0,H518/$H$1182)</f>
        <v>5.56873113793625E-005</v>
      </c>
      <c r="J518" s="16" t="n">
        <f aca="false">IF(C518&lt;=0,0,H518/C518)</f>
        <v>24.8977777777778</v>
      </c>
    </row>
    <row r="519" customFormat="false" ht="15" hidden="false" customHeight="true" outlineLevel="0" collapsed="false">
      <c r="A519" s="5" t="n">
        <v>515</v>
      </c>
      <c r="B519" s="5" t="s">
        <v>526</v>
      </c>
      <c r="C519" s="6" t="n">
        <v>26</v>
      </c>
      <c r="D519" s="6" t="n">
        <v>20</v>
      </c>
      <c r="E519" s="7" t="n">
        <v>22404.4</v>
      </c>
      <c r="F519" s="7" t="n">
        <v>0</v>
      </c>
      <c r="G519" s="7" t="n">
        <v>-1580</v>
      </c>
      <c r="H519" s="8" t="n">
        <f aca="false">E519+F519+G519</f>
        <v>20824.4</v>
      </c>
      <c r="I519" s="9" t="n">
        <f aca="false">IF($H$1182=0,0,H519/$H$1182)</f>
        <v>0.00172506076265678</v>
      </c>
      <c r="J519" s="10" t="n">
        <f aca="false">IF(C519&lt;=0,0,H519/C519)</f>
        <v>800.938461538462</v>
      </c>
    </row>
    <row r="520" customFormat="false" ht="15" hidden="false" customHeight="true" outlineLevel="0" collapsed="false">
      <c r="A520" s="11" t="n">
        <v>516</v>
      </c>
      <c r="B520" s="11" t="s">
        <v>527</v>
      </c>
      <c r="C520" s="12" t="n">
        <v>26</v>
      </c>
      <c r="D520" s="12" t="n">
        <v>19</v>
      </c>
      <c r="E520" s="13" t="n">
        <v>12720</v>
      </c>
      <c r="F520" s="13" t="n">
        <v>-100</v>
      </c>
      <c r="G520" s="13" t="n">
        <v>-1200</v>
      </c>
      <c r="H520" s="14" t="n">
        <f aca="false">E520+F520+G520</f>
        <v>11420</v>
      </c>
      <c r="I520" s="15" t="n">
        <f aca="false">IF($H$1182=0,0,H520/$H$1182)</f>
        <v>0.000946014958872306</v>
      </c>
      <c r="J520" s="16" t="n">
        <f aca="false">IF(C520&lt;=0,0,H520/C520)</f>
        <v>439.230769230769</v>
      </c>
    </row>
    <row r="521" customFormat="false" ht="15" hidden="false" customHeight="true" outlineLevel="0" collapsed="false">
      <c r="A521" s="5" t="n">
        <v>517</v>
      </c>
      <c r="B521" s="5" t="s">
        <v>528</v>
      </c>
      <c r="C521" s="6" t="n">
        <v>26</v>
      </c>
      <c r="D521" s="6" t="n">
        <v>28</v>
      </c>
      <c r="E521" s="7" t="n">
        <v>13093.19</v>
      </c>
      <c r="F521" s="7" t="n">
        <v>-138.21</v>
      </c>
      <c r="G521" s="7" t="n">
        <v>-2106.95</v>
      </c>
      <c r="H521" s="8" t="n">
        <f aca="false">E521+F521+G521</f>
        <v>10848.03</v>
      </c>
      <c r="I521" s="9" t="n">
        <f aca="false">IF($H$1182=0,0,H521/$H$1182)</f>
        <v>0.000898633857644093</v>
      </c>
      <c r="J521" s="10" t="n">
        <f aca="false">IF(C521&lt;=0,0,H521/C521)</f>
        <v>417.231923076923</v>
      </c>
    </row>
    <row r="522" customFormat="false" ht="15" hidden="false" customHeight="true" outlineLevel="0" collapsed="false">
      <c r="A522" s="11" t="n">
        <v>518</v>
      </c>
      <c r="B522" s="11" t="s">
        <v>529</v>
      </c>
      <c r="C522" s="12" t="n">
        <v>26</v>
      </c>
      <c r="D522" s="12" t="n">
        <v>21</v>
      </c>
      <c r="E522" s="13" t="n">
        <v>4659.68</v>
      </c>
      <c r="F522" s="13" t="n">
        <v>-45.97</v>
      </c>
      <c r="G522" s="13" t="n">
        <v>-439.95</v>
      </c>
      <c r="H522" s="14" t="n">
        <f aca="false">E522+F522+G522</f>
        <v>4173.76</v>
      </c>
      <c r="I522" s="15" t="n">
        <f aca="false">IF($H$1182=0,0,H522/$H$1182)</f>
        <v>0.000345747757858396</v>
      </c>
      <c r="J522" s="16" t="n">
        <f aca="false">IF(C522&lt;=0,0,H522/C522)</f>
        <v>160.529230769231</v>
      </c>
    </row>
    <row r="523" customFormat="false" ht="15" hidden="false" customHeight="true" outlineLevel="0" collapsed="false">
      <c r="A523" s="5" t="n">
        <v>519</v>
      </c>
      <c r="B523" s="5" t="s">
        <v>530</v>
      </c>
      <c r="C523" s="6" t="n">
        <v>26</v>
      </c>
      <c r="D523" s="6" t="n">
        <v>23</v>
      </c>
      <c r="E523" s="7" t="n">
        <v>3445.34</v>
      </c>
      <c r="F523" s="7" t="n">
        <v>-114.89</v>
      </c>
      <c r="G523" s="7" t="n">
        <v>0</v>
      </c>
      <c r="H523" s="8" t="n">
        <f aca="false">E523+F523+G523</f>
        <v>3330.45</v>
      </c>
      <c r="I523" s="9" t="n">
        <f aca="false">IF($H$1182=0,0,H523/$H$1182)</f>
        <v>0.000275889274936626</v>
      </c>
      <c r="J523" s="10" t="n">
        <f aca="false">IF(C523&lt;=0,0,H523/C523)</f>
        <v>128.094230769231</v>
      </c>
    </row>
    <row r="524" customFormat="false" ht="15" hidden="false" customHeight="true" outlineLevel="0" collapsed="false">
      <c r="A524" s="11" t="n">
        <v>520</v>
      </c>
      <c r="B524" s="11" t="s">
        <v>531</v>
      </c>
      <c r="C524" s="12" t="n">
        <v>26</v>
      </c>
      <c r="D524" s="12" t="n">
        <v>20</v>
      </c>
      <c r="E524" s="13" t="n">
        <v>3342.74</v>
      </c>
      <c r="F524" s="13" t="n">
        <v>-11.06</v>
      </c>
      <c r="G524" s="13" t="n">
        <v>-221.78</v>
      </c>
      <c r="H524" s="14" t="n">
        <f aca="false">E524+F524+G524</f>
        <v>3109.9</v>
      </c>
      <c r="I524" s="15" t="n">
        <f aca="false">IF($H$1182=0,0,H524/$H$1182)</f>
        <v>0.000257619257495358</v>
      </c>
      <c r="J524" s="16" t="n">
        <f aca="false">IF(C524&lt;=0,0,H524/C524)</f>
        <v>119.611538461538</v>
      </c>
    </row>
    <row r="525" customFormat="false" ht="15" hidden="false" customHeight="true" outlineLevel="0" collapsed="false">
      <c r="A525" s="5" t="n">
        <v>521</v>
      </c>
      <c r="B525" s="5" t="s">
        <v>532</v>
      </c>
      <c r="C525" s="6" t="n">
        <v>26</v>
      </c>
      <c r="D525" s="6" t="n">
        <v>16</v>
      </c>
      <c r="E525" s="7" t="n">
        <v>1717.23</v>
      </c>
      <c r="F525" s="7" t="n">
        <v>-23.94</v>
      </c>
      <c r="G525" s="7" t="n">
        <v>0</v>
      </c>
      <c r="H525" s="8" t="n">
        <f aca="false">E525+F525+G525</f>
        <v>1693.29</v>
      </c>
      <c r="I525" s="9" t="n">
        <f aca="false">IF($H$1182=0,0,H525/$H$1182)</f>
        <v>0.000140269498223195</v>
      </c>
      <c r="J525" s="10" t="n">
        <f aca="false">IF(C525&lt;=0,0,H525/C525)</f>
        <v>65.1265384615385</v>
      </c>
    </row>
    <row r="526" customFormat="false" ht="15" hidden="false" customHeight="true" outlineLevel="0" collapsed="false">
      <c r="A526" s="11" t="n">
        <v>522</v>
      </c>
      <c r="B526" s="11" t="s">
        <v>533</v>
      </c>
      <c r="C526" s="12" t="n">
        <v>26</v>
      </c>
      <c r="D526" s="12" t="n">
        <v>16</v>
      </c>
      <c r="E526" s="13" t="n">
        <v>773.79</v>
      </c>
      <c r="F526" s="13" t="n">
        <v>-11.17</v>
      </c>
      <c r="G526" s="13" t="n">
        <v>-54</v>
      </c>
      <c r="H526" s="14" t="n">
        <f aca="false">E526+F526+G526</f>
        <v>708.62</v>
      </c>
      <c r="I526" s="15" t="n">
        <f aca="false">IF($H$1182=0,0,H526/$H$1182)</f>
        <v>5.87009737439662E-005</v>
      </c>
      <c r="J526" s="16" t="n">
        <f aca="false">IF(C526&lt;=0,0,H526/C526)</f>
        <v>27.2546153846154</v>
      </c>
    </row>
    <row r="527" customFormat="false" ht="15" hidden="false" customHeight="true" outlineLevel="0" collapsed="false">
      <c r="A527" s="5" t="n">
        <v>523</v>
      </c>
      <c r="B527" s="5" t="s">
        <v>534</v>
      </c>
      <c r="C527" s="6" t="n">
        <v>26</v>
      </c>
      <c r="D527" s="6" t="n">
        <v>7</v>
      </c>
      <c r="E527" s="7" t="n">
        <v>1169.74</v>
      </c>
      <c r="F527" s="7" t="n">
        <v>-548.86</v>
      </c>
      <c r="G527" s="7" t="n">
        <v>0</v>
      </c>
      <c r="H527" s="8" t="n">
        <f aca="false">E527+F527+G527</f>
        <v>620.88</v>
      </c>
      <c r="I527" s="9" t="n">
        <f aca="false">IF($H$1182=0,0,H527/$H$1182)</f>
        <v>5.1432729217569E-005</v>
      </c>
      <c r="J527" s="10" t="n">
        <f aca="false">IF(C527&lt;=0,0,H527/C527)</f>
        <v>23.88</v>
      </c>
    </row>
    <row r="528" customFormat="false" ht="15" hidden="false" customHeight="true" outlineLevel="0" collapsed="false">
      <c r="A528" s="11" t="n">
        <v>524</v>
      </c>
      <c r="B528" s="11" t="s">
        <v>535</v>
      </c>
      <c r="C528" s="12" t="n">
        <v>25</v>
      </c>
      <c r="D528" s="12" t="n">
        <v>18</v>
      </c>
      <c r="E528" s="13" t="n">
        <v>20071.76</v>
      </c>
      <c r="F528" s="13" t="n">
        <v>0</v>
      </c>
      <c r="G528" s="13" t="n">
        <v>-799</v>
      </c>
      <c r="H528" s="14" t="n">
        <f aca="false">E528+F528+G528</f>
        <v>19272.76</v>
      </c>
      <c r="I528" s="15" t="n">
        <f aca="false">IF($H$1182=0,0,H528/$H$1182)</f>
        <v>0.00159652532913799</v>
      </c>
      <c r="J528" s="16" t="n">
        <f aca="false">IF(C528&lt;=0,0,H528/C528)</f>
        <v>770.9104</v>
      </c>
    </row>
    <row r="529" customFormat="false" ht="15" hidden="false" customHeight="true" outlineLevel="0" collapsed="false">
      <c r="A529" s="5" t="n">
        <v>525</v>
      </c>
      <c r="B529" s="5" t="s">
        <v>536</v>
      </c>
      <c r="C529" s="6" t="n">
        <v>25</v>
      </c>
      <c r="D529" s="6" t="n">
        <v>31</v>
      </c>
      <c r="E529" s="7" t="n">
        <v>20893.44</v>
      </c>
      <c r="F529" s="7" t="n">
        <v>-145.1</v>
      </c>
      <c r="G529" s="7" t="n">
        <v>-4674.44</v>
      </c>
      <c r="H529" s="8" t="n">
        <f aca="false">E529+F529+G529</f>
        <v>16073.9</v>
      </c>
      <c r="I529" s="9" t="n">
        <f aca="false">IF($H$1182=0,0,H529/$H$1182)</f>
        <v>0.0013315367642222</v>
      </c>
      <c r="J529" s="10" t="n">
        <f aca="false">IF(C529&lt;=0,0,H529/C529)</f>
        <v>642.956</v>
      </c>
    </row>
    <row r="530" customFormat="false" ht="15" hidden="false" customHeight="true" outlineLevel="0" collapsed="false">
      <c r="A530" s="11" t="n">
        <v>526</v>
      </c>
      <c r="B530" s="11" t="s">
        <v>537</v>
      </c>
      <c r="C530" s="12" t="n">
        <v>25</v>
      </c>
      <c r="D530" s="12" t="n">
        <v>20</v>
      </c>
      <c r="E530" s="13" t="n">
        <v>12999.74</v>
      </c>
      <c r="F530" s="13" t="n">
        <v>-99.99</v>
      </c>
      <c r="G530" s="13" t="n">
        <v>-499.99</v>
      </c>
      <c r="H530" s="14" t="n">
        <f aca="false">E530+F530+G530</f>
        <v>12399.76</v>
      </c>
      <c r="I530" s="15" t="n">
        <f aca="false">IF($H$1182=0,0,H530/$H$1182)</f>
        <v>0.00102717674662228</v>
      </c>
      <c r="J530" s="16" t="n">
        <f aca="false">IF(C530&lt;=0,0,H530/C530)</f>
        <v>495.9904</v>
      </c>
    </row>
    <row r="531" customFormat="false" ht="15" hidden="false" customHeight="true" outlineLevel="0" collapsed="false">
      <c r="A531" s="5" t="n">
        <v>527</v>
      </c>
      <c r="B531" s="5" t="s">
        <v>538</v>
      </c>
      <c r="C531" s="6" t="n">
        <v>25</v>
      </c>
      <c r="D531" s="6" t="n">
        <v>19</v>
      </c>
      <c r="E531" s="7" t="n">
        <v>11019.71</v>
      </c>
      <c r="F531" s="7" t="n">
        <v>-170.95</v>
      </c>
      <c r="G531" s="7" t="n">
        <v>-1500.97</v>
      </c>
      <c r="H531" s="8" t="n">
        <f aca="false">E531+F531+G531</f>
        <v>9347.79</v>
      </c>
      <c r="I531" s="9" t="n">
        <f aca="false">IF($H$1182=0,0,H531/$H$1182)</f>
        <v>0.000774356319824602</v>
      </c>
      <c r="J531" s="10" t="n">
        <f aca="false">IF(C531&lt;=0,0,H531/C531)</f>
        <v>373.9116</v>
      </c>
    </row>
    <row r="532" customFormat="false" ht="15" hidden="false" customHeight="true" outlineLevel="0" collapsed="false">
      <c r="A532" s="11" t="n">
        <v>528</v>
      </c>
      <c r="B532" s="11" t="s">
        <v>539</v>
      </c>
      <c r="C532" s="12" t="n">
        <v>25</v>
      </c>
      <c r="D532" s="12" t="n">
        <v>23</v>
      </c>
      <c r="E532" s="13" t="n">
        <v>9032.67</v>
      </c>
      <c r="F532" s="13" t="n">
        <v>-124.95</v>
      </c>
      <c r="G532" s="13" t="n">
        <v>-2945.64</v>
      </c>
      <c r="H532" s="14" t="n">
        <f aca="false">E532+F532+G532</f>
        <v>5962.08</v>
      </c>
      <c r="I532" s="15" t="n">
        <f aca="false">IF($H$1182=0,0,H532/$H$1182)</f>
        <v>0.000493889392819037</v>
      </c>
      <c r="J532" s="16" t="n">
        <f aca="false">IF(C532&lt;=0,0,H532/C532)</f>
        <v>238.4832</v>
      </c>
    </row>
    <row r="533" customFormat="false" ht="15" hidden="false" customHeight="true" outlineLevel="0" collapsed="false">
      <c r="A533" s="5" t="n">
        <v>529</v>
      </c>
      <c r="B533" s="5" t="s">
        <v>540</v>
      </c>
      <c r="C533" s="6" t="n">
        <v>25</v>
      </c>
      <c r="D533" s="6" t="n">
        <v>18</v>
      </c>
      <c r="E533" s="7" t="n">
        <v>4871.19</v>
      </c>
      <c r="F533" s="7" t="n">
        <v>0</v>
      </c>
      <c r="G533" s="7" t="n">
        <v>-163.42</v>
      </c>
      <c r="H533" s="8" t="n">
        <f aca="false">E533+F533+G533</f>
        <v>4707.77</v>
      </c>
      <c r="I533" s="9" t="n">
        <f aca="false">IF($H$1182=0,0,H533/$H$1182)</f>
        <v>0.000389984311990392</v>
      </c>
      <c r="J533" s="10" t="n">
        <f aca="false">IF(C533&lt;=0,0,H533/C533)</f>
        <v>188.3108</v>
      </c>
    </row>
    <row r="534" customFormat="false" ht="15" hidden="false" customHeight="true" outlineLevel="0" collapsed="false">
      <c r="A534" s="11" t="n">
        <v>530</v>
      </c>
      <c r="B534" s="11" t="s">
        <v>541</v>
      </c>
      <c r="C534" s="12" t="n">
        <v>25</v>
      </c>
      <c r="D534" s="12" t="n">
        <v>16</v>
      </c>
      <c r="E534" s="13" t="n">
        <v>2664.23</v>
      </c>
      <c r="F534" s="13" t="n">
        <v>-63.25</v>
      </c>
      <c r="G534" s="13" t="n">
        <v>0</v>
      </c>
      <c r="H534" s="14" t="n">
        <f aca="false">E534+F534+G534</f>
        <v>2600.98</v>
      </c>
      <c r="I534" s="15" t="n">
        <f aca="false">IF($H$1182=0,0,H534/$H$1182)</f>
        <v>0.000215461119765997</v>
      </c>
      <c r="J534" s="16" t="n">
        <f aca="false">IF(C534&lt;=0,0,H534/C534)</f>
        <v>104.0392</v>
      </c>
    </row>
    <row r="535" customFormat="false" ht="15" hidden="false" customHeight="true" outlineLevel="0" collapsed="false">
      <c r="A535" s="5" t="n">
        <v>531</v>
      </c>
      <c r="B535" s="5" t="s">
        <v>542</v>
      </c>
      <c r="C535" s="6" t="n">
        <v>25</v>
      </c>
      <c r="D535" s="6" t="n">
        <v>6</v>
      </c>
      <c r="E535" s="7" t="n">
        <v>1495.89</v>
      </c>
      <c r="F535" s="7" t="n">
        <v>0</v>
      </c>
      <c r="G535" s="7" t="n">
        <v>0</v>
      </c>
      <c r="H535" s="8" t="n">
        <f aca="false">E535+F535+G535</f>
        <v>1495.89</v>
      </c>
      <c r="I535" s="9" t="n">
        <f aca="false">IF($H$1182=0,0,H535/$H$1182)</f>
        <v>0.000123917190615367</v>
      </c>
      <c r="J535" s="10" t="n">
        <f aca="false">IF(C535&lt;=0,0,H535/C535)</f>
        <v>59.8356</v>
      </c>
    </row>
    <row r="536" customFormat="false" ht="15" hidden="false" customHeight="true" outlineLevel="0" collapsed="false">
      <c r="A536" s="11" t="n">
        <v>532</v>
      </c>
      <c r="B536" s="11" t="s">
        <v>543</v>
      </c>
      <c r="C536" s="12" t="n">
        <v>25</v>
      </c>
      <c r="D536" s="12" t="n">
        <v>15</v>
      </c>
      <c r="E536" s="13" t="n">
        <v>1124.75</v>
      </c>
      <c r="F536" s="13" t="n">
        <v>-4.49</v>
      </c>
      <c r="G536" s="13" t="n">
        <v>0</v>
      </c>
      <c r="H536" s="14" t="n">
        <f aca="false">E536+F536+G536</f>
        <v>1120.26</v>
      </c>
      <c r="I536" s="15" t="n">
        <f aca="false">IF($H$1182=0,0,H536/$H$1182)</f>
        <v>9.28005882509886E-005</v>
      </c>
      <c r="J536" s="16" t="n">
        <f aca="false">IF(C536&lt;=0,0,H536/C536)</f>
        <v>44.8104</v>
      </c>
    </row>
    <row r="537" customFormat="false" ht="15" hidden="false" customHeight="true" outlineLevel="0" collapsed="false">
      <c r="A537" s="5" t="n">
        <v>533</v>
      </c>
      <c r="B537" s="5" t="s">
        <v>544</v>
      </c>
      <c r="C537" s="6" t="n">
        <v>25</v>
      </c>
      <c r="D537" s="6" t="n">
        <v>6</v>
      </c>
      <c r="E537" s="7" t="n">
        <v>999.75</v>
      </c>
      <c r="F537" s="7" t="n">
        <v>0</v>
      </c>
      <c r="G537" s="7" t="n">
        <v>0</v>
      </c>
      <c r="H537" s="8" t="n">
        <f aca="false">E537+F537+G537</f>
        <v>999.75</v>
      </c>
      <c r="I537" s="9" t="n">
        <f aca="false">IF($H$1182=0,0,H537/$H$1182)</f>
        <v>8.28177281201916E-005</v>
      </c>
      <c r="J537" s="10" t="n">
        <f aca="false">IF(C537&lt;=0,0,H537/C537)</f>
        <v>39.99</v>
      </c>
    </row>
    <row r="538" customFormat="false" ht="15" hidden="false" customHeight="true" outlineLevel="0" collapsed="false">
      <c r="A538" s="11" t="n">
        <v>534</v>
      </c>
      <c r="B538" s="11" t="s">
        <v>545</v>
      </c>
      <c r="C538" s="12" t="n">
        <v>25</v>
      </c>
      <c r="D538" s="12" t="n">
        <v>18</v>
      </c>
      <c r="E538" s="13" t="n">
        <v>945</v>
      </c>
      <c r="F538" s="13" t="n">
        <v>-14</v>
      </c>
      <c r="G538" s="13" t="n">
        <v>-70</v>
      </c>
      <c r="H538" s="14" t="n">
        <f aca="false">E538+F538+G538</f>
        <v>861</v>
      </c>
      <c r="I538" s="15" t="n">
        <f aca="false">IF($H$1182=0,0,H538/$H$1182)</f>
        <v>7.13238948852063E-005</v>
      </c>
      <c r="J538" s="16" t="n">
        <f aca="false">IF(C538&lt;=0,0,H538/C538)</f>
        <v>34.44</v>
      </c>
    </row>
    <row r="539" customFormat="false" ht="15" hidden="false" customHeight="true" outlineLevel="0" collapsed="false">
      <c r="A539" s="5" t="n">
        <v>535</v>
      </c>
      <c r="B539" s="5" t="s">
        <v>546</v>
      </c>
      <c r="C539" s="6" t="n">
        <v>25</v>
      </c>
      <c r="D539" s="6" t="n">
        <v>20</v>
      </c>
      <c r="E539" s="7" t="n">
        <v>558.35</v>
      </c>
      <c r="F539" s="7" t="n">
        <v>-1.27</v>
      </c>
      <c r="G539" s="7" t="n">
        <v>0</v>
      </c>
      <c r="H539" s="8" t="n">
        <f aca="false">E539+F539+G539</f>
        <v>557.08</v>
      </c>
      <c r="I539" s="9" t="n">
        <f aca="false">IF($H$1182=0,0,H539/$H$1182)</f>
        <v>4.61476368904189E-005</v>
      </c>
      <c r="J539" s="10" t="n">
        <f aca="false">IF(C539&lt;=0,0,H539/C539)</f>
        <v>22.2832</v>
      </c>
    </row>
    <row r="540" customFormat="false" ht="15" hidden="false" customHeight="true" outlineLevel="0" collapsed="false">
      <c r="A540" s="11" t="n">
        <v>536</v>
      </c>
      <c r="B540" s="11" t="s">
        <v>547</v>
      </c>
      <c r="C540" s="12" t="n">
        <v>25</v>
      </c>
      <c r="D540" s="12" t="n">
        <v>23</v>
      </c>
      <c r="E540" s="13" t="n">
        <v>599.7</v>
      </c>
      <c r="F540" s="13" t="n">
        <v>-2.03</v>
      </c>
      <c r="G540" s="13" t="n">
        <v>-99.95</v>
      </c>
      <c r="H540" s="14" t="n">
        <f aca="false">E540+F540+G540</f>
        <v>497.72</v>
      </c>
      <c r="I540" s="15" t="n">
        <f aca="false">IF($H$1182=0,0,H540/$H$1182)</f>
        <v>4.12303472267885E-005</v>
      </c>
      <c r="J540" s="16" t="n">
        <f aca="false">IF(C540&lt;=0,0,H540/C540)</f>
        <v>19.9088</v>
      </c>
    </row>
    <row r="541" customFormat="false" ht="15" hidden="false" customHeight="true" outlineLevel="0" collapsed="false">
      <c r="A541" s="5" t="n">
        <v>537</v>
      </c>
      <c r="B541" s="5" t="s">
        <v>548</v>
      </c>
      <c r="C541" s="6" t="n">
        <v>25</v>
      </c>
      <c r="D541" s="6" t="n">
        <v>15</v>
      </c>
      <c r="E541" s="7" t="n">
        <v>289.47</v>
      </c>
      <c r="F541" s="7" t="n">
        <v>-8.44</v>
      </c>
      <c r="G541" s="7" t="n">
        <v>0</v>
      </c>
      <c r="H541" s="8" t="n">
        <f aca="false">E541+F541+G541</f>
        <v>281.03</v>
      </c>
      <c r="I541" s="9" t="n">
        <f aca="false">IF($H$1182=0,0,H541/$H$1182)</f>
        <v>2.32800861551562E-005</v>
      </c>
      <c r="J541" s="10" t="n">
        <f aca="false">IF(C541&lt;=0,0,H541/C541)</f>
        <v>11.2412</v>
      </c>
    </row>
    <row r="542" customFormat="false" ht="15" hidden="false" customHeight="true" outlineLevel="0" collapsed="false">
      <c r="A542" s="11" t="n">
        <v>538</v>
      </c>
      <c r="B542" s="11" t="s">
        <v>549</v>
      </c>
      <c r="C542" s="12" t="n">
        <v>24</v>
      </c>
      <c r="D542" s="12" t="n">
        <v>17</v>
      </c>
      <c r="E542" s="13" t="n">
        <v>7050.97</v>
      </c>
      <c r="F542" s="13" t="n">
        <v>-123.15</v>
      </c>
      <c r="G542" s="13" t="n">
        <v>-1250</v>
      </c>
      <c r="H542" s="14" t="n">
        <f aca="false">E542+F542+G542</f>
        <v>5677.82</v>
      </c>
      <c r="I542" s="15" t="n">
        <f aca="false">IF($H$1182=0,0,H542/$H$1182)</f>
        <v>0.000470341738510014</v>
      </c>
      <c r="J542" s="16" t="n">
        <f aca="false">IF(C542&lt;=0,0,H542/C542)</f>
        <v>236.575833333333</v>
      </c>
    </row>
    <row r="543" customFormat="false" ht="15" hidden="false" customHeight="true" outlineLevel="0" collapsed="false">
      <c r="A543" s="5" t="n">
        <v>539</v>
      </c>
      <c r="B543" s="5" t="s">
        <v>550</v>
      </c>
      <c r="C543" s="6" t="n">
        <v>24</v>
      </c>
      <c r="D543" s="6" t="n">
        <v>15</v>
      </c>
      <c r="E543" s="7" t="n">
        <v>5154.99</v>
      </c>
      <c r="F543" s="7" t="n">
        <v>-139.3</v>
      </c>
      <c r="G543" s="7" t="n">
        <v>-398</v>
      </c>
      <c r="H543" s="8" t="n">
        <f aca="false">E543+F543+G543</f>
        <v>4617.69</v>
      </c>
      <c r="I543" s="9" t="n">
        <f aca="false">IF($H$1182=0,0,H543/$H$1182)</f>
        <v>0.000382522225519707</v>
      </c>
      <c r="J543" s="10" t="n">
        <f aca="false">IF(C543&lt;=0,0,H543/C543)</f>
        <v>192.40375</v>
      </c>
    </row>
    <row r="544" customFormat="false" ht="15" hidden="false" customHeight="true" outlineLevel="0" collapsed="false">
      <c r="A544" s="11" t="n">
        <v>540</v>
      </c>
      <c r="B544" s="11" t="s">
        <v>551</v>
      </c>
      <c r="C544" s="12" t="n">
        <v>24</v>
      </c>
      <c r="D544" s="12" t="n">
        <v>24</v>
      </c>
      <c r="E544" s="13" t="n">
        <v>5510.52</v>
      </c>
      <c r="F544" s="13" t="n">
        <v>-18.99</v>
      </c>
      <c r="G544" s="13" t="n">
        <v>-1130.09</v>
      </c>
      <c r="H544" s="14" t="n">
        <f aca="false">E544+F544+G544</f>
        <v>4361.44</v>
      </c>
      <c r="I544" s="15" t="n">
        <f aca="false">IF($H$1182=0,0,H544/$H$1182)</f>
        <v>0.000361294875851491</v>
      </c>
      <c r="J544" s="16" t="n">
        <f aca="false">IF(C544&lt;=0,0,H544/C544)</f>
        <v>181.726666666667</v>
      </c>
    </row>
    <row r="545" customFormat="false" ht="15" hidden="false" customHeight="true" outlineLevel="0" collapsed="false">
      <c r="A545" s="5" t="n">
        <v>541</v>
      </c>
      <c r="B545" s="5" t="s">
        <v>552</v>
      </c>
      <c r="C545" s="6" t="n">
        <v>24</v>
      </c>
      <c r="D545" s="6" t="n">
        <v>15</v>
      </c>
      <c r="E545" s="7" t="n">
        <v>1314.04</v>
      </c>
      <c r="F545" s="7" t="n">
        <v>0</v>
      </c>
      <c r="G545" s="7" t="n">
        <v>-52</v>
      </c>
      <c r="H545" s="8" t="n">
        <f aca="false">E545+F545+G545</f>
        <v>1262.04</v>
      </c>
      <c r="I545" s="9" t="n">
        <f aca="false">IF($H$1182=0,0,H545/$H$1182)</f>
        <v>0.000104545421952295</v>
      </c>
      <c r="J545" s="10" t="n">
        <f aca="false">IF(C545&lt;=0,0,H545/C545)</f>
        <v>52.585</v>
      </c>
    </row>
    <row r="546" customFormat="false" ht="15" hidden="false" customHeight="true" outlineLevel="0" collapsed="false">
      <c r="A546" s="11" t="n">
        <v>542</v>
      </c>
      <c r="B546" s="11" t="s">
        <v>553</v>
      </c>
      <c r="C546" s="12" t="n">
        <v>24</v>
      </c>
      <c r="D546" s="12" t="n">
        <v>8</v>
      </c>
      <c r="E546" s="13" t="n">
        <v>1299.74</v>
      </c>
      <c r="F546" s="13" t="n">
        <v>-9.98</v>
      </c>
      <c r="G546" s="13" t="n">
        <v>-99.98</v>
      </c>
      <c r="H546" s="14" t="n">
        <f aca="false">E546+F546+G546</f>
        <v>1189.78</v>
      </c>
      <c r="I546" s="15" t="n">
        <f aca="false">IF($H$1182=0,0,H546/$H$1182)</f>
        <v>9.85595164419521E-005</v>
      </c>
      <c r="J546" s="16" t="n">
        <f aca="false">IF(C546&lt;=0,0,H546/C546)</f>
        <v>49.5741666666667</v>
      </c>
    </row>
    <row r="547" customFormat="false" ht="15" hidden="false" customHeight="true" outlineLevel="0" collapsed="false">
      <c r="A547" s="5" t="n">
        <v>543</v>
      </c>
      <c r="B547" s="5" t="s">
        <v>554</v>
      </c>
      <c r="C547" s="6" t="n">
        <v>24</v>
      </c>
      <c r="D547" s="6" t="n">
        <v>22</v>
      </c>
      <c r="E547" s="7" t="n">
        <v>2699.46</v>
      </c>
      <c r="F547" s="7" t="n">
        <v>-332.3</v>
      </c>
      <c r="G547" s="7" t="n">
        <v>-1177.74</v>
      </c>
      <c r="H547" s="8" t="n">
        <f aca="false">E547+F547+G547</f>
        <v>1189.42</v>
      </c>
      <c r="I547" s="9" t="n">
        <f aca="false">IF($H$1182=0,0,H547/$H$1182)</f>
        <v>9.85296946043694E-005</v>
      </c>
      <c r="J547" s="10" t="n">
        <f aca="false">IF(C547&lt;=0,0,H547/C547)</f>
        <v>49.5591666666667</v>
      </c>
    </row>
    <row r="548" customFormat="false" ht="15" hidden="false" customHeight="true" outlineLevel="0" collapsed="false">
      <c r="A548" s="11" t="n">
        <v>544</v>
      </c>
      <c r="B548" s="11" t="s">
        <v>555</v>
      </c>
      <c r="C548" s="12" t="n">
        <v>24</v>
      </c>
      <c r="D548" s="12" t="n">
        <v>17</v>
      </c>
      <c r="E548" s="13" t="n">
        <v>814.75</v>
      </c>
      <c r="F548" s="13" t="n">
        <v>-0.13</v>
      </c>
      <c r="G548" s="13" t="n">
        <v>-34.99</v>
      </c>
      <c r="H548" s="14" t="n">
        <f aca="false">E548+F548+G548</f>
        <v>779.63</v>
      </c>
      <c r="I548" s="15" t="n">
        <f aca="false">IF($H$1182=0,0,H548/$H$1182)</f>
        <v>6.45833312071468E-005</v>
      </c>
      <c r="J548" s="16" t="n">
        <f aca="false">IF(C548&lt;=0,0,H548/C548)</f>
        <v>32.4845833333333</v>
      </c>
    </row>
    <row r="549" customFormat="false" ht="15" hidden="false" customHeight="true" outlineLevel="0" collapsed="false">
      <c r="A549" s="5" t="n">
        <v>545</v>
      </c>
      <c r="B549" s="5" t="s">
        <v>556</v>
      </c>
      <c r="C549" s="6" t="n">
        <v>24</v>
      </c>
      <c r="D549" s="6" t="n">
        <v>18</v>
      </c>
      <c r="E549" s="7" t="n">
        <v>606.19</v>
      </c>
      <c r="F549" s="7" t="n">
        <v>-4.87</v>
      </c>
      <c r="G549" s="7" t="n">
        <v>-19.17</v>
      </c>
      <c r="H549" s="8" t="n">
        <f aca="false">E549+F549+G549</f>
        <v>582.15</v>
      </c>
      <c r="I549" s="9" t="n">
        <f aca="false">IF($H$1182=0,0,H549/$H$1182)</f>
        <v>4.82243965243006E-005</v>
      </c>
      <c r="J549" s="10" t="n">
        <f aca="false">IF(C549&lt;=0,0,H549/C549)</f>
        <v>24.25625</v>
      </c>
    </row>
    <row r="550" customFormat="false" ht="15" hidden="false" customHeight="true" outlineLevel="0" collapsed="false">
      <c r="A550" s="11" t="n">
        <v>546</v>
      </c>
      <c r="B550" s="11" t="s">
        <v>557</v>
      </c>
      <c r="C550" s="12" t="n">
        <v>23</v>
      </c>
      <c r="D550" s="12" t="n">
        <v>17</v>
      </c>
      <c r="E550" s="13" t="n">
        <v>16249.75</v>
      </c>
      <c r="F550" s="13" t="n">
        <v>-185.89</v>
      </c>
      <c r="G550" s="13" t="n">
        <v>-1312.48</v>
      </c>
      <c r="H550" s="14" t="n">
        <f aca="false">E550+F550+G550</f>
        <v>14751.38</v>
      </c>
      <c r="I550" s="15" t="n">
        <f aca="false">IF($H$1182=0,0,H550/$H$1182)</f>
        <v>0.00122198127355602</v>
      </c>
      <c r="J550" s="16" t="n">
        <f aca="false">IF(C550&lt;=0,0,H550/C550)</f>
        <v>641.364347826087</v>
      </c>
    </row>
    <row r="551" customFormat="false" ht="15" hidden="false" customHeight="true" outlineLevel="0" collapsed="false">
      <c r="A551" s="5" t="n">
        <v>547</v>
      </c>
      <c r="B551" s="5" t="s">
        <v>558</v>
      </c>
      <c r="C551" s="6" t="n">
        <v>23</v>
      </c>
      <c r="D551" s="6" t="n">
        <v>18</v>
      </c>
      <c r="E551" s="7" t="n">
        <v>13818.76</v>
      </c>
      <c r="F551" s="7" t="n">
        <v>-284.63</v>
      </c>
      <c r="G551" s="7" t="n">
        <v>-549.99</v>
      </c>
      <c r="H551" s="8" t="n">
        <f aca="false">E551+F551+G551</f>
        <v>12984.14</v>
      </c>
      <c r="I551" s="9" t="n">
        <f aca="false">IF($H$1182=0,0,H551/$H$1182)</f>
        <v>0.00107558587286272</v>
      </c>
      <c r="J551" s="10" t="n">
        <f aca="false">IF(C551&lt;=0,0,H551/C551)</f>
        <v>564.527826086957</v>
      </c>
    </row>
    <row r="552" customFormat="false" ht="15" hidden="false" customHeight="true" outlineLevel="0" collapsed="false">
      <c r="A552" s="11" t="n">
        <v>548</v>
      </c>
      <c r="B552" s="11" t="s">
        <v>559</v>
      </c>
      <c r="C552" s="12" t="n">
        <v>23</v>
      </c>
      <c r="D552" s="12" t="n">
        <v>20</v>
      </c>
      <c r="E552" s="13" t="n">
        <v>10149.75</v>
      </c>
      <c r="F552" s="13" t="n">
        <v>-142.47</v>
      </c>
      <c r="G552" s="13" t="n">
        <v>-799.98</v>
      </c>
      <c r="H552" s="14" t="n">
        <f aca="false">E552+F552+G552</f>
        <v>9207.3</v>
      </c>
      <c r="I552" s="15" t="n">
        <f aca="false">IF($H$1182=0,0,H552/$H$1182)</f>
        <v>0.000762718347707967</v>
      </c>
      <c r="J552" s="16" t="n">
        <f aca="false">IF(C552&lt;=0,0,H552/C552)</f>
        <v>400.317391304348</v>
      </c>
    </row>
    <row r="553" customFormat="false" ht="15" hidden="false" customHeight="true" outlineLevel="0" collapsed="false">
      <c r="A553" s="5" t="n">
        <v>549</v>
      </c>
      <c r="B553" s="5" t="s">
        <v>560</v>
      </c>
      <c r="C553" s="6" t="n">
        <v>23</v>
      </c>
      <c r="D553" s="6" t="n">
        <v>17</v>
      </c>
      <c r="E553" s="7" t="n">
        <v>9119.76</v>
      </c>
      <c r="F553" s="7" t="n">
        <v>-227.95</v>
      </c>
      <c r="G553" s="7" t="n">
        <v>-379.99</v>
      </c>
      <c r="H553" s="8" t="n">
        <f aca="false">E553+F553+G553</f>
        <v>8511.82</v>
      </c>
      <c r="I553" s="9" t="n">
        <f aca="false">IF($H$1182=0,0,H553/$H$1182)</f>
        <v>0.000705105871035768</v>
      </c>
      <c r="J553" s="10" t="n">
        <f aca="false">IF(C553&lt;=0,0,H553/C553)</f>
        <v>370.079130434783</v>
      </c>
    </row>
    <row r="554" customFormat="false" ht="15" hidden="false" customHeight="true" outlineLevel="0" collapsed="false">
      <c r="A554" s="11" t="n">
        <v>550</v>
      </c>
      <c r="B554" s="11" t="s">
        <v>561</v>
      </c>
      <c r="C554" s="12" t="n">
        <v>23</v>
      </c>
      <c r="D554" s="12" t="n">
        <v>29</v>
      </c>
      <c r="E554" s="13" t="n">
        <v>10031.96</v>
      </c>
      <c r="F554" s="13" t="n">
        <v>-51.45</v>
      </c>
      <c r="G554" s="13" t="n">
        <v>-2700.47</v>
      </c>
      <c r="H554" s="14" t="n">
        <f aca="false">E554+F554+G554</f>
        <v>7280.04</v>
      </c>
      <c r="I554" s="15" t="n">
        <f aca="false">IF($H$1182=0,0,H554/$H$1182)</f>
        <v>0.000603067140209172</v>
      </c>
      <c r="J554" s="16" t="n">
        <f aca="false">IF(C554&lt;=0,0,H554/C554)</f>
        <v>316.52347826087</v>
      </c>
    </row>
    <row r="555" customFormat="false" ht="15" hidden="false" customHeight="true" outlineLevel="0" collapsed="false">
      <c r="A555" s="5" t="n">
        <v>551</v>
      </c>
      <c r="B555" s="5" t="s">
        <v>562</v>
      </c>
      <c r="C555" s="6" t="n">
        <v>23</v>
      </c>
      <c r="D555" s="6" t="n">
        <v>19</v>
      </c>
      <c r="E555" s="7" t="n">
        <v>6124.93</v>
      </c>
      <c r="F555" s="7" t="n">
        <v>-49.99</v>
      </c>
      <c r="G555" s="7" t="n">
        <v>0</v>
      </c>
      <c r="H555" s="8" t="n">
        <f aca="false">E555+F555+G555</f>
        <v>6074.94</v>
      </c>
      <c r="I555" s="9" t="n">
        <f aca="false">IF($H$1182=0,0,H555/$H$1182)</f>
        <v>0.000503238538901202</v>
      </c>
      <c r="J555" s="10" t="n">
        <f aca="false">IF(C555&lt;=0,0,H555/C555)</f>
        <v>264.127826086957</v>
      </c>
    </row>
    <row r="556" customFormat="false" ht="15" hidden="false" customHeight="true" outlineLevel="0" collapsed="false">
      <c r="A556" s="11" t="n">
        <v>552</v>
      </c>
      <c r="B556" s="11" t="s">
        <v>563</v>
      </c>
      <c r="C556" s="12" t="n">
        <v>23</v>
      </c>
      <c r="D556" s="12" t="n">
        <v>15</v>
      </c>
      <c r="E556" s="13" t="n">
        <v>3703</v>
      </c>
      <c r="F556" s="13" t="n">
        <v>-135.42</v>
      </c>
      <c r="G556" s="13" t="n">
        <v>0</v>
      </c>
      <c r="H556" s="14" t="n">
        <f aca="false">E556+F556+G556</f>
        <v>3567.58</v>
      </c>
      <c r="I556" s="15" t="n">
        <f aca="false">IF($H$1182=0,0,H556/$H$1182)</f>
        <v>0.000295532753675452</v>
      </c>
      <c r="J556" s="16" t="n">
        <f aca="false">IF(C556&lt;=0,0,H556/C556)</f>
        <v>155.112173913043</v>
      </c>
    </row>
    <row r="557" customFormat="false" ht="15" hidden="false" customHeight="true" outlineLevel="0" collapsed="false">
      <c r="A557" s="5" t="n">
        <v>553</v>
      </c>
      <c r="B557" s="5" t="s">
        <v>564</v>
      </c>
      <c r="C557" s="6" t="n">
        <v>23</v>
      </c>
      <c r="D557" s="6" t="n">
        <v>12</v>
      </c>
      <c r="E557" s="7" t="n">
        <v>3427</v>
      </c>
      <c r="F557" s="7" t="n">
        <v>0</v>
      </c>
      <c r="G557" s="7" t="n">
        <v>0</v>
      </c>
      <c r="H557" s="8" t="n">
        <f aca="false">E557+F557+G557</f>
        <v>3427</v>
      </c>
      <c r="I557" s="9" t="n">
        <f aca="false">IF($H$1182=0,0,H557/$H$1182)</f>
        <v>0.000283887326099422</v>
      </c>
      <c r="J557" s="10" t="n">
        <f aca="false">IF(C557&lt;=0,0,H557/C557)</f>
        <v>149</v>
      </c>
    </row>
    <row r="558" customFormat="false" ht="15" hidden="false" customHeight="true" outlineLevel="0" collapsed="false">
      <c r="A558" s="11" t="n">
        <v>554</v>
      </c>
      <c r="B558" s="11" t="s">
        <v>565</v>
      </c>
      <c r="C558" s="12" t="n">
        <v>23</v>
      </c>
      <c r="D558" s="12" t="n">
        <v>21</v>
      </c>
      <c r="E558" s="13" t="n">
        <v>3394.14</v>
      </c>
      <c r="F558" s="13" t="n">
        <v>-49.22</v>
      </c>
      <c r="G558" s="13" t="n">
        <v>-227.52</v>
      </c>
      <c r="H558" s="14" t="n">
        <f aca="false">E558+F558+G558</f>
        <v>3117.4</v>
      </c>
      <c r="I558" s="15" t="n">
        <f aca="false">IF($H$1182=0,0,H558/$H$1182)</f>
        <v>0.00025824054577833</v>
      </c>
      <c r="J558" s="16" t="n">
        <f aca="false">IF(C558&lt;=0,0,H558/C558)</f>
        <v>135.539130434783</v>
      </c>
    </row>
    <row r="559" customFormat="false" ht="15" hidden="false" customHeight="true" outlineLevel="0" collapsed="false">
      <c r="A559" s="5" t="n">
        <v>555</v>
      </c>
      <c r="B559" s="5" t="s">
        <v>566</v>
      </c>
      <c r="C559" s="6" t="n">
        <v>23</v>
      </c>
      <c r="D559" s="6" t="n">
        <v>11</v>
      </c>
      <c r="E559" s="7" t="n">
        <v>1896</v>
      </c>
      <c r="F559" s="7" t="n">
        <v>0</v>
      </c>
      <c r="G559" s="7" t="n">
        <v>-79</v>
      </c>
      <c r="H559" s="8" t="n">
        <f aca="false">E559+F559+G559</f>
        <v>1817</v>
      </c>
      <c r="I559" s="9" t="n">
        <f aca="false">IF($H$1182=0,0,H559/$H$1182)</f>
        <v>0.000150517441354727</v>
      </c>
      <c r="J559" s="10" t="n">
        <f aca="false">IF(C559&lt;=0,0,H559/C559)</f>
        <v>79</v>
      </c>
    </row>
    <row r="560" customFormat="false" ht="15" hidden="false" customHeight="true" outlineLevel="0" collapsed="false">
      <c r="A560" s="11" t="n">
        <v>556</v>
      </c>
      <c r="B560" s="11" t="s">
        <v>567</v>
      </c>
      <c r="C560" s="12" t="n">
        <v>23</v>
      </c>
      <c r="D560" s="12" t="n">
        <v>11</v>
      </c>
      <c r="E560" s="13" t="n">
        <v>1149.77</v>
      </c>
      <c r="F560" s="13" t="n">
        <v>0</v>
      </c>
      <c r="G560" s="13" t="n">
        <v>0</v>
      </c>
      <c r="H560" s="14" t="n">
        <f aca="false">E560+F560+G560</f>
        <v>1149.77</v>
      </c>
      <c r="I560" s="15" t="n">
        <f aca="false">IF($H$1182=0,0,H560/$H$1182)</f>
        <v>9.52451505483898E-005</v>
      </c>
      <c r="J560" s="16" t="n">
        <f aca="false">IF(C560&lt;=0,0,H560/C560)</f>
        <v>49.99</v>
      </c>
    </row>
    <row r="561" customFormat="false" ht="15" hidden="false" customHeight="true" outlineLevel="0" collapsed="false">
      <c r="A561" s="5" t="n">
        <v>557</v>
      </c>
      <c r="B561" s="5" t="s">
        <v>568</v>
      </c>
      <c r="C561" s="6" t="n">
        <v>23</v>
      </c>
      <c r="D561" s="6" t="n">
        <v>16</v>
      </c>
      <c r="E561" s="7" t="n">
        <v>1404.95</v>
      </c>
      <c r="F561" s="7" t="n">
        <v>-0.08</v>
      </c>
      <c r="G561" s="7" t="n">
        <v>-343</v>
      </c>
      <c r="H561" s="8" t="n">
        <f aca="false">E561+F561+G561</f>
        <v>1061.87</v>
      </c>
      <c r="I561" s="9" t="n">
        <f aca="false">IF($H$1182=0,0,H561/$H$1182)</f>
        <v>8.79636518719559E-005</v>
      </c>
      <c r="J561" s="10" t="n">
        <f aca="false">IF(C561&lt;=0,0,H561/C561)</f>
        <v>46.1682608695652</v>
      </c>
    </row>
    <row r="562" customFormat="false" ht="15" hidden="false" customHeight="true" outlineLevel="0" collapsed="false">
      <c r="A562" s="11" t="n">
        <v>558</v>
      </c>
      <c r="B562" s="11" t="s">
        <v>569</v>
      </c>
      <c r="C562" s="12" t="n">
        <v>23</v>
      </c>
      <c r="D562" s="12" t="n">
        <v>18</v>
      </c>
      <c r="E562" s="13" t="n">
        <v>773.5</v>
      </c>
      <c r="F562" s="13" t="n">
        <v>-3.65</v>
      </c>
      <c r="G562" s="13" t="n">
        <v>0</v>
      </c>
      <c r="H562" s="14" t="n">
        <f aca="false">E562+F562+G562</f>
        <v>769.85</v>
      </c>
      <c r="I562" s="15" t="n">
        <f aca="false">IF($H$1182=0,0,H562/$H$1182)</f>
        <v>6.3773171286151E-005</v>
      </c>
      <c r="J562" s="16" t="n">
        <f aca="false">IF(C562&lt;=0,0,H562/C562)</f>
        <v>33.4717391304348</v>
      </c>
    </row>
    <row r="563" customFormat="false" ht="15" hidden="false" customHeight="true" outlineLevel="0" collapsed="false">
      <c r="A563" s="5" t="n">
        <v>559</v>
      </c>
      <c r="B563" s="5" t="s">
        <v>570</v>
      </c>
      <c r="C563" s="6" t="n">
        <v>22</v>
      </c>
      <c r="D563" s="6" t="n">
        <v>26</v>
      </c>
      <c r="E563" s="7" t="n">
        <v>53405.85</v>
      </c>
      <c r="F563" s="7" t="n">
        <v>-42.81</v>
      </c>
      <c r="G563" s="7" t="n">
        <v>-13663.24</v>
      </c>
      <c r="H563" s="8" t="n">
        <f aca="false">E563+F563+G563</f>
        <v>39699.8</v>
      </c>
      <c r="I563" s="9" t="n">
        <f aca="false">IF($H$1182=0,0,H563/$H$1182)</f>
        <v>0.00328866941017853</v>
      </c>
      <c r="J563" s="10" t="n">
        <f aca="false">IF(C563&lt;=0,0,H563/C563)</f>
        <v>1804.53636363636</v>
      </c>
    </row>
    <row r="564" customFormat="false" ht="15" hidden="false" customHeight="true" outlineLevel="0" collapsed="false">
      <c r="A564" s="11" t="n">
        <v>560</v>
      </c>
      <c r="B564" s="11" t="s">
        <v>571</v>
      </c>
      <c r="C564" s="12" t="n">
        <v>22</v>
      </c>
      <c r="D564" s="12" t="n">
        <v>20</v>
      </c>
      <c r="E564" s="13" t="n">
        <v>27030</v>
      </c>
      <c r="F564" s="13" t="n">
        <v>-223</v>
      </c>
      <c r="G564" s="13" t="n">
        <v>-2260</v>
      </c>
      <c r="H564" s="14" t="n">
        <f aca="false">E564+F564+G564</f>
        <v>24547</v>
      </c>
      <c r="I564" s="15" t="n">
        <f aca="false">IF($H$1182=0,0,H564/$H$1182)</f>
        <v>0.00203343513094908</v>
      </c>
      <c r="J564" s="16" t="n">
        <f aca="false">IF(C564&lt;=0,0,H564/C564)</f>
        <v>1115.77272727273</v>
      </c>
    </row>
    <row r="565" customFormat="false" ht="15" hidden="false" customHeight="true" outlineLevel="0" collapsed="false">
      <c r="A565" s="5" t="n">
        <v>561</v>
      </c>
      <c r="B565" s="5" t="s">
        <v>572</v>
      </c>
      <c r="C565" s="6" t="n">
        <v>22</v>
      </c>
      <c r="D565" s="6" t="n">
        <v>12</v>
      </c>
      <c r="E565" s="7" t="n">
        <v>22827.99</v>
      </c>
      <c r="F565" s="7" t="n">
        <v>-199.8</v>
      </c>
      <c r="G565" s="7" t="n">
        <v>-999</v>
      </c>
      <c r="H565" s="8" t="n">
        <f aca="false">E565+F565+G565</f>
        <v>21629.19</v>
      </c>
      <c r="I565" s="9" t="n">
        <f aca="false">IF($H$1182=0,0,H565/$H$1182)</f>
        <v>0.00179172830895721</v>
      </c>
      <c r="J565" s="10" t="n">
        <f aca="false">IF(C565&lt;=0,0,H565/C565)</f>
        <v>983.145</v>
      </c>
    </row>
    <row r="566" customFormat="false" ht="15" hidden="false" customHeight="true" outlineLevel="0" collapsed="false">
      <c r="A566" s="11" t="n">
        <v>562</v>
      </c>
      <c r="B566" s="11" t="s">
        <v>573</v>
      </c>
      <c r="C566" s="12" t="n">
        <v>22</v>
      </c>
      <c r="D566" s="12" t="n">
        <v>18</v>
      </c>
      <c r="E566" s="13" t="n">
        <v>9899.78</v>
      </c>
      <c r="F566" s="13" t="n">
        <v>-92</v>
      </c>
      <c r="G566" s="13" t="n">
        <v>0</v>
      </c>
      <c r="H566" s="14" t="n">
        <f aca="false">E566+F566+G566</f>
        <v>9807.78</v>
      </c>
      <c r="I566" s="15" t="n">
        <f aca="false">IF($H$1182=0,0,H566/$H$1182)</f>
        <v>0.000812461172795852</v>
      </c>
      <c r="J566" s="16" t="n">
        <f aca="false">IF(C566&lt;=0,0,H566/C566)</f>
        <v>445.808181818182</v>
      </c>
    </row>
    <row r="567" customFormat="false" ht="15" hidden="false" customHeight="true" outlineLevel="0" collapsed="false">
      <c r="A567" s="5" t="n">
        <v>563</v>
      </c>
      <c r="B567" s="5" t="s">
        <v>574</v>
      </c>
      <c r="C567" s="6" t="n">
        <v>22</v>
      </c>
      <c r="D567" s="6" t="n">
        <v>22</v>
      </c>
      <c r="E567" s="7" t="n">
        <v>9939.74</v>
      </c>
      <c r="F567" s="7" t="n">
        <v>-37.99</v>
      </c>
      <c r="G567" s="7" t="n">
        <v>-1519.96</v>
      </c>
      <c r="H567" s="8" t="n">
        <f aca="false">E567+F567+G567</f>
        <v>8381.79</v>
      </c>
      <c r="I567" s="9" t="n">
        <f aca="false">IF($H$1182=0,0,H567/$H$1182)</f>
        <v>0.000694334388977785</v>
      </c>
      <c r="J567" s="10" t="n">
        <f aca="false">IF(C567&lt;=0,0,H567/C567)</f>
        <v>380.990454545455</v>
      </c>
    </row>
    <row r="568" customFormat="false" ht="15" hidden="false" customHeight="true" outlineLevel="0" collapsed="false">
      <c r="A568" s="11" t="n">
        <v>564</v>
      </c>
      <c r="B568" s="11" t="s">
        <v>575</v>
      </c>
      <c r="C568" s="12" t="n">
        <v>22</v>
      </c>
      <c r="D568" s="12" t="n">
        <v>20</v>
      </c>
      <c r="E568" s="13" t="n">
        <v>9963</v>
      </c>
      <c r="F568" s="13" t="n">
        <v>0</v>
      </c>
      <c r="G568" s="13" t="n">
        <v>-1845</v>
      </c>
      <c r="H568" s="14" t="n">
        <f aca="false">E568+F568+G568</f>
        <v>8118</v>
      </c>
      <c r="I568" s="15" t="n">
        <f aca="false">IF($H$1182=0,0,H568/$H$1182)</f>
        <v>0.000672482437489088</v>
      </c>
      <c r="J568" s="16" t="n">
        <f aca="false">IF(C568&lt;=0,0,H568/C568)</f>
        <v>369</v>
      </c>
    </row>
    <row r="569" customFormat="false" ht="15" hidden="false" customHeight="true" outlineLevel="0" collapsed="false">
      <c r="A569" s="5" t="n">
        <v>565</v>
      </c>
      <c r="B569" s="5" t="s">
        <v>576</v>
      </c>
      <c r="C569" s="6" t="n">
        <v>22</v>
      </c>
      <c r="D569" s="6" t="n">
        <v>19</v>
      </c>
      <c r="E569" s="7" t="n">
        <v>9225</v>
      </c>
      <c r="F569" s="7" t="n">
        <v>-110.7</v>
      </c>
      <c r="G569" s="7" t="n">
        <v>-1107</v>
      </c>
      <c r="H569" s="8" t="n">
        <f aca="false">E569+F569+G569</f>
        <v>8007.3</v>
      </c>
      <c r="I569" s="9" t="n">
        <f aca="false">IF($H$1182=0,0,H569/$H$1182)</f>
        <v>0.000663312222432418</v>
      </c>
      <c r="J569" s="10" t="n">
        <f aca="false">IF(C569&lt;=0,0,H569/C569)</f>
        <v>363.968181818182</v>
      </c>
    </row>
    <row r="570" customFormat="false" ht="15" hidden="false" customHeight="true" outlineLevel="0" collapsed="false">
      <c r="A570" s="11" t="n">
        <v>566</v>
      </c>
      <c r="B570" s="11" t="s">
        <v>577</v>
      </c>
      <c r="C570" s="12" t="n">
        <v>22</v>
      </c>
      <c r="D570" s="12" t="n">
        <v>23</v>
      </c>
      <c r="E570" s="13" t="n">
        <v>7427.38</v>
      </c>
      <c r="F570" s="13" t="n">
        <v>-74.97</v>
      </c>
      <c r="G570" s="13" t="n">
        <v>-1999.92</v>
      </c>
      <c r="H570" s="14" t="n">
        <f aca="false">E570+F570+G570</f>
        <v>5352.49</v>
      </c>
      <c r="I570" s="15" t="n">
        <f aca="false">IF($H$1182=0,0,H570/$H$1182)</f>
        <v>0.000443391909563435</v>
      </c>
      <c r="J570" s="16" t="n">
        <f aca="false">IF(C570&lt;=0,0,H570/C570)</f>
        <v>243.295</v>
      </c>
    </row>
    <row r="571" customFormat="false" ht="15" hidden="false" customHeight="true" outlineLevel="0" collapsed="false">
      <c r="A571" s="5" t="n">
        <v>567</v>
      </c>
      <c r="B571" s="5" t="s">
        <v>578</v>
      </c>
      <c r="C571" s="6" t="n">
        <v>22</v>
      </c>
      <c r="D571" s="6" t="n">
        <v>19</v>
      </c>
      <c r="E571" s="7" t="n">
        <v>3243.99</v>
      </c>
      <c r="F571" s="7" t="n">
        <v>-0.16</v>
      </c>
      <c r="G571" s="7" t="n">
        <v>-129.98</v>
      </c>
      <c r="H571" s="8" t="n">
        <f aca="false">E571+F571+G571</f>
        <v>3113.85</v>
      </c>
      <c r="I571" s="9" t="n">
        <f aca="false">IF($H$1182=0,0,H571/$H$1182)</f>
        <v>0.00025794646932439</v>
      </c>
      <c r="J571" s="10" t="n">
        <f aca="false">IF(C571&lt;=0,0,H571/C571)</f>
        <v>141.538636363636</v>
      </c>
    </row>
    <row r="572" customFormat="false" ht="15" hidden="false" customHeight="true" outlineLevel="0" collapsed="false">
      <c r="A572" s="11" t="n">
        <v>568</v>
      </c>
      <c r="B572" s="11" t="s">
        <v>579</v>
      </c>
      <c r="C572" s="12" t="n">
        <v>22</v>
      </c>
      <c r="D572" s="12" t="n">
        <v>10</v>
      </c>
      <c r="E572" s="13" t="n">
        <v>1979.78</v>
      </c>
      <c r="F572" s="13" t="n">
        <v>-71.92</v>
      </c>
      <c r="G572" s="13" t="n">
        <v>0</v>
      </c>
      <c r="H572" s="14" t="n">
        <f aca="false">E572+F572+G572</f>
        <v>1907.86</v>
      </c>
      <c r="I572" s="15" t="n">
        <f aca="false">IF($H$1182=0,0,H572/$H$1182)</f>
        <v>0.00015804414180684</v>
      </c>
      <c r="J572" s="16" t="n">
        <f aca="false">IF(C572&lt;=0,0,H572/C572)</f>
        <v>86.7209090909091</v>
      </c>
    </row>
    <row r="573" customFormat="false" ht="15" hidden="false" customHeight="true" outlineLevel="0" collapsed="false">
      <c r="A573" s="5" t="n">
        <v>569</v>
      </c>
      <c r="B573" s="5" t="s">
        <v>580</v>
      </c>
      <c r="C573" s="6" t="n">
        <v>22</v>
      </c>
      <c r="D573" s="6" t="n">
        <v>18</v>
      </c>
      <c r="E573" s="7" t="n">
        <v>2144.67</v>
      </c>
      <c r="F573" s="7" t="n">
        <v>0</v>
      </c>
      <c r="G573" s="7" t="n">
        <v>-714.89</v>
      </c>
      <c r="H573" s="8" t="n">
        <f aca="false">E573+F573+G573</f>
        <v>1429.78</v>
      </c>
      <c r="I573" s="9" t="n">
        <f aca="false">IF($H$1182=0,0,H573/$H$1182)</f>
        <v>0.000118440741497062</v>
      </c>
      <c r="J573" s="10" t="n">
        <f aca="false">IF(C573&lt;=0,0,H573/C573)</f>
        <v>64.99</v>
      </c>
    </row>
    <row r="574" customFormat="false" ht="15" hidden="false" customHeight="true" outlineLevel="0" collapsed="false">
      <c r="A574" s="11" t="n">
        <v>570</v>
      </c>
      <c r="B574" s="11" t="s">
        <v>581</v>
      </c>
      <c r="C574" s="12" t="n">
        <v>22</v>
      </c>
      <c r="D574" s="12" t="n">
        <v>10</v>
      </c>
      <c r="E574" s="13" t="n">
        <v>901.88</v>
      </c>
      <c r="F574" s="13" t="n">
        <v>-0.45</v>
      </c>
      <c r="G574" s="13" t="n">
        <v>0</v>
      </c>
      <c r="H574" s="14" t="n">
        <f aca="false">E574+F574+G574</f>
        <v>901.43</v>
      </c>
      <c r="I574" s="15" t="n">
        <f aca="false">IF($H$1182=0,0,H574/$H$1182)</f>
        <v>7.4673052922615E-005</v>
      </c>
      <c r="J574" s="16" t="n">
        <f aca="false">IF(C574&lt;=0,0,H574/C574)</f>
        <v>40.9740909090909</v>
      </c>
    </row>
    <row r="575" customFormat="false" ht="15" hidden="false" customHeight="true" outlineLevel="0" collapsed="false">
      <c r="A575" s="5" t="n">
        <v>571</v>
      </c>
      <c r="B575" s="5" t="s">
        <v>582</v>
      </c>
      <c r="C575" s="6" t="n">
        <v>22</v>
      </c>
      <c r="D575" s="6" t="n">
        <v>8</v>
      </c>
      <c r="E575" s="7" t="n">
        <v>803.51</v>
      </c>
      <c r="F575" s="7" t="n">
        <v>-13.86</v>
      </c>
      <c r="G575" s="7" t="n">
        <v>-34.99</v>
      </c>
      <c r="H575" s="8" t="n">
        <f aca="false">E575+F575+G575</f>
        <v>754.66</v>
      </c>
      <c r="I575" s="9" t="n">
        <f aca="false">IF($H$1182=0,0,H575/$H$1182)</f>
        <v>6.2514855417038E-005</v>
      </c>
      <c r="J575" s="10" t="n">
        <f aca="false">IF(C575&lt;=0,0,H575/C575)</f>
        <v>34.3027272727273</v>
      </c>
    </row>
    <row r="576" customFormat="false" ht="15" hidden="false" customHeight="true" outlineLevel="0" collapsed="false">
      <c r="A576" s="11" t="n">
        <v>572</v>
      </c>
      <c r="B576" s="11" t="s">
        <v>583</v>
      </c>
      <c r="C576" s="12" t="n">
        <v>22</v>
      </c>
      <c r="D576" s="12" t="n">
        <v>19</v>
      </c>
      <c r="E576" s="13" t="n">
        <v>737.93</v>
      </c>
      <c r="F576" s="13" t="n">
        <v>-6.61</v>
      </c>
      <c r="G576" s="13" t="n">
        <v>-58</v>
      </c>
      <c r="H576" s="14" t="n">
        <f aca="false">E576+F576+G576</f>
        <v>673.32</v>
      </c>
      <c r="I576" s="15" t="n">
        <f aca="false">IF($H$1182=0,0,H576/$H$1182)</f>
        <v>5.57767768921104E-005</v>
      </c>
      <c r="J576" s="16" t="n">
        <f aca="false">IF(C576&lt;=0,0,H576/C576)</f>
        <v>30.6054545454545</v>
      </c>
    </row>
    <row r="577" customFormat="false" ht="15" hidden="false" customHeight="true" outlineLevel="0" collapsed="false">
      <c r="A577" s="5" t="n">
        <v>573</v>
      </c>
      <c r="B577" s="5" t="s">
        <v>584</v>
      </c>
      <c r="C577" s="6" t="n">
        <v>22</v>
      </c>
      <c r="D577" s="6" t="n">
        <v>16</v>
      </c>
      <c r="E577" s="7" t="n">
        <v>459.77</v>
      </c>
      <c r="F577" s="7" t="n">
        <v>-4.98</v>
      </c>
      <c r="G577" s="7" t="n">
        <v>-19.99</v>
      </c>
      <c r="H577" s="8" t="n">
        <f aca="false">E577+F577+G577</f>
        <v>434.8</v>
      </c>
      <c r="I577" s="9" t="n">
        <f aca="false">IF($H$1182=0,0,H577/$H$1182)</f>
        <v>3.60181527248405E-005</v>
      </c>
      <c r="J577" s="10" t="n">
        <f aca="false">IF(C577&lt;=0,0,H577/C577)</f>
        <v>19.7636363636364</v>
      </c>
    </row>
    <row r="578" customFormat="false" ht="15" hidden="false" customHeight="true" outlineLevel="0" collapsed="false">
      <c r="A578" s="11" t="n">
        <v>574</v>
      </c>
      <c r="B578" s="11" t="s">
        <v>585</v>
      </c>
      <c r="C578" s="12" t="n">
        <v>22</v>
      </c>
      <c r="D578" s="12" t="n">
        <v>16</v>
      </c>
      <c r="E578" s="13" t="n">
        <v>210.3</v>
      </c>
      <c r="F578" s="13" t="n">
        <v>-2.14</v>
      </c>
      <c r="G578" s="13" t="n">
        <v>0</v>
      </c>
      <c r="H578" s="14" t="n">
        <f aca="false">E578+F578+G578</f>
        <v>208.16</v>
      </c>
      <c r="I578" s="15" t="n">
        <f aca="false">IF($H$1182=0,0,H578/$H$1182)</f>
        <v>1.72436491977985E-005</v>
      </c>
      <c r="J578" s="16" t="n">
        <f aca="false">IF(C578&lt;=0,0,H578/C578)</f>
        <v>9.46181818181818</v>
      </c>
    </row>
    <row r="579" customFormat="false" ht="15" hidden="false" customHeight="true" outlineLevel="0" collapsed="false">
      <c r="A579" s="5" t="n">
        <v>575</v>
      </c>
      <c r="B579" s="5" t="s">
        <v>586</v>
      </c>
      <c r="C579" s="6" t="n">
        <v>21</v>
      </c>
      <c r="D579" s="6" t="n">
        <v>20</v>
      </c>
      <c r="E579" s="7" t="n">
        <v>38250</v>
      </c>
      <c r="F579" s="7" t="n">
        <v>-232.5</v>
      </c>
      <c r="G579" s="7" t="n">
        <v>-4577.5</v>
      </c>
      <c r="H579" s="8" t="n">
        <f aca="false">E579+F579+G579</f>
        <v>33440</v>
      </c>
      <c r="I579" s="9" t="n">
        <f aca="false">IF($H$1182=0,0,H579/$H$1182)</f>
        <v>0.00277011735767863</v>
      </c>
      <c r="J579" s="10" t="n">
        <f aca="false">IF(C579&lt;=0,0,H579/C579)</f>
        <v>1592.38095238095</v>
      </c>
    </row>
    <row r="580" customFormat="false" ht="15" hidden="false" customHeight="true" outlineLevel="0" collapsed="false">
      <c r="A580" s="11" t="n">
        <v>576</v>
      </c>
      <c r="B580" s="11" t="s">
        <v>587</v>
      </c>
      <c r="C580" s="12" t="n">
        <v>21</v>
      </c>
      <c r="D580" s="12" t="n">
        <v>15</v>
      </c>
      <c r="E580" s="13" t="n">
        <v>10499.79</v>
      </c>
      <c r="F580" s="13" t="n">
        <v>0</v>
      </c>
      <c r="G580" s="13" t="n">
        <v>0</v>
      </c>
      <c r="H580" s="14" t="n">
        <f aca="false">E580+F580+G580</f>
        <v>10499.79</v>
      </c>
      <c r="I580" s="15" t="n">
        <f aca="false">IF($H$1182=0,0,H580/$H$1182)</f>
        <v>0.000869786200089129</v>
      </c>
      <c r="J580" s="16" t="n">
        <f aca="false">IF(C580&lt;=0,0,H580/C580)</f>
        <v>499.99</v>
      </c>
    </row>
    <row r="581" customFormat="false" ht="15" hidden="false" customHeight="true" outlineLevel="0" collapsed="false">
      <c r="A581" s="5" t="n">
        <v>577</v>
      </c>
      <c r="B581" s="5" t="s">
        <v>588</v>
      </c>
      <c r="C581" s="6" t="n">
        <v>21</v>
      </c>
      <c r="D581" s="6" t="n">
        <v>19</v>
      </c>
      <c r="E581" s="7" t="n">
        <v>8338</v>
      </c>
      <c r="F581" s="7" t="n">
        <v>-2.05</v>
      </c>
      <c r="G581" s="7" t="n">
        <v>-379</v>
      </c>
      <c r="H581" s="8" t="n">
        <f aca="false">E581+F581+G581</f>
        <v>7956.95</v>
      </c>
      <c r="I581" s="9" t="n">
        <f aca="false">IF($H$1182=0,0,H581/$H$1182)</f>
        <v>0.000659141307092732</v>
      </c>
      <c r="J581" s="10" t="n">
        <f aca="false">IF(C581&lt;=0,0,H581/C581)</f>
        <v>378.902380952381</v>
      </c>
    </row>
    <row r="582" customFormat="false" ht="15" hidden="false" customHeight="true" outlineLevel="0" collapsed="false">
      <c r="A582" s="11" t="n">
        <v>578</v>
      </c>
      <c r="B582" s="11" t="s">
        <v>589</v>
      </c>
      <c r="C582" s="12" t="n">
        <v>21</v>
      </c>
      <c r="D582" s="12" t="n">
        <v>16</v>
      </c>
      <c r="E582" s="13" t="n">
        <v>7229.78</v>
      </c>
      <c r="F582" s="13" t="n">
        <v>-98.97</v>
      </c>
      <c r="G582" s="13" t="n">
        <v>-329.99</v>
      </c>
      <c r="H582" s="14" t="n">
        <f aca="false">E582+F582+G582</f>
        <v>6800.82</v>
      </c>
      <c r="I582" s="15" t="n">
        <f aca="false">IF($H$1182=0,0,H582/$H$1182)</f>
        <v>0.000563369304080382</v>
      </c>
      <c r="J582" s="16" t="n">
        <f aca="false">IF(C582&lt;=0,0,H582/C582)</f>
        <v>323.848571428571</v>
      </c>
    </row>
    <row r="583" customFormat="false" ht="15" hidden="false" customHeight="true" outlineLevel="0" collapsed="false">
      <c r="A583" s="5" t="n">
        <v>579</v>
      </c>
      <c r="B583" s="5" t="s">
        <v>590</v>
      </c>
      <c r="C583" s="6" t="n">
        <v>21</v>
      </c>
      <c r="D583" s="6" t="n">
        <v>18</v>
      </c>
      <c r="E583" s="7" t="n">
        <v>6159.78</v>
      </c>
      <c r="F583" s="7" t="n">
        <v>-27.99</v>
      </c>
      <c r="G583" s="7" t="n">
        <v>-279.99</v>
      </c>
      <c r="H583" s="8" t="n">
        <f aca="false">E583+F583+G583</f>
        <v>5851.8</v>
      </c>
      <c r="I583" s="9" t="n">
        <f aca="false">IF($H$1182=0,0,H583/$H$1182)</f>
        <v>0.000484753969906214</v>
      </c>
      <c r="J583" s="10" t="n">
        <f aca="false">IF(C583&lt;=0,0,H583/C583)</f>
        <v>278.657142857143</v>
      </c>
    </row>
    <row r="584" customFormat="false" ht="15" hidden="false" customHeight="true" outlineLevel="0" collapsed="false">
      <c r="A584" s="11" t="n">
        <v>580</v>
      </c>
      <c r="B584" s="11" t="s">
        <v>591</v>
      </c>
      <c r="C584" s="12" t="n">
        <v>21</v>
      </c>
      <c r="D584" s="12" t="n">
        <v>25</v>
      </c>
      <c r="E584" s="13" t="n">
        <v>8695.41</v>
      </c>
      <c r="F584" s="13" t="n">
        <v>-74.97</v>
      </c>
      <c r="G584" s="13" t="n">
        <v>-3499.86</v>
      </c>
      <c r="H584" s="14" t="n">
        <f aca="false">E584+F584+G584</f>
        <v>5120.58</v>
      </c>
      <c r="I584" s="15" t="n">
        <f aca="false">IF($H$1182=0,0,H584/$H$1182)</f>
        <v>0.000424180847469558</v>
      </c>
      <c r="J584" s="16" t="n">
        <f aca="false">IF(C584&lt;=0,0,H584/C584)</f>
        <v>243.837142857143</v>
      </c>
    </row>
    <row r="585" customFormat="false" ht="15" hidden="false" customHeight="true" outlineLevel="0" collapsed="false">
      <c r="A585" s="5" t="n">
        <v>581</v>
      </c>
      <c r="B585" s="5" t="s">
        <v>592</v>
      </c>
      <c r="C585" s="6" t="n">
        <v>21</v>
      </c>
      <c r="D585" s="6" t="n">
        <v>19</v>
      </c>
      <c r="E585" s="7" t="n">
        <v>4108.66</v>
      </c>
      <c r="F585" s="7" t="n">
        <v>-49.11</v>
      </c>
      <c r="G585" s="7" t="n">
        <v>-219.99</v>
      </c>
      <c r="H585" s="8" t="n">
        <f aca="false">E585+F585+G585</f>
        <v>3839.56</v>
      </c>
      <c r="I585" s="9" t="n">
        <f aca="false">IF($H$1182=0,0,H585/$H$1182)</f>
        <v>0.000318063151969155</v>
      </c>
      <c r="J585" s="10" t="n">
        <f aca="false">IF(C585&lt;=0,0,H585/C585)</f>
        <v>182.83619047619</v>
      </c>
    </row>
    <row r="586" customFormat="false" ht="15" hidden="false" customHeight="true" outlineLevel="0" collapsed="false">
      <c r="A586" s="11" t="n">
        <v>582</v>
      </c>
      <c r="B586" s="11" t="s">
        <v>593</v>
      </c>
      <c r="C586" s="12" t="n">
        <v>21</v>
      </c>
      <c r="D586" s="12" t="n">
        <v>13</v>
      </c>
      <c r="E586" s="13" t="n">
        <v>2519.79</v>
      </c>
      <c r="F586" s="13" t="n">
        <v>-12.13</v>
      </c>
      <c r="G586" s="13" t="n">
        <v>0</v>
      </c>
      <c r="H586" s="14" t="n">
        <f aca="false">E586+F586+G586</f>
        <v>2507.66</v>
      </c>
      <c r="I586" s="15" t="n">
        <f aca="false">IF($H$1182=0,0,H586/$H$1182)</f>
        <v>0.000207730636757069</v>
      </c>
      <c r="J586" s="16" t="n">
        <f aca="false">IF(C586&lt;=0,0,H586/C586)</f>
        <v>119.412380952381</v>
      </c>
    </row>
    <row r="587" customFormat="false" ht="15" hidden="false" customHeight="true" outlineLevel="0" collapsed="false">
      <c r="A587" s="5" t="n">
        <v>583</v>
      </c>
      <c r="B587" s="5" t="s">
        <v>594</v>
      </c>
      <c r="C587" s="6" t="n">
        <v>21</v>
      </c>
      <c r="D587" s="6" t="n">
        <v>19</v>
      </c>
      <c r="E587" s="7" t="n">
        <v>2139.79</v>
      </c>
      <c r="F587" s="7" t="n">
        <v>-11.99</v>
      </c>
      <c r="G587" s="7" t="n">
        <v>0</v>
      </c>
      <c r="H587" s="8" t="n">
        <f aca="false">E587+F587+G587</f>
        <v>2127.8</v>
      </c>
      <c r="I587" s="9" t="n">
        <f aca="false">IF($H$1182=0,0,H587/$H$1182)</f>
        <v>0.000176263627801094</v>
      </c>
      <c r="J587" s="10" t="n">
        <f aca="false">IF(C587&lt;=0,0,H587/C587)</f>
        <v>101.32380952381</v>
      </c>
    </row>
    <row r="588" customFormat="false" ht="15" hidden="false" customHeight="true" outlineLevel="0" collapsed="false">
      <c r="A588" s="11" t="n">
        <v>584</v>
      </c>
      <c r="B588" s="11" t="s">
        <v>595</v>
      </c>
      <c r="C588" s="12" t="n">
        <v>21</v>
      </c>
      <c r="D588" s="12" t="n">
        <v>16</v>
      </c>
      <c r="E588" s="13" t="n">
        <v>2159.76</v>
      </c>
      <c r="F588" s="13" t="n">
        <v>0</v>
      </c>
      <c r="G588" s="13" t="n">
        <v>-269.97</v>
      </c>
      <c r="H588" s="14" t="n">
        <f aca="false">E588+F588+G588</f>
        <v>1889.79</v>
      </c>
      <c r="I588" s="15" t="n">
        <f aca="false">IF($H$1182=0,0,H588/$H$1182)</f>
        <v>0.000156547251237066</v>
      </c>
      <c r="J588" s="16" t="n">
        <f aca="false">IF(C588&lt;=0,0,H588/C588)</f>
        <v>89.99</v>
      </c>
    </row>
    <row r="589" customFormat="false" ht="15" hidden="false" customHeight="true" outlineLevel="0" collapsed="false">
      <c r="A589" s="5" t="n">
        <v>585</v>
      </c>
      <c r="B589" s="5" t="s">
        <v>596</v>
      </c>
      <c r="C589" s="6" t="n">
        <v>21</v>
      </c>
      <c r="D589" s="6" t="n">
        <v>8</v>
      </c>
      <c r="E589" s="7" t="n">
        <v>1049.79</v>
      </c>
      <c r="F589" s="7" t="n">
        <v>-9.98</v>
      </c>
      <c r="G589" s="7" t="n">
        <v>0</v>
      </c>
      <c r="H589" s="8" t="n">
        <f aca="false">E589+F589+G589</f>
        <v>1039.81</v>
      </c>
      <c r="I589" s="9" t="n">
        <f aca="false">IF($H$1182=0,0,H589/$H$1182)</f>
        <v>8.61362359356403E-005</v>
      </c>
      <c r="J589" s="10" t="n">
        <f aca="false">IF(C589&lt;=0,0,H589/C589)</f>
        <v>49.5147619047619</v>
      </c>
    </row>
    <row r="590" customFormat="false" ht="15" hidden="false" customHeight="true" outlineLevel="0" collapsed="false">
      <c r="A590" s="11" t="n">
        <v>586</v>
      </c>
      <c r="B590" s="11" t="s">
        <v>597</v>
      </c>
      <c r="C590" s="12" t="n">
        <v>21</v>
      </c>
      <c r="D590" s="12" t="n">
        <v>12</v>
      </c>
      <c r="E590" s="13" t="n">
        <v>1017.18</v>
      </c>
      <c r="F590" s="13" t="n">
        <v>-17.54</v>
      </c>
      <c r="G590" s="13" t="n">
        <v>-64.99</v>
      </c>
      <c r="H590" s="14" t="n">
        <f aca="false">E590+F590+G590</f>
        <v>934.65</v>
      </c>
      <c r="I590" s="15" t="n">
        <f aca="false">IF($H$1182=0,0,H590/$H$1182)</f>
        <v>7.74249458239931E-005</v>
      </c>
      <c r="J590" s="16" t="n">
        <f aca="false">IF(C590&lt;=0,0,H590/C590)</f>
        <v>44.5071428571429</v>
      </c>
    </row>
    <row r="591" customFormat="false" ht="15" hidden="false" customHeight="true" outlineLevel="0" collapsed="false">
      <c r="A591" s="5" t="n">
        <v>587</v>
      </c>
      <c r="B591" s="5" t="s">
        <v>598</v>
      </c>
      <c r="C591" s="6" t="n">
        <v>21</v>
      </c>
      <c r="D591" s="6" t="n">
        <v>21</v>
      </c>
      <c r="E591" s="7" t="n">
        <v>729.73</v>
      </c>
      <c r="F591" s="7" t="n">
        <v>-4.98</v>
      </c>
      <c r="G591" s="7" t="n">
        <v>-149.94</v>
      </c>
      <c r="H591" s="8" t="n">
        <f aca="false">E591+F591+G591</f>
        <v>574.81</v>
      </c>
      <c r="I591" s="9" t="n">
        <f aca="false">IF($H$1182=0,0,H591/$H$1182)</f>
        <v>4.76163623913652E-005</v>
      </c>
      <c r="J591" s="10" t="n">
        <f aca="false">IF(C591&lt;=0,0,H591/C591)</f>
        <v>27.3719047619048</v>
      </c>
    </row>
    <row r="592" customFormat="false" ht="15" hidden="false" customHeight="true" outlineLevel="0" collapsed="false">
      <c r="A592" s="11" t="n">
        <v>588</v>
      </c>
      <c r="B592" s="11" t="s">
        <v>599</v>
      </c>
      <c r="C592" s="12" t="n">
        <v>21</v>
      </c>
      <c r="D592" s="12" t="n">
        <v>18</v>
      </c>
      <c r="E592" s="13" t="n">
        <v>454.95</v>
      </c>
      <c r="F592" s="13" t="n">
        <v>-3.97</v>
      </c>
      <c r="G592" s="13" t="n">
        <v>-71.99</v>
      </c>
      <c r="H592" s="14" t="n">
        <f aca="false">E592+F592+G592</f>
        <v>378.99</v>
      </c>
      <c r="I592" s="15" t="n">
        <f aca="false">IF($H$1182=0,0,H592/$H$1182)</f>
        <v>3.13949395151502E-005</v>
      </c>
      <c r="J592" s="16" t="n">
        <f aca="false">IF(C592&lt;=0,0,H592/C592)</f>
        <v>18.0471428571429</v>
      </c>
    </row>
    <row r="593" customFormat="false" ht="15" hidden="false" customHeight="true" outlineLevel="0" collapsed="false">
      <c r="A593" s="5" t="n">
        <v>589</v>
      </c>
      <c r="B593" s="5" t="s">
        <v>600</v>
      </c>
      <c r="C593" s="6" t="n">
        <v>21</v>
      </c>
      <c r="D593" s="6" t="n">
        <v>16</v>
      </c>
      <c r="E593" s="7" t="n">
        <v>390.53</v>
      </c>
      <c r="F593" s="7" t="n">
        <v>-3.59</v>
      </c>
      <c r="G593" s="7" t="n">
        <v>-46</v>
      </c>
      <c r="H593" s="8" t="n">
        <f aca="false">E593+F593+G593</f>
        <v>340.94</v>
      </c>
      <c r="I593" s="9" t="n">
        <f aca="false">IF($H$1182=0,0,H593/$H$1182)</f>
        <v>2.8242936959538E-005</v>
      </c>
      <c r="J593" s="10" t="n">
        <f aca="false">IF(C593&lt;=0,0,H593/C593)</f>
        <v>16.2352380952381</v>
      </c>
    </row>
    <row r="594" customFormat="false" ht="15" hidden="false" customHeight="true" outlineLevel="0" collapsed="false">
      <c r="A594" s="11" t="n">
        <v>590</v>
      </c>
      <c r="B594" s="11" t="s">
        <v>601</v>
      </c>
      <c r="C594" s="12" t="n">
        <v>21</v>
      </c>
      <c r="D594" s="12" t="n">
        <v>16</v>
      </c>
      <c r="E594" s="13" t="n">
        <v>360</v>
      </c>
      <c r="F594" s="13" t="n">
        <v>-2.25</v>
      </c>
      <c r="G594" s="13" t="n">
        <v>-45</v>
      </c>
      <c r="H594" s="14" t="n">
        <f aca="false">E594+F594+G594</f>
        <v>312.75</v>
      </c>
      <c r="I594" s="15" t="n">
        <f aca="false">IF($H$1182=0,0,H594/$H$1182)</f>
        <v>2.59077213999399E-005</v>
      </c>
      <c r="J594" s="16" t="n">
        <f aca="false">IF(C594&lt;=0,0,H594/C594)</f>
        <v>14.8928571428571</v>
      </c>
    </row>
    <row r="595" customFormat="false" ht="15" hidden="false" customHeight="true" outlineLevel="0" collapsed="false">
      <c r="A595" s="5" t="n">
        <v>591</v>
      </c>
      <c r="B595" s="5" t="s">
        <v>602</v>
      </c>
      <c r="C595" s="6" t="n">
        <v>20</v>
      </c>
      <c r="D595" s="6" t="n">
        <v>17</v>
      </c>
      <c r="E595" s="7" t="n">
        <v>21727</v>
      </c>
      <c r="F595" s="7" t="n">
        <v>-16.53</v>
      </c>
      <c r="G595" s="7" t="n">
        <v>0</v>
      </c>
      <c r="H595" s="8" t="n">
        <f aca="false">E595+F595+G595</f>
        <v>21710.47</v>
      </c>
      <c r="I595" s="9" t="n">
        <f aca="false">IF($H$1182=0,0,H595/$H$1182)</f>
        <v>0.00179846141717587</v>
      </c>
      <c r="J595" s="10" t="n">
        <f aca="false">IF(C595&lt;=0,0,H595/C595)</f>
        <v>1085.5235</v>
      </c>
    </row>
    <row r="596" customFormat="false" ht="15" hidden="false" customHeight="true" outlineLevel="0" collapsed="false">
      <c r="A596" s="11" t="n">
        <v>592</v>
      </c>
      <c r="B596" s="11" t="s">
        <v>603</v>
      </c>
      <c r="C596" s="12" t="n">
        <v>20</v>
      </c>
      <c r="D596" s="12" t="n">
        <v>18</v>
      </c>
      <c r="E596" s="13" t="n">
        <v>5749.77</v>
      </c>
      <c r="F596" s="13" t="n">
        <v>-24.99</v>
      </c>
      <c r="G596" s="13" t="n">
        <v>-749.97</v>
      </c>
      <c r="H596" s="14" t="n">
        <f aca="false">E596+F596+G596</f>
        <v>4974.81</v>
      </c>
      <c r="I596" s="15" t="n">
        <f aca="false">IF($H$1182=0,0,H596/$H$1182)</f>
        <v>0.000412105488401711</v>
      </c>
      <c r="J596" s="16" t="n">
        <f aca="false">IF(C596&lt;=0,0,H596/C596)</f>
        <v>248.7405</v>
      </c>
    </row>
    <row r="597" customFormat="false" ht="15" hidden="false" customHeight="true" outlineLevel="0" collapsed="false">
      <c r="A597" s="5" t="n">
        <v>593</v>
      </c>
      <c r="B597" s="5" t="s">
        <v>604</v>
      </c>
      <c r="C597" s="6" t="n">
        <v>20</v>
      </c>
      <c r="D597" s="6" t="n">
        <v>22</v>
      </c>
      <c r="E597" s="7" t="n">
        <v>6075</v>
      </c>
      <c r="F597" s="7" t="n">
        <v>-27.9</v>
      </c>
      <c r="G597" s="7" t="n">
        <v>-1215</v>
      </c>
      <c r="H597" s="8" t="n">
        <f aca="false">E597+F597+G597</f>
        <v>4832.1</v>
      </c>
      <c r="I597" s="9" t="n">
        <f aca="false">IF($H$1182=0,0,H597/$H$1182)</f>
        <v>0.000400283614953316</v>
      </c>
      <c r="J597" s="10" t="n">
        <f aca="false">IF(C597&lt;=0,0,H597/C597)</f>
        <v>241.605</v>
      </c>
    </row>
    <row r="598" customFormat="false" ht="15" hidden="false" customHeight="true" outlineLevel="0" collapsed="false">
      <c r="A598" s="11" t="n">
        <v>594</v>
      </c>
      <c r="B598" s="11" t="s">
        <v>605</v>
      </c>
      <c r="C598" s="12" t="n">
        <v>20</v>
      </c>
      <c r="D598" s="12" t="n">
        <v>17</v>
      </c>
      <c r="E598" s="13" t="n">
        <v>6568.93</v>
      </c>
      <c r="F598" s="13" t="n">
        <v>-49.98</v>
      </c>
      <c r="G598" s="13" t="n">
        <v>-1749.93</v>
      </c>
      <c r="H598" s="14" t="n">
        <f aca="false">E598+F598+G598</f>
        <v>4769.02</v>
      </c>
      <c r="I598" s="15" t="n">
        <f aca="false">IF($H$1182=0,0,H598/$H$1182)</f>
        <v>0.000395058166301332</v>
      </c>
      <c r="J598" s="16" t="n">
        <f aca="false">IF(C598&lt;=0,0,H598/C598)</f>
        <v>238.451</v>
      </c>
    </row>
    <row r="599" customFormat="false" ht="15" hidden="false" customHeight="true" outlineLevel="0" collapsed="false">
      <c r="A599" s="5" t="n">
        <v>595</v>
      </c>
      <c r="B599" s="5" t="s">
        <v>606</v>
      </c>
      <c r="C599" s="6" t="n">
        <v>20</v>
      </c>
      <c r="D599" s="6" t="n">
        <v>18</v>
      </c>
      <c r="E599" s="7" t="n">
        <v>5399.76</v>
      </c>
      <c r="F599" s="7" t="n">
        <v>-0.42</v>
      </c>
      <c r="G599" s="7" t="n">
        <v>-899.96</v>
      </c>
      <c r="H599" s="8" t="n">
        <f aca="false">E599+F599+G599</f>
        <v>4499.38</v>
      </c>
      <c r="I599" s="9" t="n">
        <f aca="false">IF($H$1182=0,0,H599/$H$1182)</f>
        <v>0.000372721609951916</v>
      </c>
      <c r="J599" s="10" t="n">
        <f aca="false">IF(C599&lt;=0,0,H599/C599)</f>
        <v>224.969</v>
      </c>
    </row>
    <row r="600" customFormat="false" ht="15" hidden="false" customHeight="true" outlineLevel="0" collapsed="false">
      <c r="A600" s="11" t="n">
        <v>596</v>
      </c>
      <c r="B600" s="11" t="s">
        <v>607</v>
      </c>
      <c r="C600" s="12" t="n">
        <v>20</v>
      </c>
      <c r="D600" s="12" t="n">
        <v>19</v>
      </c>
      <c r="E600" s="13" t="n">
        <v>2711.4</v>
      </c>
      <c r="F600" s="13" t="n">
        <v>0</v>
      </c>
      <c r="G600" s="13" t="n">
        <v>-358.66</v>
      </c>
      <c r="H600" s="14" t="n">
        <f aca="false">E600+F600+G600</f>
        <v>2352.74</v>
      </c>
      <c r="I600" s="15" t="n">
        <f aca="false">IF($H$1182=0,0,H600/$H$1182)</f>
        <v>0.000194897305983996</v>
      </c>
      <c r="J600" s="16" t="n">
        <f aca="false">IF(C600&lt;=0,0,H600/C600)</f>
        <v>117.637</v>
      </c>
    </row>
    <row r="601" customFormat="false" ht="15" hidden="false" customHeight="true" outlineLevel="0" collapsed="false">
      <c r="A601" s="5" t="n">
        <v>597</v>
      </c>
      <c r="B601" s="5" t="s">
        <v>608</v>
      </c>
      <c r="C601" s="6" t="n">
        <v>20</v>
      </c>
      <c r="D601" s="6" t="n">
        <v>19</v>
      </c>
      <c r="E601" s="7" t="n">
        <v>2199.78</v>
      </c>
      <c r="F601" s="7" t="n">
        <v>-9.99</v>
      </c>
      <c r="G601" s="7" t="n">
        <v>-199.98</v>
      </c>
      <c r="H601" s="8" t="n">
        <f aca="false">E601+F601+G601</f>
        <v>1989.81</v>
      </c>
      <c r="I601" s="9" t="n">
        <f aca="false">IF($H$1182=0,0,H601/$H$1182)</f>
        <v>0.000164832751778783</v>
      </c>
      <c r="J601" s="10" t="n">
        <f aca="false">IF(C601&lt;=0,0,H601/C601)</f>
        <v>99.4905</v>
      </c>
    </row>
    <row r="602" customFormat="false" ht="15" hidden="false" customHeight="true" outlineLevel="0" collapsed="false">
      <c r="A602" s="11" t="n">
        <v>598</v>
      </c>
      <c r="B602" s="11" t="s">
        <v>609</v>
      </c>
      <c r="C602" s="12" t="n">
        <v>20</v>
      </c>
      <c r="D602" s="12" t="n">
        <v>14</v>
      </c>
      <c r="E602" s="13" t="n">
        <v>1532.32</v>
      </c>
      <c r="F602" s="13" t="n">
        <v>-7.9</v>
      </c>
      <c r="G602" s="13" t="n">
        <v>-150.1</v>
      </c>
      <c r="H602" s="14" t="n">
        <f aca="false">E602+F602+G602</f>
        <v>1374.32</v>
      </c>
      <c r="I602" s="15" t="n">
        <f aca="false">IF($H$1182=0,0,H602/$H$1182)</f>
        <v>0.000113846521740577</v>
      </c>
      <c r="J602" s="16" t="n">
        <f aca="false">IF(C602&lt;=0,0,H602/C602)</f>
        <v>68.716</v>
      </c>
    </row>
    <row r="603" customFormat="false" ht="15" hidden="false" customHeight="true" outlineLevel="0" collapsed="false">
      <c r="A603" s="5" t="n">
        <v>599</v>
      </c>
      <c r="B603" s="5" t="s">
        <v>610</v>
      </c>
      <c r="C603" s="6" t="n">
        <v>20</v>
      </c>
      <c r="D603" s="6" t="n">
        <v>17</v>
      </c>
      <c r="E603" s="7" t="n">
        <v>1348.51</v>
      </c>
      <c r="F603" s="7" t="n">
        <v>-6.49</v>
      </c>
      <c r="G603" s="7" t="n">
        <v>-124.97</v>
      </c>
      <c r="H603" s="8" t="n">
        <f aca="false">E603+F603+G603</f>
        <v>1217.05</v>
      </c>
      <c r="I603" s="9" t="n">
        <f aca="false">IF($H$1182=0,0,H603/$H$1182)</f>
        <v>0.000100818520638839</v>
      </c>
      <c r="J603" s="10" t="n">
        <f aca="false">IF(C603&lt;=0,0,H603/C603)</f>
        <v>60.8525</v>
      </c>
    </row>
    <row r="604" customFormat="false" ht="15" hidden="false" customHeight="true" outlineLevel="0" collapsed="false">
      <c r="A604" s="11" t="n">
        <v>600</v>
      </c>
      <c r="B604" s="11" t="s">
        <v>611</v>
      </c>
      <c r="C604" s="12" t="n">
        <v>20</v>
      </c>
      <c r="D604" s="12" t="n">
        <v>20</v>
      </c>
      <c r="E604" s="13" t="n">
        <v>1238.63</v>
      </c>
      <c r="F604" s="13" t="n">
        <v>-46.48</v>
      </c>
      <c r="G604" s="13" t="n">
        <v>-109.35</v>
      </c>
      <c r="H604" s="14" t="n">
        <f aca="false">E604+F604+G604</f>
        <v>1082.8</v>
      </c>
      <c r="I604" s="15" t="n">
        <f aca="false">IF($H$1182=0,0,H604/$H$1182)</f>
        <v>8.96974603736369E-005</v>
      </c>
      <c r="J604" s="16" t="n">
        <f aca="false">IF(C604&lt;=0,0,H604/C604)</f>
        <v>54.14</v>
      </c>
    </row>
    <row r="605" customFormat="false" ht="15" hidden="false" customHeight="true" outlineLevel="0" collapsed="false">
      <c r="A605" s="5" t="n">
        <v>601</v>
      </c>
      <c r="B605" s="5" t="s">
        <v>612</v>
      </c>
      <c r="C605" s="6" t="n">
        <v>20</v>
      </c>
      <c r="D605" s="6" t="n">
        <v>18</v>
      </c>
      <c r="E605" s="7" t="n">
        <v>1219.77</v>
      </c>
      <c r="F605" s="7" t="n">
        <v>-18.05</v>
      </c>
      <c r="G605" s="7" t="n">
        <v>-179.97</v>
      </c>
      <c r="H605" s="8" t="n">
        <f aca="false">E605+F605+G605</f>
        <v>1021.75</v>
      </c>
      <c r="I605" s="9" t="n">
        <f aca="false">IF($H$1182=0,0,H605/$H$1182)</f>
        <v>8.46401737502433E-005</v>
      </c>
      <c r="J605" s="10" t="n">
        <f aca="false">IF(C605&lt;=0,0,H605/C605)</f>
        <v>51.0875</v>
      </c>
    </row>
    <row r="606" customFormat="false" ht="15" hidden="false" customHeight="true" outlineLevel="0" collapsed="false">
      <c r="A606" s="11" t="n">
        <v>602</v>
      </c>
      <c r="B606" s="11" t="s">
        <v>613</v>
      </c>
      <c r="C606" s="12" t="n">
        <v>20</v>
      </c>
      <c r="D606" s="12" t="n">
        <v>15</v>
      </c>
      <c r="E606" s="13" t="n">
        <v>689.77</v>
      </c>
      <c r="F606" s="13" t="n">
        <v>0</v>
      </c>
      <c r="G606" s="13" t="n">
        <v>-89.97</v>
      </c>
      <c r="H606" s="14" t="n">
        <f aca="false">E606+F606+G606</f>
        <v>599.8</v>
      </c>
      <c r="I606" s="15" t="n">
        <f aca="false">IF($H$1182=0,0,H606/$H$1182)</f>
        <v>4.96864949502285E-005</v>
      </c>
      <c r="J606" s="16" t="n">
        <f aca="false">IF(C606&lt;=0,0,H606/C606)</f>
        <v>29.99</v>
      </c>
    </row>
    <row r="607" customFormat="false" ht="15" hidden="false" customHeight="true" outlineLevel="0" collapsed="false">
      <c r="A607" s="5" t="n">
        <v>603</v>
      </c>
      <c r="B607" s="5" t="s">
        <v>614</v>
      </c>
      <c r="C607" s="6" t="n">
        <v>20</v>
      </c>
      <c r="D607" s="6" t="n">
        <v>6</v>
      </c>
      <c r="E607" s="7" t="n">
        <v>599.8</v>
      </c>
      <c r="F607" s="7" t="n">
        <v>0</v>
      </c>
      <c r="G607" s="7" t="n">
        <v>0</v>
      </c>
      <c r="H607" s="8" t="n">
        <f aca="false">E607+F607+G607</f>
        <v>599.8</v>
      </c>
      <c r="I607" s="9" t="n">
        <f aca="false">IF($H$1182=0,0,H607/$H$1182)</f>
        <v>4.96864949502285E-005</v>
      </c>
      <c r="J607" s="10" t="n">
        <f aca="false">IF(C607&lt;=0,0,H607/C607)</f>
        <v>29.99</v>
      </c>
    </row>
    <row r="608" customFormat="false" ht="15" hidden="false" customHeight="true" outlineLevel="0" collapsed="false">
      <c r="A608" s="11" t="n">
        <v>604</v>
      </c>
      <c r="B608" s="11" t="s">
        <v>615</v>
      </c>
      <c r="C608" s="12" t="n">
        <v>20</v>
      </c>
      <c r="D608" s="12" t="n">
        <v>17</v>
      </c>
      <c r="E608" s="13" t="n">
        <v>681.83</v>
      </c>
      <c r="F608" s="13" t="n">
        <v>-2.99</v>
      </c>
      <c r="G608" s="13" t="n">
        <v>-112.98</v>
      </c>
      <c r="H608" s="14" t="n">
        <f aca="false">E608+F608+G608</f>
        <v>565.86</v>
      </c>
      <c r="I608" s="15" t="n">
        <f aca="false">IF($H$1182=0,0,H608/$H$1182)</f>
        <v>4.6874958373685E-005</v>
      </c>
      <c r="J608" s="16" t="n">
        <f aca="false">IF(C608&lt;=0,0,H608/C608)</f>
        <v>28.293</v>
      </c>
    </row>
    <row r="609" customFormat="false" ht="15" hidden="false" customHeight="true" outlineLevel="0" collapsed="false">
      <c r="A609" s="5" t="n">
        <v>605</v>
      </c>
      <c r="B609" s="5" t="s">
        <v>616</v>
      </c>
      <c r="C609" s="6" t="n">
        <v>20</v>
      </c>
      <c r="D609" s="6" t="n">
        <v>21</v>
      </c>
      <c r="E609" s="7" t="n">
        <v>426.75</v>
      </c>
      <c r="F609" s="7" t="n">
        <v>-3.69</v>
      </c>
      <c r="G609" s="7" t="n">
        <v>-97.9</v>
      </c>
      <c r="H609" s="8" t="n">
        <f aca="false">E609+F609+G609</f>
        <v>325.16</v>
      </c>
      <c r="I609" s="9" t="n">
        <f aca="false">IF($H$1182=0,0,H609/$H$1182)</f>
        <v>2.69357464121645E-005</v>
      </c>
      <c r="J609" s="10" t="n">
        <f aca="false">IF(C609&lt;=0,0,H609/C609)</f>
        <v>16.258</v>
      </c>
    </row>
    <row r="610" customFormat="false" ht="15" hidden="false" customHeight="true" outlineLevel="0" collapsed="false">
      <c r="A610" s="11" t="n">
        <v>606</v>
      </c>
      <c r="B610" s="11" t="s">
        <v>617</v>
      </c>
      <c r="C610" s="12" t="n">
        <v>19</v>
      </c>
      <c r="D610" s="12" t="n">
        <v>12</v>
      </c>
      <c r="E610" s="13" t="n">
        <v>13034</v>
      </c>
      <c r="F610" s="13" t="n">
        <v>0</v>
      </c>
      <c r="G610" s="13" t="n">
        <v>0</v>
      </c>
      <c r="H610" s="14" t="n">
        <f aca="false">E610+F610+G610</f>
        <v>13034</v>
      </c>
      <c r="I610" s="15" t="n">
        <f aca="false">IF($H$1182=0,0,H610/$H$1182)</f>
        <v>0.00107971619736792</v>
      </c>
      <c r="J610" s="16" t="n">
        <f aca="false">IF(C610&lt;=0,0,H610/C610)</f>
        <v>686</v>
      </c>
    </row>
    <row r="611" customFormat="false" ht="15" hidden="false" customHeight="true" outlineLevel="0" collapsed="false">
      <c r="A611" s="5" t="n">
        <v>607</v>
      </c>
      <c r="B611" s="5" t="s">
        <v>618</v>
      </c>
      <c r="C611" s="6" t="n">
        <v>19</v>
      </c>
      <c r="D611" s="6" t="n">
        <v>16</v>
      </c>
      <c r="E611" s="7" t="n">
        <v>10499.79</v>
      </c>
      <c r="F611" s="7" t="n">
        <v>-155.29</v>
      </c>
      <c r="G611" s="7" t="n">
        <v>-999.98</v>
      </c>
      <c r="H611" s="8" t="n">
        <f aca="false">E611+F611+G611</f>
        <v>9344.52</v>
      </c>
      <c r="I611" s="9" t="n">
        <f aca="false">IF($H$1182=0,0,H611/$H$1182)</f>
        <v>0.000774085438133226</v>
      </c>
      <c r="J611" s="10" t="n">
        <f aca="false">IF(C611&lt;=0,0,H611/C611)</f>
        <v>491.816842105263</v>
      </c>
    </row>
    <row r="612" customFormat="false" ht="15" hidden="false" customHeight="true" outlineLevel="0" collapsed="false">
      <c r="A612" s="11" t="n">
        <v>608</v>
      </c>
      <c r="B612" s="11" t="s">
        <v>619</v>
      </c>
      <c r="C612" s="12" t="n">
        <v>19</v>
      </c>
      <c r="D612" s="12" t="n">
        <v>15</v>
      </c>
      <c r="E612" s="13" t="n">
        <v>8911</v>
      </c>
      <c r="F612" s="13" t="n">
        <v>-281.4</v>
      </c>
      <c r="G612" s="13" t="n">
        <v>0</v>
      </c>
      <c r="H612" s="14" t="n">
        <f aca="false">E612+F612+G612</f>
        <v>8629.6</v>
      </c>
      <c r="I612" s="15" t="n">
        <f aca="false">IF($H$1182=0,0,H612/$H$1182)</f>
        <v>0.000714862582231563</v>
      </c>
      <c r="J612" s="16" t="n">
        <f aca="false">IF(C612&lt;=0,0,H612/C612)</f>
        <v>454.189473684211</v>
      </c>
    </row>
    <row r="613" customFormat="false" ht="15" hidden="false" customHeight="true" outlineLevel="0" collapsed="false">
      <c r="A613" s="5" t="n">
        <v>609</v>
      </c>
      <c r="B613" s="5" t="s">
        <v>620</v>
      </c>
      <c r="C613" s="6" t="n">
        <v>19</v>
      </c>
      <c r="D613" s="6" t="n">
        <v>15</v>
      </c>
      <c r="E613" s="7" t="n">
        <v>7011</v>
      </c>
      <c r="F613" s="7" t="n">
        <v>-0.4</v>
      </c>
      <c r="G613" s="7" t="n">
        <v>-349</v>
      </c>
      <c r="H613" s="8" t="n">
        <f aca="false">E613+F613+G613</f>
        <v>6661.6</v>
      </c>
      <c r="I613" s="9" t="n">
        <f aca="false">IF($H$1182=0,0,H613/$H$1182)</f>
        <v>0.000551836536779663</v>
      </c>
      <c r="J613" s="10" t="n">
        <f aca="false">IF(C613&lt;=0,0,H613/C613)</f>
        <v>350.61052631579</v>
      </c>
    </row>
    <row r="614" customFormat="false" ht="15" hidden="false" customHeight="true" outlineLevel="0" collapsed="false">
      <c r="A614" s="11" t="n">
        <v>610</v>
      </c>
      <c r="B614" s="11" t="s">
        <v>621</v>
      </c>
      <c r="C614" s="12" t="n">
        <v>19</v>
      </c>
      <c r="D614" s="12" t="n">
        <v>12</v>
      </c>
      <c r="E614" s="13" t="n">
        <v>6289.81</v>
      </c>
      <c r="F614" s="13" t="n">
        <v>-281.23</v>
      </c>
      <c r="G614" s="13" t="n">
        <v>0</v>
      </c>
      <c r="H614" s="14" t="n">
        <f aca="false">E614+F614+G614</f>
        <v>6008.58</v>
      </c>
      <c r="I614" s="15" t="n">
        <f aca="false">IF($H$1182=0,0,H614/$H$1182)</f>
        <v>0.000497741380173464</v>
      </c>
      <c r="J614" s="16" t="n">
        <f aca="false">IF(C614&lt;=0,0,H614/C614)</f>
        <v>316.241052631579</v>
      </c>
    </row>
    <row r="615" customFormat="false" ht="15" hidden="false" customHeight="true" outlineLevel="0" collapsed="false">
      <c r="A615" s="5" t="n">
        <v>611</v>
      </c>
      <c r="B615" s="5" t="s">
        <v>622</v>
      </c>
      <c r="C615" s="6" t="n">
        <v>19</v>
      </c>
      <c r="D615" s="6" t="n">
        <v>9</v>
      </c>
      <c r="E615" s="7" t="n">
        <v>5532.81</v>
      </c>
      <c r="F615" s="7" t="n">
        <v>0</v>
      </c>
      <c r="G615" s="7" t="n">
        <v>-999.96</v>
      </c>
      <c r="H615" s="8" t="n">
        <f aca="false">E615+F615+G615</f>
        <v>4532.85</v>
      </c>
      <c r="I615" s="9" t="n">
        <f aca="false">IF($H$1182=0,0,H615/$H$1182)</f>
        <v>0.000375494212462726</v>
      </c>
      <c r="J615" s="10" t="n">
        <f aca="false">IF(C615&lt;=0,0,H615/C615)</f>
        <v>238.571052631579</v>
      </c>
    </row>
    <row r="616" customFormat="false" ht="15" hidden="false" customHeight="true" outlineLevel="0" collapsed="false">
      <c r="A616" s="11" t="n">
        <v>612</v>
      </c>
      <c r="B616" s="11" t="s">
        <v>623</v>
      </c>
      <c r="C616" s="12" t="n">
        <v>19</v>
      </c>
      <c r="D616" s="12" t="n">
        <v>7</v>
      </c>
      <c r="E616" s="13" t="n">
        <v>3389.81</v>
      </c>
      <c r="F616" s="13" t="n">
        <v>0</v>
      </c>
      <c r="G616" s="13" t="n">
        <v>0</v>
      </c>
      <c r="H616" s="14" t="n">
        <f aca="false">E616+F616+G616</f>
        <v>3389.81</v>
      </c>
      <c r="I616" s="15" t="n">
        <f aca="false">IF($H$1182=0,0,H616/$H$1182)</f>
        <v>0.000280806564600257</v>
      </c>
      <c r="J616" s="16" t="n">
        <f aca="false">IF(C616&lt;=0,0,H616/C616)</f>
        <v>178.411052631579</v>
      </c>
    </row>
    <row r="617" customFormat="false" ht="15" hidden="false" customHeight="true" outlineLevel="0" collapsed="false">
      <c r="A617" s="5" t="n">
        <v>613</v>
      </c>
      <c r="B617" s="5" t="s">
        <v>624</v>
      </c>
      <c r="C617" s="6" t="n">
        <v>19</v>
      </c>
      <c r="D617" s="6" t="n">
        <v>18</v>
      </c>
      <c r="E617" s="7" t="n">
        <v>3020.56</v>
      </c>
      <c r="F617" s="7" t="n">
        <v>-29.37</v>
      </c>
      <c r="G617" s="7" t="n">
        <v>-149.99</v>
      </c>
      <c r="H617" s="8" t="n">
        <f aca="false">E617+F617+G617</f>
        <v>2841.2</v>
      </c>
      <c r="I617" s="9" t="n">
        <f aca="false">IF($H$1182=0,0,H617/$H$1182)</f>
        <v>0.000235360569277408</v>
      </c>
      <c r="J617" s="10" t="n">
        <f aca="false">IF(C617&lt;=0,0,H617/C617)</f>
        <v>149.536842105263</v>
      </c>
    </row>
    <row r="618" customFormat="false" ht="15" hidden="false" customHeight="true" outlineLevel="0" collapsed="false">
      <c r="A618" s="11" t="n">
        <v>614</v>
      </c>
      <c r="B618" s="11" t="s">
        <v>625</v>
      </c>
      <c r="C618" s="12" t="n">
        <v>19</v>
      </c>
      <c r="D618" s="12" t="n">
        <v>20</v>
      </c>
      <c r="E618" s="13" t="n">
        <v>1954.8</v>
      </c>
      <c r="F618" s="13" t="n">
        <v>-28.97</v>
      </c>
      <c r="G618" s="13" t="n">
        <v>-94.99</v>
      </c>
      <c r="H618" s="14" t="n">
        <f aca="false">E618+F618+G618</f>
        <v>1830.84</v>
      </c>
      <c r="I618" s="15" t="n">
        <f aca="false">IF($H$1182=0,0,H618/$H$1182)</f>
        <v>0.000151663925332905</v>
      </c>
      <c r="J618" s="16" t="n">
        <f aca="false">IF(C618&lt;=0,0,H618/C618)</f>
        <v>96.36</v>
      </c>
    </row>
    <row r="619" customFormat="false" ht="15" hidden="false" customHeight="true" outlineLevel="0" collapsed="false">
      <c r="A619" s="5" t="n">
        <v>615</v>
      </c>
      <c r="B619" s="5" t="s">
        <v>626</v>
      </c>
      <c r="C619" s="6" t="n">
        <v>19</v>
      </c>
      <c r="D619" s="6" t="n">
        <v>16</v>
      </c>
      <c r="E619" s="7" t="n">
        <v>1009.77</v>
      </c>
      <c r="F619" s="7" t="n">
        <v>-13.58</v>
      </c>
      <c r="G619" s="7" t="n">
        <v>-179.96</v>
      </c>
      <c r="H619" s="8" t="n">
        <f aca="false">E619+F619+G619</f>
        <v>816.23</v>
      </c>
      <c r="I619" s="9" t="n">
        <f aca="false">IF($H$1182=0,0,H619/$H$1182)</f>
        <v>6.7615218028051E-005</v>
      </c>
      <c r="J619" s="10" t="n">
        <f aca="false">IF(C619&lt;=0,0,H619/C619)</f>
        <v>42.9594736842105</v>
      </c>
    </row>
    <row r="620" customFormat="false" ht="15" hidden="false" customHeight="true" outlineLevel="0" collapsed="false">
      <c r="A620" s="11" t="n">
        <v>616</v>
      </c>
      <c r="B620" s="11" t="s">
        <v>627</v>
      </c>
      <c r="C620" s="12" t="n">
        <v>19</v>
      </c>
      <c r="D620" s="12" t="n">
        <v>17</v>
      </c>
      <c r="E620" s="13" t="n">
        <v>549.78</v>
      </c>
      <c r="F620" s="13" t="n">
        <v>-9.96</v>
      </c>
      <c r="G620" s="13" t="n">
        <v>-74.97</v>
      </c>
      <c r="H620" s="14" t="n">
        <f aca="false">E620+F620+G620</f>
        <v>464.85</v>
      </c>
      <c r="I620" s="15" t="n">
        <f aca="false">IF($H$1182=0,0,H620/$H$1182)</f>
        <v>3.85074477786157E-005</v>
      </c>
      <c r="J620" s="16" t="n">
        <f aca="false">IF(C620&lt;=0,0,H620/C620)</f>
        <v>24.4657894736842</v>
      </c>
    </row>
    <row r="621" customFormat="false" ht="15" hidden="false" customHeight="true" outlineLevel="0" collapsed="false">
      <c r="A621" s="5" t="n">
        <v>617</v>
      </c>
      <c r="B621" s="5" t="s">
        <v>628</v>
      </c>
      <c r="C621" s="6" t="n">
        <v>18</v>
      </c>
      <c r="D621" s="6" t="n">
        <v>17</v>
      </c>
      <c r="E621" s="7" t="n">
        <v>26820</v>
      </c>
      <c r="F621" s="7" t="n">
        <v>-149</v>
      </c>
      <c r="G621" s="7" t="n">
        <v>0</v>
      </c>
      <c r="H621" s="8" t="n">
        <f aca="false">E621+F621+G621</f>
        <v>26671</v>
      </c>
      <c r="I621" s="9" t="n">
        <f aca="false">IF($H$1182=0,0,H621/$H$1182)</f>
        <v>0.0022093839726868</v>
      </c>
      <c r="J621" s="10" t="n">
        <f aca="false">IF(C621&lt;=0,0,H621/C621)</f>
        <v>1481.72222222222</v>
      </c>
    </row>
    <row r="622" customFormat="false" ht="15" hidden="false" customHeight="true" outlineLevel="0" collapsed="false">
      <c r="A622" s="11" t="n">
        <v>618</v>
      </c>
      <c r="B622" s="11" t="s">
        <v>629</v>
      </c>
      <c r="C622" s="12" t="n">
        <v>18</v>
      </c>
      <c r="D622" s="12" t="n">
        <v>17</v>
      </c>
      <c r="E622" s="13" t="n">
        <v>12009.79</v>
      </c>
      <c r="F622" s="13" t="n">
        <v>-115.48</v>
      </c>
      <c r="G622" s="13" t="n">
        <v>-1714.97</v>
      </c>
      <c r="H622" s="14" t="n">
        <f aca="false">E622+F622+G622</f>
        <v>10179.34</v>
      </c>
      <c r="I622" s="15" t="n">
        <f aca="false">IF($H$1182=0,0,H622/$H$1182)</f>
        <v>0.000843240622718671</v>
      </c>
      <c r="J622" s="16" t="n">
        <f aca="false">IF(C622&lt;=0,0,H622/C622)</f>
        <v>565.518888888889</v>
      </c>
    </row>
    <row r="623" customFormat="false" ht="15" hidden="false" customHeight="true" outlineLevel="0" collapsed="false">
      <c r="A623" s="5" t="n">
        <v>619</v>
      </c>
      <c r="B623" s="5" t="s">
        <v>630</v>
      </c>
      <c r="C623" s="6" t="n">
        <v>18</v>
      </c>
      <c r="D623" s="6" t="n">
        <v>20</v>
      </c>
      <c r="E623" s="7" t="n">
        <v>11358</v>
      </c>
      <c r="F623" s="7" t="n">
        <v>-44.4</v>
      </c>
      <c r="G623" s="7" t="n">
        <v>-1826</v>
      </c>
      <c r="H623" s="8" t="n">
        <f aca="false">E623+F623+G623</f>
        <v>9487.6</v>
      </c>
      <c r="I623" s="9" t="n">
        <f aca="false">IF($H$1182=0,0,H623/$H$1182)</f>
        <v>0.000785937961803581</v>
      </c>
      <c r="J623" s="10" t="n">
        <f aca="false">IF(C623&lt;=0,0,H623/C623)</f>
        <v>527.088888888889</v>
      </c>
    </row>
    <row r="624" customFormat="false" ht="15" hidden="false" customHeight="true" outlineLevel="0" collapsed="false">
      <c r="A624" s="11" t="n">
        <v>620</v>
      </c>
      <c r="B624" s="11" t="s">
        <v>631</v>
      </c>
      <c r="C624" s="12" t="n">
        <v>18</v>
      </c>
      <c r="D624" s="12" t="n">
        <v>14</v>
      </c>
      <c r="E624" s="13" t="n">
        <v>6665.5</v>
      </c>
      <c r="F624" s="13" t="n">
        <v>-68.9</v>
      </c>
      <c r="G624" s="13" t="n">
        <v>-370</v>
      </c>
      <c r="H624" s="14" t="n">
        <f aca="false">E624+F624+G624</f>
        <v>6226.6</v>
      </c>
      <c r="I624" s="15" t="n">
        <f aca="false">IF($H$1182=0,0,H624/$H$1182)</f>
        <v>0.000515801816367277</v>
      </c>
      <c r="J624" s="16" t="n">
        <f aca="false">IF(C624&lt;=0,0,H624/C624)</f>
        <v>345.922222222222</v>
      </c>
    </row>
    <row r="625" customFormat="false" ht="15" hidden="false" customHeight="true" outlineLevel="0" collapsed="false">
      <c r="A625" s="5" t="n">
        <v>621</v>
      </c>
      <c r="B625" s="5" t="s">
        <v>632</v>
      </c>
      <c r="C625" s="6" t="n">
        <v>18</v>
      </c>
      <c r="D625" s="6" t="n">
        <v>18</v>
      </c>
      <c r="E625" s="7" t="n">
        <v>6493.29</v>
      </c>
      <c r="F625" s="7" t="n">
        <v>-39.9</v>
      </c>
      <c r="G625" s="7" t="n">
        <v>-399</v>
      </c>
      <c r="H625" s="8" t="n">
        <f aca="false">E625+F625+G625</f>
        <v>6054.39</v>
      </c>
      <c r="I625" s="9" t="n">
        <f aca="false">IF($H$1182=0,0,H625/$H$1182)</f>
        <v>0.000501536209005858</v>
      </c>
      <c r="J625" s="10" t="n">
        <f aca="false">IF(C625&lt;=0,0,H625/C625)</f>
        <v>336.355</v>
      </c>
    </row>
    <row r="626" customFormat="false" ht="15" hidden="false" customHeight="true" outlineLevel="0" collapsed="false">
      <c r="A626" s="11" t="n">
        <v>622</v>
      </c>
      <c r="B626" s="11" t="s">
        <v>633</v>
      </c>
      <c r="C626" s="12" t="n">
        <v>18</v>
      </c>
      <c r="D626" s="12" t="n">
        <v>19</v>
      </c>
      <c r="E626" s="13" t="n">
        <v>6239.85</v>
      </c>
      <c r="F626" s="13" t="n">
        <v>-31.99</v>
      </c>
      <c r="G626" s="13" t="n">
        <v>-319.99</v>
      </c>
      <c r="H626" s="14" t="n">
        <f aca="false">E626+F626+G626</f>
        <v>5887.87</v>
      </c>
      <c r="I626" s="15" t="n">
        <f aca="false">IF($H$1182=0,0,H626/$H$1182)</f>
        <v>0.000487741952355121</v>
      </c>
      <c r="J626" s="16" t="n">
        <f aca="false">IF(C626&lt;=0,0,H626/C626)</f>
        <v>327.103888888889</v>
      </c>
    </row>
    <row r="627" customFormat="false" ht="15" hidden="false" customHeight="true" outlineLevel="0" collapsed="false">
      <c r="A627" s="5" t="n">
        <v>623</v>
      </c>
      <c r="B627" s="5" t="s">
        <v>634</v>
      </c>
      <c r="C627" s="6" t="n">
        <v>18</v>
      </c>
      <c r="D627" s="6" t="n">
        <v>16</v>
      </c>
      <c r="E627" s="7" t="n">
        <v>5291</v>
      </c>
      <c r="F627" s="7" t="n">
        <v>-45.68</v>
      </c>
      <c r="G627" s="7" t="n">
        <v>-260</v>
      </c>
      <c r="H627" s="8" t="n">
        <f aca="false">E627+F627+G627</f>
        <v>4985.32</v>
      </c>
      <c r="I627" s="9" t="n">
        <f aca="false">IF($H$1182=0,0,H627/$H$1182)</f>
        <v>0.000412976120382249</v>
      </c>
      <c r="J627" s="10" t="n">
        <f aca="false">IF(C627&lt;=0,0,H627/C627)</f>
        <v>276.962222222222</v>
      </c>
    </row>
    <row r="628" customFormat="false" ht="15" hidden="false" customHeight="true" outlineLevel="0" collapsed="false">
      <c r="A628" s="11" t="n">
        <v>624</v>
      </c>
      <c r="B628" s="11" t="s">
        <v>635</v>
      </c>
      <c r="C628" s="12" t="n">
        <v>18</v>
      </c>
      <c r="D628" s="12" t="n">
        <v>8</v>
      </c>
      <c r="E628" s="13" t="n">
        <v>2071</v>
      </c>
      <c r="F628" s="13" t="n">
        <v>-87.2</v>
      </c>
      <c r="G628" s="13" t="n">
        <v>-109</v>
      </c>
      <c r="H628" s="14" t="n">
        <f aca="false">E628+F628+G628</f>
        <v>1874.8</v>
      </c>
      <c r="I628" s="15" t="n">
        <f aca="false">IF($H$1182=0,0,H628/$H$1182)</f>
        <v>0.000155305503055499</v>
      </c>
      <c r="J628" s="16" t="n">
        <f aca="false">IF(C628&lt;=0,0,H628/C628)</f>
        <v>104.155555555556</v>
      </c>
    </row>
    <row r="629" customFormat="false" ht="15" hidden="false" customHeight="true" outlineLevel="0" collapsed="false">
      <c r="A629" s="5" t="n">
        <v>625</v>
      </c>
      <c r="B629" s="5" t="s">
        <v>636</v>
      </c>
      <c r="C629" s="6" t="n">
        <v>18</v>
      </c>
      <c r="D629" s="6" t="n">
        <v>12</v>
      </c>
      <c r="E629" s="7" t="n">
        <v>1890</v>
      </c>
      <c r="F629" s="7" t="n">
        <v>-21</v>
      </c>
      <c r="G629" s="7" t="n">
        <v>0</v>
      </c>
      <c r="H629" s="8" t="n">
        <f aca="false">E629+F629+G629</f>
        <v>1869</v>
      </c>
      <c r="I629" s="9" t="n">
        <f aca="false">IF($H$1182=0,0,H629/$H$1182)</f>
        <v>0.000154825040116667</v>
      </c>
      <c r="J629" s="10" t="n">
        <f aca="false">IF(C629&lt;=0,0,H629/C629)</f>
        <v>103.833333333333</v>
      </c>
    </row>
    <row r="630" customFormat="false" ht="15" hidden="false" customHeight="true" outlineLevel="0" collapsed="false">
      <c r="A630" s="11" t="n">
        <v>626</v>
      </c>
      <c r="B630" s="11" t="s">
        <v>637</v>
      </c>
      <c r="C630" s="12" t="n">
        <v>18</v>
      </c>
      <c r="D630" s="12" t="n">
        <v>15</v>
      </c>
      <c r="E630" s="13" t="n">
        <v>1029.79</v>
      </c>
      <c r="F630" s="13" t="n">
        <v>0</v>
      </c>
      <c r="G630" s="13" t="n">
        <v>-119.97</v>
      </c>
      <c r="H630" s="14" t="n">
        <f aca="false">E630+F630+G630</f>
        <v>909.82</v>
      </c>
      <c r="I630" s="15" t="n">
        <f aca="false">IF($H$1182=0,0,H630/$H$1182)</f>
        <v>7.53680674151665E-005</v>
      </c>
      <c r="J630" s="16" t="n">
        <f aca="false">IF(C630&lt;=0,0,H630/C630)</f>
        <v>50.5455555555556</v>
      </c>
    </row>
    <row r="631" customFormat="false" ht="15" hidden="false" customHeight="true" outlineLevel="0" collapsed="false">
      <c r="A631" s="5" t="n">
        <v>627</v>
      </c>
      <c r="B631" s="5" t="s">
        <v>638</v>
      </c>
      <c r="C631" s="6" t="n">
        <v>18</v>
      </c>
      <c r="D631" s="6" t="n">
        <v>15</v>
      </c>
      <c r="E631" s="7" t="n">
        <v>788.19</v>
      </c>
      <c r="F631" s="7" t="n">
        <v>-0.65</v>
      </c>
      <c r="G631" s="7" t="n">
        <v>-77.35</v>
      </c>
      <c r="H631" s="8" t="n">
        <f aca="false">E631+F631+G631</f>
        <v>710.19</v>
      </c>
      <c r="I631" s="9" t="n">
        <f aca="false">IF($H$1182=0,0,H631/$H$1182)</f>
        <v>5.88310300912017E-005</v>
      </c>
      <c r="J631" s="10" t="n">
        <f aca="false">IF(C631&lt;=0,0,H631/C631)</f>
        <v>39.455</v>
      </c>
    </row>
    <row r="632" customFormat="false" ht="15" hidden="false" customHeight="true" outlineLevel="0" collapsed="false">
      <c r="A632" s="11" t="n">
        <v>628</v>
      </c>
      <c r="B632" s="11" t="s">
        <v>639</v>
      </c>
      <c r="C632" s="12" t="n">
        <v>18</v>
      </c>
      <c r="D632" s="12" t="n">
        <v>12</v>
      </c>
      <c r="E632" s="13" t="n">
        <v>459.76</v>
      </c>
      <c r="F632" s="13" t="n">
        <v>-1.71</v>
      </c>
      <c r="G632" s="13" t="n">
        <v>-32.26</v>
      </c>
      <c r="H632" s="14" t="n">
        <f aca="false">E632+F632+G632</f>
        <v>425.79</v>
      </c>
      <c r="I632" s="15" t="n">
        <f aca="false">IF($H$1182=0,0,H632/$H$1182)</f>
        <v>3.52717784008966E-005</v>
      </c>
      <c r="J632" s="16" t="n">
        <f aca="false">IF(C632&lt;=0,0,H632/C632)</f>
        <v>23.655</v>
      </c>
    </row>
    <row r="633" customFormat="false" ht="15" hidden="false" customHeight="true" outlineLevel="0" collapsed="false">
      <c r="A633" s="5" t="n">
        <v>629</v>
      </c>
      <c r="B633" s="5" t="s">
        <v>640</v>
      </c>
      <c r="C633" s="6" t="n">
        <v>17</v>
      </c>
      <c r="D633" s="6" t="n">
        <v>20</v>
      </c>
      <c r="E633" s="7" t="n">
        <v>37000</v>
      </c>
      <c r="F633" s="7" t="n">
        <v>-370</v>
      </c>
      <c r="G633" s="7" t="n">
        <v>-5550</v>
      </c>
      <c r="H633" s="8" t="n">
        <f aca="false">E633+F633+G633</f>
        <v>31080</v>
      </c>
      <c r="I633" s="9" t="n">
        <f aca="false">IF($H$1182=0,0,H633/$H$1182)</f>
        <v>0.00257461864463671</v>
      </c>
      <c r="J633" s="10" t="n">
        <f aca="false">IF(C633&lt;=0,0,H633/C633)</f>
        <v>1828.23529411765</v>
      </c>
    </row>
    <row r="634" customFormat="false" ht="15" hidden="false" customHeight="true" outlineLevel="0" collapsed="false">
      <c r="A634" s="11" t="n">
        <v>630</v>
      </c>
      <c r="B634" s="11" t="s">
        <v>641</v>
      </c>
      <c r="C634" s="12" t="n">
        <v>17</v>
      </c>
      <c r="D634" s="12" t="n">
        <v>18</v>
      </c>
      <c r="E634" s="13" t="n">
        <v>12668.65</v>
      </c>
      <c r="F634" s="13" t="n">
        <v>0</v>
      </c>
      <c r="G634" s="13" t="n">
        <v>-1917.5</v>
      </c>
      <c r="H634" s="14" t="n">
        <f aca="false">E634+F634+G634</f>
        <v>10751.15</v>
      </c>
      <c r="I634" s="15" t="n">
        <f aca="false">IF($H$1182=0,0,H634/$H$1182)</f>
        <v>0.000890608469796847</v>
      </c>
      <c r="J634" s="16" t="n">
        <f aca="false">IF(C634&lt;=0,0,H634/C634)</f>
        <v>632.420588235294</v>
      </c>
    </row>
    <row r="635" customFormat="false" ht="15" hidden="false" customHeight="true" outlineLevel="0" collapsed="false">
      <c r="A635" s="5" t="n">
        <v>631</v>
      </c>
      <c r="B635" s="5" t="s">
        <v>642</v>
      </c>
      <c r="C635" s="6" t="n">
        <v>17</v>
      </c>
      <c r="D635" s="6" t="n">
        <v>17</v>
      </c>
      <c r="E635" s="7" t="n">
        <v>12328.96</v>
      </c>
      <c r="F635" s="7" t="n">
        <v>0</v>
      </c>
      <c r="G635" s="7" t="n">
        <v>-1580.74</v>
      </c>
      <c r="H635" s="8" t="n">
        <f aca="false">E635+F635+G635</f>
        <v>10748.22</v>
      </c>
      <c r="I635" s="9" t="n">
        <f aca="false">IF($H$1182=0,0,H635/$H$1182)</f>
        <v>0.000890365753174299</v>
      </c>
      <c r="J635" s="10" t="n">
        <f aca="false">IF(C635&lt;=0,0,H635/C635)</f>
        <v>632.248235294118</v>
      </c>
    </row>
    <row r="636" customFormat="false" ht="15" hidden="false" customHeight="true" outlineLevel="0" collapsed="false">
      <c r="A636" s="11" t="n">
        <v>632</v>
      </c>
      <c r="B636" s="11" t="s">
        <v>643</v>
      </c>
      <c r="C636" s="12" t="n">
        <v>17</v>
      </c>
      <c r="D636" s="12" t="n">
        <v>18</v>
      </c>
      <c r="E636" s="13" t="n">
        <v>9997.68</v>
      </c>
      <c r="F636" s="13" t="n">
        <v>0</v>
      </c>
      <c r="G636" s="13" t="n">
        <v>-541</v>
      </c>
      <c r="H636" s="14" t="n">
        <f aca="false">E636+F636+G636</f>
        <v>9456.68</v>
      </c>
      <c r="I636" s="15" t="n">
        <f aca="false">IF($H$1182=0,0,H636/$H$1182)</f>
        <v>0.000783376597308981</v>
      </c>
      <c r="J636" s="16" t="n">
        <f aca="false">IF(C636&lt;=0,0,H636/C636)</f>
        <v>556.275294117647</v>
      </c>
    </row>
    <row r="637" customFormat="false" ht="15" hidden="false" customHeight="true" outlineLevel="0" collapsed="false">
      <c r="A637" s="5" t="n">
        <v>633</v>
      </c>
      <c r="B637" s="5" t="s">
        <v>644</v>
      </c>
      <c r="C637" s="6" t="n">
        <v>17</v>
      </c>
      <c r="D637" s="6" t="n">
        <v>16</v>
      </c>
      <c r="E637" s="7" t="n">
        <v>6790</v>
      </c>
      <c r="F637" s="7" t="n">
        <v>-197.96</v>
      </c>
      <c r="G637" s="7" t="n">
        <v>0</v>
      </c>
      <c r="H637" s="8" t="n">
        <f aca="false">E637+F637+G637</f>
        <v>6592.04</v>
      </c>
      <c r="I637" s="9" t="n">
        <f aca="false">IF($H$1182=0,0,H637/$H$1182)</f>
        <v>0.000546074295051191</v>
      </c>
      <c r="J637" s="10" t="n">
        <f aca="false">IF(C637&lt;=0,0,H637/C637)</f>
        <v>387.767058823529</v>
      </c>
    </row>
    <row r="638" customFormat="false" ht="15" hidden="false" customHeight="true" outlineLevel="0" collapsed="false">
      <c r="A638" s="11" t="n">
        <v>634</v>
      </c>
      <c r="B638" s="11" t="s">
        <v>645</v>
      </c>
      <c r="C638" s="12" t="n">
        <v>17</v>
      </c>
      <c r="D638" s="12" t="n">
        <v>14</v>
      </c>
      <c r="E638" s="13" t="n">
        <v>6642</v>
      </c>
      <c r="F638" s="13" t="n">
        <v>-36.89</v>
      </c>
      <c r="G638" s="13" t="n">
        <v>-369</v>
      </c>
      <c r="H638" s="14" t="n">
        <f aca="false">E638+F638+G638</f>
        <v>6236.11</v>
      </c>
      <c r="I638" s="15" t="n">
        <f aca="false">IF($H$1182=0,0,H638/$H$1182)</f>
        <v>0.000516589609910086</v>
      </c>
      <c r="J638" s="16" t="n">
        <f aca="false">IF(C638&lt;=0,0,H638/C638)</f>
        <v>366.83</v>
      </c>
    </row>
    <row r="639" customFormat="false" ht="15" hidden="false" customHeight="true" outlineLevel="0" collapsed="false">
      <c r="A639" s="5" t="n">
        <v>635</v>
      </c>
      <c r="B639" s="5" t="s">
        <v>646</v>
      </c>
      <c r="C639" s="6" t="n">
        <v>17</v>
      </c>
      <c r="D639" s="6" t="n">
        <v>10</v>
      </c>
      <c r="E639" s="7" t="n">
        <v>5665.64</v>
      </c>
      <c r="F639" s="7" t="n">
        <v>-85.02</v>
      </c>
      <c r="G639" s="7" t="n">
        <v>-283.47</v>
      </c>
      <c r="H639" s="8" t="n">
        <f aca="false">E639+F639+G639</f>
        <v>5297.15</v>
      </c>
      <c r="I639" s="9" t="n">
        <f aca="false">IF($H$1182=0,0,H639/$H$1182)</f>
        <v>0.000438807630419478</v>
      </c>
      <c r="J639" s="10" t="n">
        <f aca="false">IF(C639&lt;=0,0,H639/C639)</f>
        <v>311.597058823529</v>
      </c>
    </row>
    <row r="640" customFormat="false" ht="15" hidden="false" customHeight="true" outlineLevel="0" collapsed="false">
      <c r="A640" s="11" t="n">
        <v>636</v>
      </c>
      <c r="B640" s="11" t="s">
        <v>647</v>
      </c>
      <c r="C640" s="12" t="n">
        <v>17</v>
      </c>
      <c r="D640" s="12" t="n">
        <v>16</v>
      </c>
      <c r="E640" s="13" t="n">
        <v>5249.79</v>
      </c>
      <c r="F640" s="13" t="n">
        <v>0</v>
      </c>
      <c r="G640" s="13" t="n">
        <v>-999.96</v>
      </c>
      <c r="H640" s="14" t="n">
        <f aca="false">E640+F640+G640</f>
        <v>4249.83</v>
      </c>
      <c r="I640" s="15" t="n">
        <f aca="false">IF($H$1182=0,0,H640/$H$1182)</f>
        <v>0.000352049277816488</v>
      </c>
      <c r="J640" s="16" t="n">
        <f aca="false">IF(C640&lt;=0,0,H640/C640)</f>
        <v>249.99</v>
      </c>
    </row>
    <row r="641" customFormat="false" ht="15" hidden="false" customHeight="true" outlineLevel="0" collapsed="false">
      <c r="A641" s="5" t="n">
        <v>637</v>
      </c>
      <c r="B641" s="5" t="s">
        <v>648</v>
      </c>
      <c r="C641" s="6" t="n">
        <v>17</v>
      </c>
      <c r="D641" s="6" t="n">
        <v>19</v>
      </c>
      <c r="E641" s="7" t="n">
        <v>4799.8</v>
      </c>
      <c r="F641" s="7" t="n">
        <v>0</v>
      </c>
      <c r="G641" s="7" t="n">
        <v>-719.97</v>
      </c>
      <c r="H641" s="8" t="n">
        <f aca="false">E641+F641+G641</f>
        <v>4079.83</v>
      </c>
      <c r="I641" s="9" t="n">
        <f aca="false">IF($H$1182=0,0,H641/$H$1182)</f>
        <v>0.000337966743402452</v>
      </c>
      <c r="J641" s="10" t="n">
        <f aca="false">IF(C641&lt;=0,0,H641/C641)</f>
        <v>239.99</v>
      </c>
    </row>
    <row r="642" customFormat="false" ht="15" hidden="false" customHeight="true" outlineLevel="0" collapsed="false">
      <c r="A642" s="11" t="n">
        <v>638</v>
      </c>
      <c r="B642" s="11" t="s">
        <v>649</v>
      </c>
      <c r="C642" s="12" t="n">
        <v>17</v>
      </c>
      <c r="D642" s="12" t="n">
        <v>19</v>
      </c>
      <c r="E642" s="13" t="n">
        <v>3727</v>
      </c>
      <c r="F642" s="13" t="n">
        <v>-14.9</v>
      </c>
      <c r="G642" s="13" t="n">
        <v>-739</v>
      </c>
      <c r="H642" s="14" t="n">
        <f aca="false">E642+F642+G642</f>
        <v>2973.1</v>
      </c>
      <c r="I642" s="15" t="n">
        <f aca="false">IF($H$1182=0,0,H642/$H$1182)</f>
        <v>0.000246286959213945</v>
      </c>
      <c r="J642" s="16" t="n">
        <f aca="false">IF(C642&lt;=0,0,H642/C642)</f>
        <v>174.888235294118</v>
      </c>
    </row>
    <row r="643" customFormat="false" ht="15" hidden="false" customHeight="true" outlineLevel="0" collapsed="false">
      <c r="A643" s="5" t="n">
        <v>639</v>
      </c>
      <c r="B643" s="5" t="s">
        <v>650</v>
      </c>
      <c r="C643" s="6" t="n">
        <v>17</v>
      </c>
      <c r="D643" s="6" t="n">
        <v>18</v>
      </c>
      <c r="E643" s="7" t="n">
        <v>3109.18</v>
      </c>
      <c r="F643" s="7" t="n">
        <v>-18.72</v>
      </c>
      <c r="G643" s="7" t="n">
        <v>-769.95</v>
      </c>
      <c r="H643" s="8" t="n">
        <f aca="false">E643+F643+G643</f>
        <v>2320.51</v>
      </c>
      <c r="I643" s="9" t="n">
        <f aca="false">IF($H$1182=0,0,H643/$H$1182)</f>
        <v>0.00019222742313597</v>
      </c>
      <c r="J643" s="10" t="n">
        <f aca="false">IF(C643&lt;=0,0,H643/C643)</f>
        <v>136.500588235294</v>
      </c>
    </row>
    <row r="644" customFormat="false" ht="15" hidden="false" customHeight="true" outlineLevel="0" collapsed="false">
      <c r="A644" s="11" t="n">
        <v>640</v>
      </c>
      <c r="B644" s="11" t="s">
        <v>651</v>
      </c>
      <c r="C644" s="12" t="n">
        <v>17</v>
      </c>
      <c r="D644" s="12" t="n">
        <v>13</v>
      </c>
      <c r="E644" s="13" t="n">
        <v>2249.82</v>
      </c>
      <c r="F644" s="13" t="n">
        <v>-24.98</v>
      </c>
      <c r="G644" s="13" t="n">
        <v>-124.99</v>
      </c>
      <c r="H644" s="14" t="n">
        <f aca="false">E644+F644+G644</f>
        <v>2099.85</v>
      </c>
      <c r="I644" s="15" t="n">
        <f aca="false">IF($H$1182=0,0,H644/$H$1182)</f>
        <v>0.000173948293466551</v>
      </c>
      <c r="J644" s="16" t="n">
        <f aca="false">IF(C644&lt;=0,0,H644/C644)</f>
        <v>123.520588235294</v>
      </c>
    </row>
    <row r="645" customFormat="false" ht="15" hidden="false" customHeight="true" outlineLevel="0" collapsed="false">
      <c r="A645" s="5" t="n">
        <v>641</v>
      </c>
      <c r="B645" s="5" t="s">
        <v>652</v>
      </c>
      <c r="C645" s="6" t="n">
        <v>17</v>
      </c>
      <c r="D645" s="6" t="n">
        <v>8</v>
      </c>
      <c r="E645" s="7" t="n">
        <v>1699.83</v>
      </c>
      <c r="F645" s="7" t="n">
        <v>-0.09</v>
      </c>
      <c r="G645" s="7" t="n">
        <v>0</v>
      </c>
      <c r="H645" s="8" t="n">
        <f aca="false">E645+F645+G645</f>
        <v>1699.74</v>
      </c>
      <c r="I645" s="9" t="n">
        <f aca="false">IF($H$1182=0,0,H645/$H$1182)</f>
        <v>0.000140803806146551</v>
      </c>
      <c r="J645" s="10" t="n">
        <f aca="false">IF(C645&lt;=0,0,H645/C645)</f>
        <v>99.9847058823529</v>
      </c>
    </row>
    <row r="646" customFormat="false" ht="15" hidden="false" customHeight="true" outlineLevel="0" collapsed="false">
      <c r="A646" s="11" t="n">
        <v>642</v>
      </c>
      <c r="B646" s="11" t="s">
        <v>653</v>
      </c>
      <c r="C646" s="12" t="n">
        <v>17</v>
      </c>
      <c r="D646" s="12" t="n">
        <v>16</v>
      </c>
      <c r="E646" s="13" t="n">
        <v>1619.87</v>
      </c>
      <c r="F646" s="13" t="n">
        <v>-17.99</v>
      </c>
      <c r="G646" s="13" t="n">
        <v>0</v>
      </c>
      <c r="H646" s="14" t="n">
        <f aca="false">E646+F646+G646</f>
        <v>1601.88</v>
      </c>
      <c r="I646" s="15" t="n">
        <f aca="false">IF($H$1182=0,0,H646/$H$1182)</f>
        <v>0.00013269723663033</v>
      </c>
      <c r="J646" s="16" t="n">
        <f aca="false">IF(C646&lt;=0,0,H646/C646)</f>
        <v>94.2282352941176</v>
      </c>
    </row>
    <row r="647" customFormat="false" ht="15" hidden="false" customHeight="true" outlineLevel="0" collapsed="false">
      <c r="A647" s="5" t="n">
        <v>643</v>
      </c>
      <c r="B647" s="5" t="s">
        <v>654</v>
      </c>
      <c r="C647" s="6" t="n">
        <v>17</v>
      </c>
      <c r="D647" s="6" t="n">
        <v>15</v>
      </c>
      <c r="E647" s="7" t="n">
        <v>1221.3</v>
      </c>
      <c r="F647" s="7" t="n">
        <v>-6.55</v>
      </c>
      <c r="G647" s="7" t="n">
        <v>-65.55</v>
      </c>
      <c r="H647" s="8" t="n">
        <f aca="false">E647+F647+G647</f>
        <v>1149.2</v>
      </c>
      <c r="I647" s="9" t="n">
        <f aca="false">IF($H$1182=0,0,H647/$H$1182)</f>
        <v>9.51979326388839E-005</v>
      </c>
      <c r="J647" s="10" t="n">
        <f aca="false">IF(C647&lt;=0,0,H647/C647)</f>
        <v>67.6</v>
      </c>
    </row>
    <row r="648" customFormat="false" ht="15" hidden="false" customHeight="true" outlineLevel="0" collapsed="false">
      <c r="A648" s="11" t="n">
        <v>644</v>
      </c>
      <c r="B648" s="11" t="s">
        <v>655</v>
      </c>
      <c r="C648" s="12" t="n">
        <v>17</v>
      </c>
      <c r="D648" s="12" t="n">
        <v>11</v>
      </c>
      <c r="E648" s="13" t="n">
        <v>1145.01</v>
      </c>
      <c r="F648" s="13" t="n">
        <v>-37.37</v>
      </c>
      <c r="G648" s="13" t="n">
        <v>-93.47</v>
      </c>
      <c r="H648" s="14" t="n">
        <f aca="false">E648+F648+G648</f>
        <v>1014.17</v>
      </c>
      <c r="I648" s="15" t="n">
        <f aca="false">IF($H$1182=0,0,H648/$H$1182)</f>
        <v>8.40122583922528E-005</v>
      </c>
      <c r="J648" s="16" t="n">
        <f aca="false">IF(C648&lt;=0,0,H648/C648)</f>
        <v>59.6570588235294</v>
      </c>
    </row>
    <row r="649" customFormat="false" ht="15" hidden="false" customHeight="true" outlineLevel="0" collapsed="false">
      <c r="A649" s="5" t="n">
        <v>645</v>
      </c>
      <c r="B649" s="5" t="s">
        <v>656</v>
      </c>
      <c r="C649" s="6" t="n">
        <v>17</v>
      </c>
      <c r="D649" s="6" t="n">
        <v>15</v>
      </c>
      <c r="E649" s="7" t="n">
        <v>564.84</v>
      </c>
      <c r="F649" s="7" t="n">
        <v>-2.25</v>
      </c>
      <c r="G649" s="7" t="n">
        <v>-44.96</v>
      </c>
      <c r="H649" s="8" t="n">
        <f aca="false">E649+F649+G649</f>
        <v>517.63</v>
      </c>
      <c r="I649" s="9" t="n">
        <f aca="false">IF($H$1182=0,0,H649/$H$1182)</f>
        <v>4.28796605219853E-005</v>
      </c>
      <c r="J649" s="10" t="n">
        <f aca="false">IF(C649&lt;=0,0,H649/C649)</f>
        <v>30.4488235294118</v>
      </c>
    </row>
    <row r="650" customFormat="false" ht="15" hidden="false" customHeight="true" outlineLevel="0" collapsed="false">
      <c r="A650" s="11" t="n">
        <v>646</v>
      </c>
      <c r="B650" s="11" t="s">
        <v>657</v>
      </c>
      <c r="C650" s="12" t="n">
        <v>17</v>
      </c>
      <c r="D650" s="12" t="n">
        <v>5</v>
      </c>
      <c r="E650" s="13" t="n">
        <v>255</v>
      </c>
      <c r="F650" s="13" t="n">
        <v>0</v>
      </c>
      <c r="G650" s="13" t="n">
        <v>0</v>
      </c>
      <c r="H650" s="14" t="n">
        <f aca="false">E650+F650+G650</f>
        <v>255</v>
      </c>
      <c r="I650" s="15" t="n">
        <f aca="false">IF($H$1182=0,0,H650/$H$1182)</f>
        <v>2.11238016210541E-005</v>
      </c>
      <c r="J650" s="16" t="n">
        <f aca="false">IF(C650&lt;=0,0,H650/C650)</f>
        <v>15</v>
      </c>
    </row>
    <row r="651" customFormat="false" ht="15" hidden="false" customHeight="true" outlineLevel="0" collapsed="false">
      <c r="A651" s="5" t="n">
        <v>647</v>
      </c>
      <c r="B651" s="5" t="s">
        <v>658</v>
      </c>
      <c r="C651" s="6" t="n">
        <v>17</v>
      </c>
      <c r="D651" s="6" t="n">
        <v>14</v>
      </c>
      <c r="E651" s="7" t="n">
        <v>286.01</v>
      </c>
      <c r="F651" s="7" t="n">
        <v>-2.75</v>
      </c>
      <c r="G651" s="7" t="n">
        <v>-34.39</v>
      </c>
      <c r="H651" s="8" t="n">
        <f aca="false">E651+F651+G651</f>
        <v>248.87</v>
      </c>
      <c r="I651" s="9" t="n">
        <f aca="false">IF($H$1182=0,0,H651/$H$1182)</f>
        <v>2.06160019977715E-005</v>
      </c>
      <c r="J651" s="10" t="n">
        <f aca="false">IF(C651&lt;=0,0,H651/C651)</f>
        <v>14.6394117647059</v>
      </c>
    </row>
    <row r="652" customFormat="false" ht="15" hidden="false" customHeight="true" outlineLevel="0" collapsed="false">
      <c r="A652" s="11" t="n">
        <v>648</v>
      </c>
      <c r="B652" s="11" t="s">
        <v>659</v>
      </c>
      <c r="C652" s="12" t="n">
        <v>17</v>
      </c>
      <c r="D652" s="12" t="n">
        <v>15</v>
      </c>
      <c r="E652" s="13" t="n">
        <v>335.95</v>
      </c>
      <c r="F652" s="13" t="n">
        <v>-1.8</v>
      </c>
      <c r="G652" s="13" t="n">
        <v>-91.98</v>
      </c>
      <c r="H652" s="14" t="n">
        <f aca="false">E652+F652+G652</f>
        <v>242.17</v>
      </c>
      <c r="I652" s="15" t="n">
        <f aca="false">IF($H$1182=0,0,H652/$H$1182)</f>
        <v>2.0060984464983E-005</v>
      </c>
      <c r="J652" s="16" t="n">
        <f aca="false">IF(C652&lt;=0,0,H652/C652)</f>
        <v>14.2452941176471</v>
      </c>
    </row>
    <row r="653" customFormat="false" ht="15" hidden="false" customHeight="true" outlineLevel="0" collapsed="false">
      <c r="A653" s="5" t="n">
        <v>649</v>
      </c>
      <c r="B653" s="5" t="s">
        <v>660</v>
      </c>
      <c r="C653" s="6" t="n">
        <v>17</v>
      </c>
      <c r="D653" s="6" t="n">
        <v>16</v>
      </c>
      <c r="E653" s="7" t="n">
        <v>158.4</v>
      </c>
      <c r="F653" s="7" t="n">
        <v>-0.7</v>
      </c>
      <c r="G653" s="7" t="n">
        <v>-16.05</v>
      </c>
      <c r="H653" s="8" t="n">
        <f aca="false">E653+F653+G653</f>
        <v>141.65</v>
      </c>
      <c r="I653" s="9" t="n">
        <f aca="false">IF($H$1182=0,0,H653/$H$1182)</f>
        <v>1.17340647044012E-005</v>
      </c>
      <c r="J653" s="10" t="n">
        <f aca="false">IF(C653&lt;=0,0,H653/C653)</f>
        <v>8.33235294117647</v>
      </c>
    </row>
    <row r="654" customFormat="false" ht="15" hidden="false" customHeight="true" outlineLevel="0" collapsed="false">
      <c r="A654" s="11" t="n">
        <v>650</v>
      </c>
      <c r="B654" s="11" t="s">
        <v>661</v>
      </c>
      <c r="C654" s="12" t="n">
        <v>16</v>
      </c>
      <c r="D654" s="12" t="n">
        <v>14</v>
      </c>
      <c r="E654" s="13" t="n">
        <v>43200</v>
      </c>
      <c r="F654" s="13" t="n">
        <v>-270</v>
      </c>
      <c r="G654" s="13" t="n">
        <v>0</v>
      </c>
      <c r="H654" s="14" t="n">
        <f aca="false">E654+F654+G654</f>
        <v>42930</v>
      </c>
      <c r="I654" s="15" t="n">
        <f aca="false">IF($H$1182=0,0,H654/$H$1182)</f>
        <v>0.00355625413173276</v>
      </c>
      <c r="J654" s="16" t="n">
        <f aca="false">IF(C654&lt;=0,0,H654/C654)</f>
        <v>2683.125</v>
      </c>
    </row>
    <row r="655" customFormat="false" ht="15" hidden="false" customHeight="true" outlineLevel="0" collapsed="false">
      <c r="A655" s="5" t="n">
        <v>651</v>
      </c>
      <c r="B655" s="5" t="s">
        <v>662</v>
      </c>
      <c r="C655" s="6" t="n">
        <v>16</v>
      </c>
      <c r="D655" s="6" t="n">
        <v>21</v>
      </c>
      <c r="E655" s="7" t="n">
        <v>51621.84</v>
      </c>
      <c r="F655" s="7" t="n">
        <v>-334.95</v>
      </c>
      <c r="G655" s="7" t="n">
        <v>-12528.18</v>
      </c>
      <c r="H655" s="8" t="n">
        <f aca="false">E655+F655+G655</f>
        <v>38758.71</v>
      </c>
      <c r="I655" s="9" t="n">
        <f aca="false">IF($H$1182=0,0,H655/$H$1182)</f>
        <v>0.00321071098481556</v>
      </c>
      <c r="J655" s="10" t="n">
        <f aca="false">IF(C655&lt;=0,0,H655/C655)</f>
        <v>2422.419375</v>
      </c>
    </row>
    <row r="656" customFormat="false" ht="15" hidden="false" customHeight="true" outlineLevel="0" collapsed="false">
      <c r="A656" s="11" t="n">
        <v>652</v>
      </c>
      <c r="B656" s="11" t="s">
        <v>663</v>
      </c>
      <c r="C656" s="12" t="n">
        <v>16</v>
      </c>
      <c r="D656" s="12" t="n">
        <v>16</v>
      </c>
      <c r="E656" s="13" t="n">
        <v>16696</v>
      </c>
      <c r="F656" s="13" t="n">
        <v>-24.44</v>
      </c>
      <c r="G656" s="13" t="n">
        <v>0</v>
      </c>
      <c r="H656" s="14" t="n">
        <f aca="false">E656+F656+G656</f>
        <v>16671.56</v>
      </c>
      <c r="I656" s="15" t="n">
        <f aca="false">IF($H$1182=0,0,H656/$H$1182)</f>
        <v>0.00138104598491569</v>
      </c>
      <c r="J656" s="16" t="n">
        <f aca="false">IF(C656&lt;=0,0,H656/C656)</f>
        <v>1041.9725</v>
      </c>
    </row>
    <row r="657" customFormat="false" ht="15" hidden="false" customHeight="true" outlineLevel="0" collapsed="false">
      <c r="A657" s="5" t="n">
        <v>653</v>
      </c>
      <c r="B657" s="5" t="s">
        <v>664</v>
      </c>
      <c r="C657" s="6" t="n">
        <v>16</v>
      </c>
      <c r="D657" s="6" t="n">
        <v>18</v>
      </c>
      <c r="E657" s="7" t="n">
        <v>16245</v>
      </c>
      <c r="F657" s="7" t="n">
        <v>0</v>
      </c>
      <c r="G657" s="7" t="n">
        <v>-2555</v>
      </c>
      <c r="H657" s="8" t="n">
        <f aca="false">E657+F657+G657</f>
        <v>13690</v>
      </c>
      <c r="I657" s="9" t="n">
        <f aca="false">IF($H$1182=0,0,H657/$H$1182)</f>
        <v>0.00113405821251855</v>
      </c>
      <c r="J657" s="10" t="n">
        <f aca="false">IF(C657&lt;=0,0,H657/C657)</f>
        <v>855.625</v>
      </c>
    </row>
    <row r="658" customFormat="false" ht="15" hidden="false" customHeight="true" outlineLevel="0" collapsed="false">
      <c r="A658" s="11" t="n">
        <v>654</v>
      </c>
      <c r="B658" s="11" t="s">
        <v>665</v>
      </c>
      <c r="C658" s="12" t="n">
        <v>16</v>
      </c>
      <c r="D658" s="12" t="n">
        <v>12</v>
      </c>
      <c r="E658" s="13" t="n">
        <v>12827.94</v>
      </c>
      <c r="F658" s="13" t="n">
        <v>-179.97</v>
      </c>
      <c r="G658" s="13" t="n">
        <v>-1538</v>
      </c>
      <c r="H658" s="14" t="n">
        <f aca="false">E658+F658+G658</f>
        <v>11109.97</v>
      </c>
      <c r="I658" s="15" t="n">
        <f aca="false">IF($H$1182=0,0,H658/$H$1182)</f>
        <v>0.000920332558022991</v>
      </c>
      <c r="J658" s="16" t="n">
        <f aca="false">IF(C658&lt;=0,0,H658/C658)</f>
        <v>694.373125</v>
      </c>
    </row>
    <row r="659" customFormat="false" ht="15" hidden="false" customHeight="true" outlineLevel="0" collapsed="false">
      <c r="A659" s="5" t="n">
        <v>655</v>
      </c>
      <c r="B659" s="5" t="s">
        <v>666</v>
      </c>
      <c r="C659" s="6" t="n">
        <v>16</v>
      </c>
      <c r="D659" s="6" t="n">
        <v>18</v>
      </c>
      <c r="E659" s="7" t="n">
        <v>10799.84</v>
      </c>
      <c r="F659" s="7" t="n">
        <v>-239.99</v>
      </c>
      <c r="G659" s="7" t="n">
        <v>-1799.98</v>
      </c>
      <c r="H659" s="8" t="n">
        <f aca="false">E659+F659+G659</f>
        <v>8759.87</v>
      </c>
      <c r="I659" s="9" t="n">
        <f aca="false">IF($H$1182=0,0,H659/$H$1182)</f>
        <v>0.000725653945514601</v>
      </c>
      <c r="J659" s="10" t="n">
        <f aca="false">IF(C659&lt;=0,0,H659/C659)</f>
        <v>547.491875</v>
      </c>
    </row>
    <row r="660" customFormat="false" ht="15" hidden="false" customHeight="true" outlineLevel="0" collapsed="false">
      <c r="A660" s="11" t="n">
        <v>656</v>
      </c>
      <c r="B660" s="11" t="s">
        <v>667</v>
      </c>
      <c r="C660" s="12" t="n">
        <v>16</v>
      </c>
      <c r="D660" s="12" t="n">
        <v>14</v>
      </c>
      <c r="E660" s="13" t="n">
        <v>8609</v>
      </c>
      <c r="F660" s="13" t="n">
        <v>-101.38</v>
      </c>
      <c r="G660" s="13" t="n">
        <v>0</v>
      </c>
      <c r="H660" s="14" t="n">
        <f aca="false">E660+F660+G660</f>
        <v>8507.62</v>
      </c>
      <c r="I660" s="15" t="n">
        <f aca="false">IF($H$1182=0,0,H660/$H$1182)</f>
        <v>0.000704757949597304</v>
      </c>
      <c r="J660" s="16" t="n">
        <f aca="false">IF(C660&lt;=0,0,H660/C660)</f>
        <v>531.72625</v>
      </c>
    </row>
    <row r="661" customFormat="false" ht="15" hidden="false" customHeight="true" outlineLevel="0" collapsed="false">
      <c r="A661" s="5" t="n">
        <v>657</v>
      </c>
      <c r="B661" s="5" t="s">
        <v>668</v>
      </c>
      <c r="C661" s="6" t="n">
        <v>16</v>
      </c>
      <c r="D661" s="6" t="n">
        <v>15</v>
      </c>
      <c r="E661" s="7" t="n">
        <v>8494.61</v>
      </c>
      <c r="F661" s="7" t="n">
        <v>-160.71</v>
      </c>
      <c r="G661" s="7" t="n">
        <v>0</v>
      </c>
      <c r="H661" s="8" t="n">
        <f aca="false">E661+F661+G661</f>
        <v>8333.9</v>
      </c>
      <c r="I661" s="9" t="n">
        <f aca="false">IF($H$1182=0,0,H661/$H$1182)</f>
        <v>0.000690367256194914</v>
      </c>
      <c r="J661" s="10" t="n">
        <f aca="false">IF(C661&lt;=0,0,H661/C661)</f>
        <v>520.86875</v>
      </c>
    </row>
    <row r="662" customFormat="false" ht="15" hidden="false" customHeight="true" outlineLevel="0" collapsed="false">
      <c r="A662" s="11" t="n">
        <v>658</v>
      </c>
      <c r="B662" s="11" t="s">
        <v>669</v>
      </c>
      <c r="C662" s="12" t="n">
        <v>16</v>
      </c>
      <c r="D662" s="12" t="n">
        <v>12</v>
      </c>
      <c r="E662" s="13" t="n">
        <v>8197.95</v>
      </c>
      <c r="F662" s="13" t="n">
        <v>-53</v>
      </c>
      <c r="G662" s="13" t="n">
        <v>0</v>
      </c>
      <c r="H662" s="14" t="n">
        <f aca="false">E662+F662+G662</f>
        <v>8144.95</v>
      </c>
      <c r="I662" s="15" t="n">
        <f aca="false">IF($H$1182=0,0,H662/$H$1182)</f>
        <v>0.000674714933385901</v>
      </c>
      <c r="J662" s="16" t="n">
        <f aca="false">IF(C662&lt;=0,0,H662/C662)</f>
        <v>509.059375</v>
      </c>
    </row>
    <row r="663" customFormat="false" ht="15" hidden="false" customHeight="true" outlineLevel="0" collapsed="false">
      <c r="A663" s="5" t="n">
        <v>659</v>
      </c>
      <c r="B663" s="5" t="s">
        <v>670</v>
      </c>
      <c r="C663" s="6" t="n">
        <v>16</v>
      </c>
      <c r="D663" s="6" t="n">
        <v>12</v>
      </c>
      <c r="E663" s="7" t="n">
        <v>6459.83</v>
      </c>
      <c r="F663" s="7" t="n">
        <v>-303.93</v>
      </c>
      <c r="G663" s="7" t="n">
        <v>-379.99</v>
      </c>
      <c r="H663" s="8" t="n">
        <f aca="false">E663+F663+G663</f>
        <v>5775.91</v>
      </c>
      <c r="I663" s="9" t="n">
        <f aca="false">IF($H$1182=0,0,H663/$H$1182)</f>
        <v>0.000478467360866913</v>
      </c>
      <c r="J663" s="10" t="n">
        <f aca="false">IF(C663&lt;=0,0,H663/C663)</f>
        <v>360.994375</v>
      </c>
    </row>
    <row r="664" customFormat="false" ht="15" hidden="false" customHeight="true" outlineLevel="0" collapsed="false">
      <c r="A664" s="11" t="n">
        <v>660</v>
      </c>
      <c r="B664" s="11" t="s">
        <v>671</v>
      </c>
      <c r="C664" s="12" t="n">
        <v>16</v>
      </c>
      <c r="D664" s="12" t="n">
        <v>23</v>
      </c>
      <c r="E664" s="13" t="n">
        <v>6213.59</v>
      </c>
      <c r="F664" s="13" t="n">
        <v>-23.19</v>
      </c>
      <c r="G664" s="13" t="n">
        <v>-2231.83</v>
      </c>
      <c r="H664" s="14" t="n">
        <f aca="false">E664+F664+G664</f>
        <v>3958.57</v>
      </c>
      <c r="I664" s="15" t="n">
        <f aca="false">IF($H$1182=0,0,H664/$H$1182)</f>
        <v>0.000327921754443358</v>
      </c>
      <c r="J664" s="16" t="n">
        <f aca="false">IF(C664&lt;=0,0,H664/C664)</f>
        <v>247.410625</v>
      </c>
    </row>
    <row r="665" customFormat="false" ht="15" hidden="false" customHeight="true" outlineLevel="0" collapsed="false">
      <c r="A665" s="5" t="n">
        <v>661</v>
      </c>
      <c r="B665" s="5" t="s">
        <v>672</v>
      </c>
      <c r="C665" s="6" t="n">
        <v>16</v>
      </c>
      <c r="D665" s="6" t="n">
        <v>14</v>
      </c>
      <c r="E665" s="7" t="n">
        <v>3883.87</v>
      </c>
      <c r="F665" s="7" t="n">
        <v>-18.99</v>
      </c>
      <c r="G665" s="7" t="n">
        <v>-589.97</v>
      </c>
      <c r="H665" s="8" t="n">
        <f aca="false">E665+F665+G665</f>
        <v>3274.91</v>
      </c>
      <c r="I665" s="9" t="n">
        <f aca="false">IF($H$1182=0,0,H665/$H$1182)</f>
        <v>0.000271288428105123</v>
      </c>
      <c r="J665" s="10" t="n">
        <f aca="false">IF(C665&lt;=0,0,H665/C665)</f>
        <v>204.681875</v>
      </c>
    </row>
    <row r="666" customFormat="false" ht="15" hidden="false" customHeight="true" outlineLevel="0" collapsed="false">
      <c r="A666" s="11" t="n">
        <v>662</v>
      </c>
      <c r="B666" s="11" t="s">
        <v>673</v>
      </c>
      <c r="C666" s="12" t="n">
        <v>16</v>
      </c>
      <c r="D666" s="12" t="n">
        <v>18</v>
      </c>
      <c r="E666" s="13" t="n">
        <v>3178.38</v>
      </c>
      <c r="F666" s="13" t="n">
        <v>0</v>
      </c>
      <c r="G666" s="13" t="n">
        <v>-509.97</v>
      </c>
      <c r="H666" s="14" t="n">
        <f aca="false">E666+F666+G666</f>
        <v>2668.41</v>
      </c>
      <c r="I666" s="15" t="n">
        <f aca="false">IF($H$1182=0,0,H666/$H$1182)</f>
        <v>0.000221046915622106</v>
      </c>
      <c r="J666" s="16" t="n">
        <f aca="false">IF(C666&lt;=0,0,H666/C666)</f>
        <v>166.775625</v>
      </c>
    </row>
    <row r="667" customFormat="false" ht="15" hidden="false" customHeight="true" outlineLevel="0" collapsed="false">
      <c r="A667" s="5" t="n">
        <v>663</v>
      </c>
      <c r="B667" s="5" t="s">
        <v>674</v>
      </c>
      <c r="C667" s="6" t="n">
        <v>16</v>
      </c>
      <c r="D667" s="6" t="n">
        <v>9</v>
      </c>
      <c r="E667" s="7" t="n">
        <v>1599.84</v>
      </c>
      <c r="F667" s="7" t="n">
        <v>0</v>
      </c>
      <c r="G667" s="7" t="n">
        <v>0</v>
      </c>
      <c r="H667" s="8" t="n">
        <f aca="false">E667+F667+G667</f>
        <v>1599.84</v>
      </c>
      <c r="I667" s="9" t="n">
        <f aca="false">IF($H$1182=0,0,H667/$H$1182)</f>
        <v>0.000132528246217362</v>
      </c>
      <c r="J667" s="10" t="n">
        <f aca="false">IF(C667&lt;=0,0,H667/C667)</f>
        <v>99.99</v>
      </c>
    </row>
    <row r="668" customFormat="false" ht="15" hidden="false" customHeight="true" outlineLevel="0" collapsed="false">
      <c r="A668" s="11" t="n">
        <v>664</v>
      </c>
      <c r="B668" s="11" t="s">
        <v>675</v>
      </c>
      <c r="C668" s="12" t="n">
        <v>16</v>
      </c>
      <c r="D668" s="12" t="n">
        <v>11</v>
      </c>
      <c r="E668" s="13" t="n">
        <v>1599.84</v>
      </c>
      <c r="F668" s="13" t="n">
        <v>0</v>
      </c>
      <c r="G668" s="13" t="n">
        <v>0</v>
      </c>
      <c r="H668" s="14" t="n">
        <f aca="false">E668+F668+G668</f>
        <v>1599.84</v>
      </c>
      <c r="I668" s="15" t="n">
        <f aca="false">IF($H$1182=0,0,H668/$H$1182)</f>
        <v>0.000132528246217362</v>
      </c>
      <c r="J668" s="16" t="n">
        <f aca="false">IF(C668&lt;=0,0,H668/C668)</f>
        <v>99.99</v>
      </c>
    </row>
    <row r="669" customFormat="false" ht="15" hidden="false" customHeight="true" outlineLevel="0" collapsed="false">
      <c r="A669" s="5" t="n">
        <v>665</v>
      </c>
      <c r="B669" s="5" t="s">
        <v>676</v>
      </c>
      <c r="C669" s="6" t="n">
        <v>16</v>
      </c>
      <c r="D669" s="6" t="n">
        <v>8</v>
      </c>
      <c r="E669" s="7" t="n">
        <v>1501</v>
      </c>
      <c r="F669" s="7" t="n">
        <v>0</v>
      </c>
      <c r="G669" s="7" t="n">
        <v>-237</v>
      </c>
      <c r="H669" s="8" t="n">
        <f aca="false">E669+F669+G669</f>
        <v>1264</v>
      </c>
      <c r="I669" s="9" t="n">
        <f aca="false">IF($H$1182=0,0,H669/$H$1182)</f>
        <v>0.000104707785290245</v>
      </c>
      <c r="J669" s="10" t="n">
        <f aca="false">IF(C669&lt;=0,0,H669/C669)</f>
        <v>79</v>
      </c>
    </row>
    <row r="670" customFormat="false" ht="15" hidden="false" customHeight="true" outlineLevel="0" collapsed="false">
      <c r="A670" s="11" t="n">
        <v>666</v>
      </c>
      <c r="B670" s="11" t="s">
        <v>677</v>
      </c>
      <c r="C670" s="12" t="n">
        <v>16</v>
      </c>
      <c r="D670" s="12" t="n">
        <v>13</v>
      </c>
      <c r="E670" s="13" t="n">
        <v>1039.82</v>
      </c>
      <c r="F670" s="13" t="n">
        <v>0</v>
      </c>
      <c r="G670" s="13" t="n">
        <v>-119.98</v>
      </c>
      <c r="H670" s="14" t="n">
        <f aca="false">E670+F670+G670</f>
        <v>919.84</v>
      </c>
      <c r="I670" s="15" t="n">
        <f aca="false">IF($H$1182=0,0,H670/$H$1182)</f>
        <v>7.61981085612173E-005</v>
      </c>
      <c r="J670" s="16" t="n">
        <f aca="false">IF(C670&lt;=0,0,H670/C670)</f>
        <v>57.49</v>
      </c>
    </row>
    <row r="671" customFormat="false" ht="15" hidden="false" customHeight="true" outlineLevel="0" collapsed="false">
      <c r="A671" s="5" t="n">
        <v>667</v>
      </c>
      <c r="B671" s="5" t="s">
        <v>678</v>
      </c>
      <c r="C671" s="6" t="n">
        <v>16</v>
      </c>
      <c r="D671" s="6" t="n">
        <v>12</v>
      </c>
      <c r="E671" s="7" t="n">
        <v>579.81</v>
      </c>
      <c r="F671" s="7" t="n">
        <v>0</v>
      </c>
      <c r="G671" s="7" t="n">
        <v>-89.97</v>
      </c>
      <c r="H671" s="8" t="n">
        <f aca="false">E671+F671+G671</f>
        <v>489.84</v>
      </c>
      <c r="I671" s="9" t="n">
        <f aca="false">IF($H$1182=0,0,H671/$H$1182)</f>
        <v>4.0577580337479E-005</v>
      </c>
      <c r="J671" s="10" t="n">
        <f aca="false">IF(C671&lt;=0,0,H671/C671)</f>
        <v>30.615</v>
      </c>
    </row>
    <row r="672" customFormat="false" ht="15" hidden="false" customHeight="true" outlineLevel="0" collapsed="false">
      <c r="A672" s="11" t="n">
        <v>668</v>
      </c>
      <c r="B672" s="11" t="s">
        <v>679</v>
      </c>
      <c r="C672" s="12" t="n">
        <v>16</v>
      </c>
      <c r="D672" s="12" t="n">
        <v>15</v>
      </c>
      <c r="E672" s="13" t="n">
        <v>508.42</v>
      </c>
      <c r="F672" s="13" t="n">
        <v>0</v>
      </c>
      <c r="G672" s="13" t="n">
        <v>-66.02</v>
      </c>
      <c r="H672" s="14" t="n">
        <f aca="false">E672+F672+G672</f>
        <v>442.4</v>
      </c>
      <c r="I672" s="15" t="n">
        <f aca="false">IF($H$1182=0,0,H672/$H$1182)</f>
        <v>3.66477248515857E-005</v>
      </c>
      <c r="J672" s="16" t="n">
        <f aca="false">IF(C672&lt;=0,0,H672/C672)</f>
        <v>27.65</v>
      </c>
    </row>
    <row r="673" customFormat="false" ht="15" hidden="false" customHeight="true" outlineLevel="0" collapsed="false">
      <c r="A673" s="5" t="n">
        <v>669</v>
      </c>
      <c r="B673" s="5" t="s">
        <v>680</v>
      </c>
      <c r="C673" s="6" t="n">
        <v>16</v>
      </c>
      <c r="D673" s="6" t="n">
        <v>10</v>
      </c>
      <c r="E673" s="7" t="n">
        <v>339.83</v>
      </c>
      <c r="F673" s="7" t="n">
        <v>-1.99</v>
      </c>
      <c r="G673" s="7" t="n">
        <v>-19.99</v>
      </c>
      <c r="H673" s="8" t="n">
        <f aca="false">E673+F673+G673</f>
        <v>317.85</v>
      </c>
      <c r="I673" s="9" t="n">
        <f aca="false">IF($H$1182=0,0,H673/$H$1182)</f>
        <v>2.6330197432361E-005</v>
      </c>
      <c r="J673" s="10" t="n">
        <f aca="false">IF(C673&lt;=0,0,H673/C673)</f>
        <v>19.865625</v>
      </c>
    </row>
    <row r="674" customFormat="false" ht="15" hidden="false" customHeight="true" outlineLevel="0" collapsed="false">
      <c r="A674" s="11" t="n">
        <v>670</v>
      </c>
      <c r="B674" s="11" t="s">
        <v>681</v>
      </c>
      <c r="C674" s="12" t="n">
        <v>16</v>
      </c>
      <c r="D674" s="12" t="n">
        <v>16</v>
      </c>
      <c r="E674" s="13" t="n">
        <v>380</v>
      </c>
      <c r="F674" s="13" t="n">
        <v>-7.89</v>
      </c>
      <c r="G674" s="13" t="n">
        <v>-76</v>
      </c>
      <c r="H674" s="14" t="n">
        <f aca="false">E674+F674+G674</f>
        <v>296.11</v>
      </c>
      <c r="I674" s="15" t="n">
        <f aca="false">IF($H$1182=0,0,H674/$H$1182)</f>
        <v>2.4529289796119E-005</v>
      </c>
      <c r="J674" s="16" t="n">
        <f aca="false">IF(C674&lt;=0,0,H674/C674)</f>
        <v>18.506875</v>
      </c>
    </row>
    <row r="675" customFormat="false" ht="15" hidden="false" customHeight="true" outlineLevel="0" collapsed="false">
      <c r="A675" s="5" t="n">
        <v>671</v>
      </c>
      <c r="B675" s="5" t="s">
        <v>682</v>
      </c>
      <c r="C675" s="6" t="n">
        <v>16</v>
      </c>
      <c r="D675" s="6" t="n">
        <v>8</v>
      </c>
      <c r="E675" s="7" t="n">
        <v>249.84</v>
      </c>
      <c r="F675" s="7" t="n">
        <v>-2.98</v>
      </c>
      <c r="G675" s="7" t="n">
        <v>0</v>
      </c>
      <c r="H675" s="8" t="n">
        <f aca="false">E675+F675+G675</f>
        <v>246.86</v>
      </c>
      <c r="I675" s="9" t="n">
        <f aca="false">IF($H$1182=0,0,H675/$H$1182)</f>
        <v>2.0449496737935E-005</v>
      </c>
      <c r="J675" s="10" t="n">
        <f aca="false">IF(C675&lt;=0,0,H675/C675)</f>
        <v>15.42875</v>
      </c>
    </row>
    <row r="676" customFormat="false" ht="15" hidden="false" customHeight="true" outlineLevel="0" collapsed="false">
      <c r="A676" s="11" t="n">
        <v>672</v>
      </c>
      <c r="B676" s="11" t="s">
        <v>683</v>
      </c>
      <c r="C676" s="12" t="n">
        <v>16</v>
      </c>
      <c r="D676" s="12" t="n">
        <v>13</v>
      </c>
      <c r="E676" s="13" t="n">
        <v>336</v>
      </c>
      <c r="F676" s="13" t="n">
        <v>0</v>
      </c>
      <c r="G676" s="13" t="n">
        <v>-112</v>
      </c>
      <c r="H676" s="14" t="n">
        <f aca="false">E676+F676+G676</f>
        <v>224</v>
      </c>
      <c r="I676" s="15" t="n">
        <f aca="false">IF($H$1182=0,0,H676/$H$1182)</f>
        <v>1.85558100514358E-005</v>
      </c>
      <c r="J676" s="16" t="n">
        <f aca="false">IF(C676&lt;=0,0,H676/C676)</f>
        <v>14</v>
      </c>
    </row>
    <row r="677" customFormat="false" ht="15" hidden="false" customHeight="true" outlineLevel="0" collapsed="false">
      <c r="A677" s="5" t="n">
        <v>673</v>
      </c>
      <c r="B677" s="5" t="s">
        <v>684</v>
      </c>
      <c r="C677" s="6" t="n">
        <v>16</v>
      </c>
      <c r="D677" s="6" t="n">
        <v>15</v>
      </c>
      <c r="E677" s="7" t="n">
        <v>165.99</v>
      </c>
      <c r="F677" s="7" t="n">
        <v>-6.85</v>
      </c>
      <c r="G677" s="7" t="n">
        <v>-37.38</v>
      </c>
      <c r="H677" s="8" t="n">
        <f aca="false">E677+F677+G677</f>
        <v>121.76</v>
      </c>
      <c r="I677" s="9" t="n">
        <f aca="false">IF($H$1182=0,0,H677/$H$1182)</f>
        <v>1.0086408177959E-005</v>
      </c>
      <c r="J677" s="10" t="n">
        <f aca="false">IF(C677&lt;=0,0,H677/C677)</f>
        <v>7.61</v>
      </c>
    </row>
    <row r="678" customFormat="false" ht="15" hidden="false" customHeight="true" outlineLevel="0" collapsed="false">
      <c r="A678" s="11" t="n">
        <v>674</v>
      </c>
      <c r="B678" s="11" t="s">
        <v>685</v>
      </c>
      <c r="C678" s="12" t="n">
        <v>15</v>
      </c>
      <c r="D678" s="12" t="n">
        <v>18</v>
      </c>
      <c r="E678" s="13" t="n">
        <v>24106.61</v>
      </c>
      <c r="F678" s="13" t="n">
        <v>0</v>
      </c>
      <c r="G678" s="13" t="n">
        <v>-3610.9</v>
      </c>
      <c r="H678" s="14" t="n">
        <f aca="false">E678+F678+G678</f>
        <v>20495.71</v>
      </c>
      <c r="I678" s="15" t="n">
        <f aca="false">IF($H$1182=0,0,H678/$H$1182)</f>
        <v>0.00169783259655943</v>
      </c>
      <c r="J678" s="16" t="n">
        <f aca="false">IF(C678&lt;=0,0,H678/C678)</f>
        <v>1366.38066666667</v>
      </c>
    </row>
    <row r="679" customFormat="false" ht="15" hidden="false" customHeight="true" outlineLevel="0" collapsed="false">
      <c r="A679" s="5" t="n">
        <v>675</v>
      </c>
      <c r="B679" s="5" t="s">
        <v>686</v>
      </c>
      <c r="C679" s="6" t="n">
        <v>15</v>
      </c>
      <c r="D679" s="6" t="n">
        <v>15</v>
      </c>
      <c r="E679" s="7" t="n">
        <v>19004.55</v>
      </c>
      <c r="F679" s="7" t="n">
        <v>-402.99</v>
      </c>
      <c r="G679" s="7" t="n">
        <v>-3965.47</v>
      </c>
      <c r="H679" s="8" t="n">
        <f aca="false">E679+F679+G679</f>
        <v>14636.09</v>
      </c>
      <c r="I679" s="9" t="n">
        <f aca="false">IF($H$1182=0,0,H679/$H$1182)</f>
        <v>0.00121243083007017</v>
      </c>
      <c r="J679" s="10" t="n">
        <f aca="false">IF(C679&lt;=0,0,H679/C679)</f>
        <v>975.739333333333</v>
      </c>
    </row>
    <row r="680" customFormat="false" ht="15" hidden="false" customHeight="true" outlineLevel="0" collapsed="false">
      <c r="A680" s="11" t="n">
        <v>676</v>
      </c>
      <c r="B680" s="11" t="s">
        <v>687</v>
      </c>
      <c r="C680" s="12" t="n">
        <v>15</v>
      </c>
      <c r="D680" s="12" t="n">
        <v>15</v>
      </c>
      <c r="E680" s="13" t="n">
        <v>14820</v>
      </c>
      <c r="F680" s="13" t="n">
        <v>-188</v>
      </c>
      <c r="G680" s="13" t="n">
        <v>-940</v>
      </c>
      <c r="H680" s="14" t="n">
        <f aca="false">E680+F680+G680</f>
        <v>13692</v>
      </c>
      <c r="I680" s="15" t="n">
        <f aca="false">IF($H$1182=0,0,H680/$H$1182)</f>
        <v>0.00113422388939401</v>
      </c>
      <c r="J680" s="16" t="n">
        <f aca="false">IF(C680&lt;=0,0,H680/C680)</f>
        <v>912.8</v>
      </c>
    </row>
    <row r="681" customFormat="false" ht="15" hidden="false" customHeight="true" outlineLevel="0" collapsed="false">
      <c r="A681" s="5" t="n">
        <v>677</v>
      </c>
      <c r="B681" s="5" t="s">
        <v>688</v>
      </c>
      <c r="C681" s="6" t="n">
        <v>15</v>
      </c>
      <c r="D681" s="6" t="n">
        <v>13</v>
      </c>
      <c r="E681" s="7" t="n">
        <v>6425</v>
      </c>
      <c r="F681" s="7" t="n">
        <v>-39.96</v>
      </c>
      <c r="G681" s="7" t="n">
        <v>-395</v>
      </c>
      <c r="H681" s="8" t="n">
        <f aca="false">E681+F681+G681</f>
        <v>5990.04</v>
      </c>
      <c r="I681" s="9" t="n">
        <f aca="false">IF($H$1182=0,0,H681/$H$1182)</f>
        <v>0.000496205555537957</v>
      </c>
      <c r="J681" s="10" t="n">
        <f aca="false">IF(C681&lt;=0,0,H681/C681)</f>
        <v>399.336</v>
      </c>
    </row>
    <row r="682" customFormat="false" ht="15" hidden="false" customHeight="true" outlineLevel="0" collapsed="false">
      <c r="A682" s="11" t="n">
        <v>678</v>
      </c>
      <c r="B682" s="11" t="s">
        <v>689</v>
      </c>
      <c r="C682" s="12" t="n">
        <v>15</v>
      </c>
      <c r="D682" s="12" t="n">
        <v>12</v>
      </c>
      <c r="E682" s="13" t="n">
        <v>5940</v>
      </c>
      <c r="F682" s="13" t="n">
        <v>-102.22</v>
      </c>
      <c r="G682" s="13" t="n">
        <v>0</v>
      </c>
      <c r="H682" s="14" t="n">
        <f aca="false">E682+F682+G682</f>
        <v>5837.78</v>
      </c>
      <c r="I682" s="15" t="n">
        <f aca="false">IF($H$1182=0,0,H682/$H$1182)</f>
        <v>0.000483592575009244</v>
      </c>
      <c r="J682" s="16" t="n">
        <f aca="false">IF(C682&lt;=0,0,H682/C682)</f>
        <v>389.185333333333</v>
      </c>
    </row>
    <row r="683" customFormat="false" ht="15" hidden="false" customHeight="true" outlineLevel="0" collapsed="false">
      <c r="A683" s="5" t="n">
        <v>679</v>
      </c>
      <c r="B683" s="5" t="s">
        <v>690</v>
      </c>
      <c r="C683" s="6" t="n">
        <v>15</v>
      </c>
      <c r="D683" s="6" t="n">
        <v>17</v>
      </c>
      <c r="E683" s="7" t="n">
        <v>7115.59</v>
      </c>
      <c r="F683" s="7" t="n">
        <v>-104.9</v>
      </c>
      <c r="G683" s="7" t="n">
        <v>-1198.55</v>
      </c>
      <c r="H683" s="8" t="n">
        <f aca="false">E683+F683+G683</f>
        <v>5812.14</v>
      </c>
      <c r="I683" s="9" t="n">
        <f aca="false">IF($H$1182=0,0,H683/$H$1182)</f>
        <v>0.000481468597465857</v>
      </c>
      <c r="J683" s="10" t="n">
        <f aca="false">IF(C683&lt;=0,0,H683/C683)</f>
        <v>387.476</v>
      </c>
    </row>
    <row r="684" customFormat="false" ht="15" hidden="false" customHeight="true" outlineLevel="0" collapsed="false">
      <c r="A684" s="11" t="n">
        <v>680</v>
      </c>
      <c r="B684" s="11" t="s">
        <v>691</v>
      </c>
      <c r="C684" s="12" t="n">
        <v>15</v>
      </c>
      <c r="D684" s="12" t="n">
        <v>15</v>
      </c>
      <c r="E684" s="13" t="n">
        <v>7219.81</v>
      </c>
      <c r="F684" s="13" t="n">
        <v>-152</v>
      </c>
      <c r="G684" s="13" t="n">
        <v>-1519.96</v>
      </c>
      <c r="H684" s="14" t="n">
        <f aca="false">E684+F684+G684</f>
        <v>5547.85</v>
      </c>
      <c r="I684" s="15" t="n">
        <f aca="false">IF($H$1182=0,0,H684/$H$1182)</f>
        <v>0.000459575226758295</v>
      </c>
      <c r="J684" s="16" t="n">
        <f aca="false">IF(C684&lt;=0,0,H684/C684)</f>
        <v>369.856666666667</v>
      </c>
    </row>
    <row r="685" customFormat="false" ht="15" hidden="false" customHeight="true" outlineLevel="0" collapsed="false">
      <c r="A685" s="5" t="n">
        <v>681</v>
      </c>
      <c r="B685" s="5" t="s">
        <v>692</v>
      </c>
      <c r="C685" s="6" t="n">
        <v>15</v>
      </c>
      <c r="D685" s="6" t="n">
        <v>14</v>
      </c>
      <c r="E685" s="7" t="n">
        <v>5599.84</v>
      </c>
      <c r="F685" s="7" t="n">
        <v>-34.99</v>
      </c>
      <c r="G685" s="7" t="n">
        <v>-349.99</v>
      </c>
      <c r="H685" s="8" t="n">
        <f aca="false">E685+F685+G685</f>
        <v>5214.86</v>
      </c>
      <c r="I685" s="9" t="n">
        <f aca="false">IF($H$1182=0,0,H685/$H$1182)</f>
        <v>0.000431990855378707</v>
      </c>
      <c r="J685" s="10" t="n">
        <f aca="false">IF(C685&lt;=0,0,H685/C685)</f>
        <v>347.657333333333</v>
      </c>
    </row>
    <row r="686" customFormat="false" ht="15" hidden="false" customHeight="true" outlineLevel="0" collapsed="false">
      <c r="A686" s="11" t="n">
        <v>682</v>
      </c>
      <c r="B686" s="11" t="s">
        <v>693</v>
      </c>
      <c r="C686" s="12" t="n">
        <v>15</v>
      </c>
      <c r="D686" s="12" t="n">
        <v>14</v>
      </c>
      <c r="E686" s="13" t="n">
        <v>4478.08</v>
      </c>
      <c r="F686" s="13" t="n">
        <v>-1.75</v>
      </c>
      <c r="G686" s="13" t="n">
        <v>-477.99</v>
      </c>
      <c r="H686" s="14" t="n">
        <f aca="false">E686+F686+G686</f>
        <v>3998.34</v>
      </c>
      <c r="I686" s="15" t="n">
        <f aca="false">IF($H$1182=0,0,H686/$H$1182)</f>
        <v>0.000331216239111865</v>
      </c>
      <c r="J686" s="16" t="n">
        <f aca="false">IF(C686&lt;=0,0,H686/C686)</f>
        <v>266.556</v>
      </c>
    </row>
    <row r="687" customFormat="false" ht="15" hidden="false" customHeight="true" outlineLevel="0" collapsed="false">
      <c r="A687" s="5" t="n">
        <v>683</v>
      </c>
      <c r="B687" s="5" t="s">
        <v>694</v>
      </c>
      <c r="C687" s="6" t="n">
        <v>15</v>
      </c>
      <c r="D687" s="6" t="n">
        <v>14</v>
      </c>
      <c r="E687" s="7" t="n">
        <v>4475.17</v>
      </c>
      <c r="F687" s="7" t="n">
        <v>-315.16</v>
      </c>
      <c r="G687" s="7" t="n">
        <v>-349</v>
      </c>
      <c r="H687" s="8" t="n">
        <f aca="false">E687+F687+G687</f>
        <v>3811.01</v>
      </c>
      <c r="I687" s="9" t="n">
        <f aca="false">IF($H$1182=0,0,H687/$H$1182)</f>
        <v>0.000315698114571974</v>
      </c>
      <c r="J687" s="10" t="n">
        <f aca="false">IF(C687&lt;=0,0,H687/C687)</f>
        <v>254.067333333333</v>
      </c>
    </row>
    <row r="688" customFormat="false" ht="15" hidden="false" customHeight="true" outlineLevel="0" collapsed="false">
      <c r="A688" s="11" t="n">
        <v>684</v>
      </c>
      <c r="B688" s="11" t="s">
        <v>695</v>
      </c>
      <c r="C688" s="12" t="n">
        <v>15</v>
      </c>
      <c r="D688" s="12" t="n">
        <v>13</v>
      </c>
      <c r="E688" s="13" t="n">
        <v>4878.5</v>
      </c>
      <c r="F688" s="13" t="n">
        <v>-49.3</v>
      </c>
      <c r="G688" s="13" t="n">
        <v>-1116</v>
      </c>
      <c r="H688" s="14" t="n">
        <f aca="false">E688+F688+G688</f>
        <v>3713.2</v>
      </c>
      <c r="I688" s="15" t="n">
        <f aca="false">IF($H$1182=0,0,H688/$H$1182)</f>
        <v>0.00030759568697764</v>
      </c>
      <c r="J688" s="16" t="n">
        <f aca="false">IF(C688&lt;=0,0,H688/C688)</f>
        <v>247.546666666667</v>
      </c>
    </row>
    <row r="689" customFormat="false" ht="15" hidden="false" customHeight="true" outlineLevel="0" collapsed="false">
      <c r="A689" s="5" t="n">
        <v>685</v>
      </c>
      <c r="B689" s="5" t="s">
        <v>696</v>
      </c>
      <c r="C689" s="6" t="n">
        <v>15</v>
      </c>
      <c r="D689" s="6" t="n">
        <v>12</v>
      </c>
      <c r="E689" s="7" t="n">
        <v>3873.28</v>
      </c>
      <c r="F689" s="7" t="n">
        <v>0</v>
      </c>
      <c r="G689" s="7" t="n">
        <v>-231.91</v>
      </c>
      <c r="H689" s="8" t="n">
        <f aca="false">E689+F689+G689</f>
        <v>3641.37</v>
      </c>
      <c r="I689" s="9" t="n">
        <f aca="false">IF($H$1182=0,0,H689/$H$1182)</f>
        <v>0.000301645401995521</v>
      </c>
      <c r="J689" s="10" t="n">
        <f aca="false">IF(C689&lt;=0,0,H689/C689)</f>
        <v>242.758</v>
      </c>
    </row>
    <row r="690" customFormat="false" ht="15" hidden="false" customHeight="true" outlineLevel="0" collapsed="false">
      <c r="A690" s="11" t="n">
        <v>686</v>
      </c>
      <c r="B690" s="11" t="s">
        <v>697</v>
      </c>
      <c r="C690" s="12" t="n">
        <v>15</v>
      </c>
      <c r="D690" s="12" t="n">
        <v>16</v>
      </c>
      <c r="E690" s="13" t="n">
        <v>4079.83</v>
      </c>
      <c r="F690" s="13" t="n">
        <v>-23.99</v>
      </c>
      <c r="G690" s="13" t="n">
        <v>-479.98</v>
      </c>
      <c r="H690" s="14" t="n">
        <f aca="false">E690+F690+G690</f>
        <v>3575.86</v>
      </c>
      <c r="I690" s="15" t="n">
        <f aca="false">IF($H$1182=0,0,H690/$H$1182)</f>
        <v>0.000296218655939853</v>
      </c>
      <c r="J690" s="16" t="n">
        <f aca="false">IF(C690&lt;=0,0,H690/C690)</f>
        <v>238.390666666667</v>
      </c>
    </row>
    <row r="691" customFormat="false" ht="15" hidden="false" customHeight="true" outlineLevel="0" collapsed="false">
      <c r="A691" s="5" t="n">
        <v>687</v>
      </c>
      <c r="B691" s="5" t="s">
        <v>698</v>
      </c>
      <c r="C691" s="6" t="n">
        <v>15</v>
      </c>
      <c r="D691" s="6" t="n">
        <v>15</v>
      </c>
      <c r="E691" s="7" t="n">
        <v>2849.85</v>
      </c>
      <c r="F691" s="7" t="n">
        <v>0</v>
      </c>
      <c r="G691" s="7" t="n">
        <v>0</v>
      </c>
      <c r="H691" s="8" t="n">
        <f aca="false">E691+F691+G691</f>
        <v>2849.85</v>
      </c>
      <c r="I691" s="9" t="n">
        <f aca="false">IF($H$1182=0,0,H691/$H$1182)</f>
        <v>0.000236077121763769</v>
      </c>
      <c r="J691" s="10" t="n">
        <f aca="false">IF(C691&lt;=0,0,H691/C691)</f>
        <v>189.99</v>
      </c>
    </row>
    <row r="692" customFormat="false" ht="15" hidden="false" customHeight="true" outlineLevel="0" collapsed="false">
      <c r="A692" s="11" t="n">
        <v>688</v>
      </c>
      <c r="B692" s="11" t="s">
        <v>699</v>
      </c>
      <c r="C692" s="12" t="n">
        <v>15</v>
      </c>
      <c r="D692" s="12" t="n">
        <v>13</v>
      </c>
      <c r="E692" s="13" t="n">
        <v>2899.98</v>
      </c>
      <c r="F692" s="13" t="n">
        <v>-98.47</v>
      </c>
      <c r="G692" s="13" t="n">
        <v>0</v>
      </c>
      <c r="H692" s="14" t="n">
        <f aca="false">E692+F692+G692</f>
        <v>2801.51</v>
      </c>
      <c r="I692" s="15" t="n">
        <f aca="false">IF($H$1182=0,0,H692/$H$1182)</f>
        <v>0.000232072711683919</v>
      </c>
      <c r="J692" s="16" t="n">
        <f aca="false">IF(C692&lt;=0,0,H692/C692)</f>
        <v>186.767333333333</v>
      </c>
    </row>
    <row r="693" customFormat="false" ht="15" hidden="false" customHeight="true" outlineLevel="0" collapsed="false">
      <c r="A693" s="5" t="n">
        <v>689</v>
      </c>
      <c r="B693" s="5" t="s">
        <v>700</v>
      </c>
      <c r="C693" s="6" t="n">
        <v>15</v>
      </c>
      <c r="D693" s="6" t="n">
        <v>15</v>
      </c>
      <c r="E693" s="7" t="n">
        <v>2704</v>
      </c>
      <c r="F693" s="7" t="n">
        <v>-26.94</v>
      </c>
      <c r="G693" s="7" t="n">
        <v>-169</v>
      </c>
      <c r="H693" s="8" t="n">
        <f aca="false">E693+F693+G693</f>
        <v>2508.06</v>
      </c>
      <c r="I693" s="9" t="n">
        <f aca="false">IF($H$1182=0,0,H693/$H$1182)</f>
        <v>0.000207763772132161</v>
      </c>
      <c r="J693" s="10" t="n">
        <f aca="false">IF(C693&lt;=0,0,H693/C693)</f>
        <v>167.204</v>
      </c>
    </row>
    <row r="694" customFormat="false" ht="15" hidden="false" customHeight="true" outlineLevel="0" collapsed="false">
      <c r="A694" s="11" t="n">
        <v>690</v>
      </c>
      <c r="B694" s="11" t="s">
        <v>701</v>
      </c>
      <c r="C694" s="12" t="n">
        <v>15</v>
      </c>
      <c r="D694" s="12" t="n">
        <v>13</v>
      </c>
      <c r="E694" s="13" t="n">
        <v>2361.89</v>
      </c>
      <c r="F694" s="13" t="n">
        <v>0</v>
      </c>
      <c r="G694" s="13" t="n">
        <v>0</v>
      </c>
      <c r="H694" s="14" t="n">
        <f aca="false">E694+F694+G694</f>
        <v>2361.89</v>
      </c>
      <c r="I694" s="15" t="n">
        <f aca="false">IF($H$1182=0,0,H694/$H$1182)</f>
        <v>0.000195655277689222</v>
      </c>
      <c r="J694" s="16" t="n">
        <f aca="false">IF(C694&lt;=0,0,H694/C694)</f>
        <v>157.459333333333</v>
      </c>
    </row>
    <row r="695" customFormat="false" ht="15" hidden="false" customHeight="true" outlineLevel="0" collapsed="false">
      <c r="A695" s="5" t="n">
        <v>691</v>
      </c>
      <c r="B695" s="5" t="s">
        <v>702</v>
      </c>
      <c r="C695" s="6" t="n">
        <v>15</v>
      </c>
      <c r="D695" s="6" t="n">
        <v>12</v>
      </c>
      <c r="E695" s="7" t="n">
        <v>2518.46</v>
      </c>
      <c r="F695" s="7" t="n">
        <v>-25.63</v>
      </c>
      <c r="G695" s="7" t="n">
        <v>-389.97</v>
      </c>
      <c r="H695" s="8" t="n">
        <f aca="false">E695+F695+G695</f>
        <v>2102.86</v>
      </c>
      <c r="I695" s="9" t="n">
        <f aca="false">IF($H$1182=0,0,H695/$H$1182)</f>
        <v>0.000174197637164117</v>
      </c>
      <c r="J695" s="10" t="n">
        <f aca="false">IF(C695&lt;=0,0,H695/C695)</f>
        <v>140.190666666667</v>
      </c>
    </row>
    <row r="696" customFormat="false" ht="15" hidden="false" customHeight="true" outlineLevel="0" collapsed="false">
      <c r="A696" s="11" t="n">
        <v>692</v>
      </c>
      <c r="B696" s="11" t="s">
        <v>703</v>
      </c>
      <c r="C696" s="12" t="n">
        <v>15</v>
      </c>
      <c r="D696" s="12" t="n">
        <v>11</v>
      </c>
      <c r="E696" s="13" t="n">
        <v>2131.83</v>
      </c>
      <c r="F696" s="13" t="n">
        <v>0</v>
      </c>
      <c r="G696" s="13" t="n">
        <v>-246.98</v>
      </c>
      <c r="H696" s="14" t="n">
        <f aca="false">E696+F696+G696</f>
        <v>1884.85</v>
      </c>
      <c r="I696" s="15" t="n">
        <f aca="false">IF($H$1182=0,0,H696/$H$1182)</f>
        <v>0.000156138029354682</v>
      </c>
      <c r="J696" s="16" t="n">
        <f aca="false">IF(C696&lt;=0,0,H696/C696)</f>
        <v>125.656666666667</v>
      </c>
    </row>
    <row r="697" customFormat="false" ht="15" hidden="false" customHeight="true" outlineLevel="0" collapsed="false">
      <c r="A697" s="5" t="n">
        <v>693</v>
      </c>
      <c r="B697" s="5" t="s">
        <v>704</v>
      </c>
      <c r="C697" s="6" t="n">
        <v>15</v>
      </c>
      <c r="D697" s="6" t="n">
        <v>16</v>
      </c>
      <c r="E697" s="7" t="n">
        <v>1899.81</v>
      </c>
      <c r="F697" s="7" t="n">
        <v>-19.98</v>
      </c>
      <c r="G697" s="7" t="n">
        <v>-399.96</v>
      </c>
      <c r="H697" s="8" t="n">
        <f aca="false">E697+F697+G697</f>
        <v>1479.87</v>
      </c>
      <c r="I697" s="9" t="n">
        <f aca="false">IF($H$1182=0,0,H697/$H$1182)</f>
        <v>0.000122590118842939</v>
      </c>
      <c r="J697" s="10" t="n">
        <f aca="false">IF(C697&lt;=0,0,H697/C697)</f>
        <v>98.658</v>
      </c>
    </row>
    <row r="698" customFormat="false" ht="15" hidden="false" customHeight="true" outlineLevel="0" collapsed="false">
      <c r="A698" s="11" t="n">
        <v>694</v>
      </c>
      <c r="B698" s="11" t="s">
        <v>705</v>
      </c>
      <c r="C698" s="12" t="n">
        <v>15</v>
      </c>
      <c r="D698" s="12" t="n">
        <v>12</v>
      </c>
      <c r="E698" s="13" t="n">
        <v>1197.35</v>
      </c>
      <c r="F698" s="13" t="n">
        <v>0</v>
      </c>
      <c r="G698" s="13" t="n">
        <v>-79.99</v>
      </c>
      <c r="H698" s="14" t="n">
        <f aca="false">E698+F698+G698</f>
        <v>1117.36</v>
      </c>
      <c r="I698" s="15" t="n">
        <f aca="false">IF($H$1182=0,0,H698/$H$1182)</f>
        <v>9.25603567815727E-005</v>
      </c>
      <c r="J698" s="16" t="n">
        <f aca="false">IF(C698&lt;=0,0,H698/C698)</f>
        <v>74.4906666666667</v>
      </c>
    </row>
    <row r="699" customFormat="false" ht="15" hidden="false" customHeight="true" outlineLevel="0" collapsed="false">
      <c r="A699" s="5" t="n">
        <v>695</v>
      </c>
      <c r="B699" s="5" t="s">
        <v>706</v>
      </c>
      <c r="C699" s="6" t="n">
        <v>15</v>
      </c>
      <c r="D699" s="6" t="n">
        <v>10</v>
      </c>
      <c r="E699" s="7" t="n">
        <v>575.28</v>
      </c>
      <c r="F699" s="7" t="n">
        <v>-4.48</v>
      </c>
      <c r="G699" s="7" t="n">
        <v>-26.92</v>
      </c>
      <c r="H699" s="8" t="n">
        <f aca="false">E699+F699+G699</f>
        <v>543.88</v>
      </c>
      <c r="I699" s="9" t="n">
        <f aca="false">IF($H$1182=0,0,H699/$H$1182)</f>
        <v>4.50541695123879E-005</v>
      </c>
      <c r="J699" s="10" t="n">
        <f aca="false">IF(C699&lt;=0,0,H699/C699)</f>
        <v>36.2586666666667</v>
      </c>
    </row>
    <row r="700" customFormat="false" ht="15" hidden="false" customHeight="true" outlineLevel="0" collapsed="false">
      <c r="A700" s="11" t="n">
        <v>696</v>
      </c>
      <c r="B700" s="11" t="s">
        <v>707</v>
      </c>
      <c r="C700" s="12" t="n">
        <v>15</v>
      </c>
      <c r="D700" s="12" t="n">
        <v>14</v>
      </c>
      <c r="E700" s="13" t="n">
        <v>487.33</v>
      </c>
      <c r="F700" s="13" t="n">
        <v>0</v>
      </c>
      <c r="G700" s="13" t="n">
        <v>-56.98</v>
      </c>
      <c r="H700" s="14" t="n">
        <f aca="false">E700+F700+G700</f>
        <v>430.35</v>
      </c>
      <c r="I700" s="15" t="n">
        <f aca="false">IF($H$1182=0,0,H700/$H$1182)</f>
        <v>3.56495216769437E-005</v>
      </c>
      <c r="J700" s="16" t="n">
        <f aca="false">IF(C700&lt;=0,0,H700/C700)</f>
        <v>28.69</v>
      </c>
    </row>
    <row r="701" customFormat="false" ht="15" hidden="false" customHeight="true" outlineLevel="0" collapsed="false">
      <c r="A701" s="5" t="n">
        <v>697</v>
      </c>
      <c r="B701" s="5" t="s">
        <v>708</v>
      </c>
      <c r="C701" s="6" t="n">
        <v>15</v>
      </c>
      <c r="D701" s="6" t="n">
        <v>12</v>
      </c>
      <c r="E701" s="7" t="n">
        <v>148.05</v>
      </c>
      <c r="F701" s="7" t="n">
        <v>-1.16</v>
      </c>
      <c r="G701" s="7" t="n">
        <v>0</v>
      </c>
      <c r="H701" s="8" t="n">
        <f aca="false">E701+F701+G701</f>
        <v>146.89</v>
      </c>
      <c r="I701" s="9" t="n">
        <f aca="false">IF($H$1182=0,0,H701/$H$1182)</f>
        <v>1.21681381181045E-005</v>
      </c>
      <c r="J701" s="10" t="n">
        <f aca="false">IF(C701&lt;=0,0,H701/C701)</f>
        <v>9.79266666666667</v>
      </c>
    </row>
    <row r="702" customFormat="false" ht="15" hidden="false" customHeight="true" outlineLevel="0" collapsed="false">
      <c r="A702" s="11" t="n">
        <v>698</v>
      </c>
      <c r="B702" s="11" t="s">
        <v>709</v>
      </c>
      <c r="C702" s="12" t="n">
        <v>14</v>
      </c>
      <c r="D702" s="12" t="n">
        <v>14</v>
      </c>
      <c r="E702" s="13" t="n">
        <v>70489.46</v>
      </c>
      <c r="F702" s="13" t="n">
        <v>-728.6</v>
      </c>
      <c r="G702" s="13" t="n">
        <v>0</v>
      </c>
      <c r="H702" s="14" t="n">
        <f aca="false">E702+F702+G702</f>
        <v>69760.86</v>
      </c>
      <c r="I702" s="15" t="n">
        <f aca="false">IF($H$1182=0,0,H702/$H$1182)</f>
        <v>0.00577888065707502</v>
      </c>
      <c r="J702" s="16" t="n">
        <f aca="false">IF(C702&lt;=0,0,H702/C702)</f>
        <v>4982.91857142857</v>
      </c>
    </row>
    <row r="703" customFormat="false" ht="15" hidden="false" customHeight="true" outlineLevel="0" collapsed="false">
      <c r="A703" s="5" t="n">
        <v>699</v>
      </c>
      <c r="B703" s="5" t="s">
        <v>710</v>
      </c>
      <c r="C703" s="6" t="n">
        <v>14</v>
      </c>
      <c r="D703" s="6" t="n">
        <v>14</v>
      </c>
      <c r="E703" s="7" t="n">
        <v>10342</v>
      </c>
      <c r="F703" s="7" t="n">
        <v>-125.2</v>
      </c>
      <c r="G703" s="7" t="n">
        <v>-700</v>
      </c>
      <c r="H703" s="8" t="n">
        <f aca="false">E703+F703+G703</f>
        <v>9516.8</v>
      </c>
      <c r="I703" s="9" t="n">
        <f aca="false">IF($H$1182=0,0,H703/$H$1182)</f>
        <v>0.000788356844185286</v>
      </c>
      <c r="J703" s="10" t="n">
        <f aca="false">IF(C703&lt;=0,0,H703/C703)</f>
        <v>679.771428571429</v>
      </c>
    </row>
    <row r="704" customFormat="false" ht="15" hidden="false" customHeight="true" outlineLevel="0" collapsed="false">
      <c r="A704" s="11" t="n">
        <v>700</v>
      </c>
      <c r="B704" s="11" t="s">
        <v>711</v>
      </c>
      <c r="C704" s="12" t="n">
        <v>14</v>
      </c>
      <c r="D704" s="12" t="n">
        <v>15</v>
      </c>
      <c r="E704" s="13" t="n">
        <v>9611.85</v>
      </c>
      <c r="F704" s="13" t="n">
        <v>-44.81</v>
      </c>
      <c r="G704" s="13" t="n">
        <v>-499.99</v>
      </c>
      <c r="H704" s="14" t="n">
        <f aca="false">E704+F704+G704</f>
        <v>9067.05</v>
      </c>
      <c r="I704" s="15" t="n">
        <f aca="false">IF($H$1182=0,0,H704/$H$1182)</f>
        <v>0.000751100256816387</v>
      </c>
      <c r="J704" s="16" t="n">
        <f aca="false">IF(C704&lt;=0,0,H704/C704)</f>
        <v>647.646428571429</v>
      </c>
    </row>
    <row r="705" customFormat="false" ht="15" hidden="false" customHeight="true" outlineLevel="0" collapsed="false">
      <c r="A705" s="5" t="n">
        <v>701</v>
      </c>
      <c r="B705" s="5" t="s">
        <v>712</v>
      </c>
      <c r="C705" s="6" t="n">
        <v>14</v>
      </c>
      <c r="D705" s="6" t="n">
        <v>13</v>
      </c>
      <c r="E705" s="7" t="n">
        <v>8029.89</v>
      </c>
      <c r="F705" s="7" t="n">
        <v>0</v>
      </c>
      <c r="G705" s="7" t="n">
        <v>-499.99</v>
      </c>
      <c r="H705" s="8" t="n">
        <f aca="false">E705+F705+G705</f>
        <v>7529.9</v>
      </c>
      <c r="I705" s="9" t="n">
        <f aca="false">IF($H$1182=0,0,H705/$H$1182)</f>
        <v>0.000623765152260296</v>
      </c>
      <c r="J705" s="10" t="n">
        <f aca="false">IF(C705&lt;=0,0,H705/C705)</f>
        <v>537.85</v>
      </c>
    </row>
    <row r="706" customFormat="false" ht="15" hidden="false" customHeight="true" outlineLevel="0" collapsed="false">
      <c r="A706" s="11" t="n">
        <v>702</v>
      </c>
      <c r="B706" s="11" t="s">
        <v>713</v>
      </c>
      <c r="C706" s="12" t="n">
        <v>14</v>
      </c>
      <c r="D706" s="12" t="n">
        <v>14</v>
      </c>
      <c r="E706" s="13" t="n">
        <v>8650</v>
      </c>
      <c r="F706" s="13" t="n">
        <v>0</v>
      </c>
      <c r="G706" s="13" t="n">
        <v>-1500</v>
      </c>
      <c r="H706" s="14" t="n">
        <f aca="false">E706+F706+G706</f>
        <v>7150</v>
      </c>
      <c r="I706" s="15" t="n">
        <f aca="false">IF($H$1182=0,0,H706/$H$1182)</f>
        <v>0.000592294829766812</v>
      </c>
      <c r="J706" s="16" t="n">
        <f aca="false">IF(C706&lt;=0,0,H706/C706)</f>
        <v>510.714285714286</v>
      </c>
    </row>
    <row r="707" customFormat="false" ht="15" hidden="false" customHeight="true" outlineLevel="0" collapsed="false">
      <c r="A707" s="5" t="n">
        <v>703</v>
      </c>
      <c r="B707" s="5" t="s">
        <v>714</v>
      </c>
      <c r="C707" s="6" t="n">
        <v>14</v>
      </c>
      <c r="D707" s="6" t="n">
        <v>13</v>
      </c>
      <c r="E707" s="7" t="n">
        <v>10799</v>
      </c>
      <c r="F707" s="7" t="n">
        <v>-63.9</v>
      </c>
      <c r="G707" s="7" t="n">
        <v>-4473</v>
      </c>
      <c r="H707" s="8" t="n">
        <f aca="false">E707+F707+G707</f>
        <v>6262.1</v>
      </c>
      <c r="I707" s="9" t="n">
        <f aca="false">IF($H$1182=0,0,H707/$H$1182)</f>
        <v>0.000518742580906679</v>
      </c>
      <c r="J707" s="10" t="n">
        <f aca="false">IF(C707&lt;=0,0,H707/C707)</f>
        <v>447.292857142857</v>
      </c>
    </row>
    <row r="708" customFormat="false" ht="15" hidden="false" customHeight="true" outlineLevel="0" collapsed="false">
      <c r="A708" s="11" t="n">
        <v>704</v>
      </c>
      <c r="B708" s="11" t="s">
        <v>715</v>
      </c>
      <c r="C708" s="12" t="n">
        <v>14</v>
      </c>
      <c r="D708" s="12" t="n">
        <v>14</v>
      </c>
      <c r="E708" s="13" t="n">
        <v>5699.85</v>
      </c>
      <c r="F708" s="13" t="n">
        <v>-37.99</v>
      </c>
      <c r="G708" s="13" t="n">
        <v>-379.99</v>
      </c>
      <c r="H708" s="14" t="n">
        <f aca="false">E708+F708+G708</f>
        <v>5281.87</v>
      </c>
      <c r="I708" s="15" t="n">
        <f aca="false">IF($H$1182=0,0,H708/$H$1182)</f>
        <v>0.000437541859090969</v>
      </c>
      <c r="J708" s="16" t="n">
        <f aca="false">IF(C708&lt;=0,0,H708/C708)</f>
        <v>377.276428571429</v>
      </c>
    </row>
    <row r="709" customFormat="false" ht="15" hidden="false" customHeight="true" outlineLevel="0" collapsed="false">
      <c r="A709" s="5" t="n">
        <v>705</v>
      </c>
      <c r="B709" s="5" t="s">
        <v>716</v>
      </c>
      <c r="C709" s="6" t="n">
        <v>14</v>
      </c>
      <c r="D709" s="6" t="n">
        <v>17</v>
      </c>
      <c r="E709" s="7" t="n">
        <v>6649.81</v>
      </c>
      <c r="F709" s="7" t="n">
        <v>0</v>
      </c>
      <c r="G709" s="7" t="n">
        <v>-1749.95</v>
      </c>
      <c r="H709" s="8" t="n">
        <f aca="false">E709+F709+G709</f>
        <v>4899.86</v>
      </c>
      <c r="I709" s="9" t="n">
        <f aca="false">IF($H$1182=0,0,H709/$H$1182)</f>
        <v>0.000405896747493876</v>
      </c>
      <c r="J709" s="10" t="n">
        <f aca="false">IF(C709&lt;=0,0,H709/C709)</f>
        <v>349.99</v>
      </c>
    </row>
    <row r="710" customFormat="false" ht="15" hidden="false" customHeight="true" outlineLevel="0" collapsed="false">
      <c r="A710" s="11" t="n">
        <v>706</v>
      </c>
      <c r="B710" s="11" t="s">
        <v>717</v>
      </c>
      <c r="C710" s="12" t="n">
        <v>14</v>
      </c>
      <c r="D710" s="12" t="n">
        <v>13</v>
      </c>
      <c r="E710" s="13" t="n">
        <v>4046</v>
      </c>
      <c r="F710" s="13" t="n">
        <v>-58.67</v>
      </c>
      <c r="G710" s="13" t="n">
        <v>0</v>
      </c>
      <c r="H710" s="14" t="n">
        <f aca="false">E710+F710+G710</f>
        <v>3987.33</v>
      </c>
      <c r="I710" s="15" t="n">
        <f aca="false">IF($H$1182=0,0,H710/$H$1182)</f>
        <v>0.000330304187912462</v>
      </c>
      <c r="J710" s="16" t="n">
        <f aca="false">IF(C710&lt;=0,0,H710/C710)</f>
        <v>284.809285714286</v>
      </c>
    </row>
    <row r="711" customFormat="false" ht="15" hidden="false" customHeight="true" outlineLevel="0" collapsed="false">
      <c r="A711" s="5" t="n">
        <v>707</v>
      </c>
      <c r="B711" s="5" t="s">
        <v>718</v>
      </c>
      <c r="C711" s="6" t="n">
        <v>14</v>
      </c>
      <c r="D711" s="6" t="n">
        <v>22</v>
      </c>
      <c r="E711" s="7" t="n">
        <v>7677.37</v>
      </c>
      <c r="F711" s="7" t="n">
        <v>-74.97</v>
      </c>
      <c r="G711" s="7" t="n">
        <v>-4249.83</v>
      </c>
      <c r="H711" s="8" t="n">
        <f aca="false">E711+F711+G711</f>
        <v>3352.57</v>
      </c>
      <c r="I711" s="9" t="n">
        <f aca="false">IF($H$1182=0,0,H711/$H$1182)</f>
        <v>0.000277721661179206</v>
      </c>
      <c r="J711" s="10" t="n">
        <f aca="false">IF(C711&lt;=0,0,H711/C711)</f>
        <v>239.469285714286</v>
      </c>
    </row>
    <row r="712" customFormat="false" ht="15" hidden="false" customHeight="true" outlineLevel="0" collapsed="false">
      <c r="A712" s="11" t="n">
        <v>708</v>
      </c>
      <c r="B712" s="11" t="s">
        <v>719</v>
      </c>
      <c r="C712" s="12" t="n">
        <v>14</v>
      </c>
      <c r="D712" s="12" t="n">
        <v>13</v>
      </c>
      <c r="E712" s="13" t="n">
        <v>3375</v>
      </c>
      <c r="F712" s="13" t="n">
        <v>-22.5</v>
      </c>
      <c r="G712" s="13" t="n">
        <v>-225</v>
      </c>
      <c r="H712" s="14" t="n">
        <f aca="false">E712+F712+G712</f>
        <v>3127.5</v>
      </c>
      <c r="I712" s="15" t="n">
        <f aca="false">IF($H$1182=0,0,H712/$H$1182)</f>
        <v>0.000259077213999399</v>
      </c>
      <c r="J712" s="16" t="n">
        <f aca="false">IF(C712&lt;=0,0,H712/C712)</f>
        <v>223.392857142857</v>
      </c>
    </row>
    <row r="713" customFormat="false" ht="15" hidden="false" customHeight="true" outlineLevel="0" collapsed="false">
      <c r="A713" s="5" t="n">
        <v>709</v>
      </c>
      <c r="B713" s="5" t="s">
        <v>720</v>
      </c>
      <c r="C713" s="6" t="n">
        <v>14</v>
      </c>
      <c r="D713" s="6" t="n">
        <v>13</v>
      </c>
      <c r="E713" s="7" t="n">
        <v>3299.85</v>
      </c>
      <c r="F713" s="7" t="n">
        <v>-12.86</v>
      </c>
      <c r="G713" s="7" t="n">
        <v>-219.99</v>
      </c>
      <c r="H713" s="8" t="n">
        <f aca="false">E713+F713+G713</f>
        <v>3067</v>
      </c>
      <c r="I713" s="9" t="n">
        <f aca="false">IF($H$1182=0,0,H713/$H$1182)</f>
        <v>0.000254065488516757</v>
      </c>
      <c r="J713" s="10" t="n">
        <f aca="false">IF(C713&lt;=0,0,H713/C713)</f>
        <v>219.071428571429</v>
      </c>
    </row>
    <row r="714" customFormat="false" ht="15" hidden="false" customHeight="true" outlineLevel="0" collapsed="false">
      <c r="A714" s="11" t="n">
        <v>710</v>
      </c>
      <c r="B714" s="11" t="s">
        <v>721</v>
      </c>
      <c r="C714" s="12" t="n">
        <v>14</v>
      </c>
      <c r="D714" s="12" t="n">
        <v>14</v>
      </c>
      <c r="E714" s="13" t="n">
        <v>2302.31</v>
      </c>
      <c r="F714" s="13" t="n">
        <v>-17.9</v>
      </c>
      <c r="G714" s="13" t="n">
        <v>-124.33</v>
      </c>
      <c r="H714" s="14" t="n">
        <f aca="false">E714+F714+G714</f>
        <v>2160.08</v>
      </c>
      <c r="I714" s="15" t="n">
        <f aca="false">IF($H$1182=0,0,H714/$H$1182)</f>
        <v>0.000178937652571006</v>
      </c>
      <c r="J714" s="16" t="n">
        <f aca="false">IF(C714&lt;=0,0,H714/C714)</f>
        <v>154.291428571429</v>
      </c>
    </row>
    <row r="715" customFormat="false" ht="15" hidden="false" customHeight="true" outlineLevel="0" collapsed="false">
      <c r="A715" s="5" t="n">
        <v>711</v>
      </c>
      <c r="B715" s="5" t="s">
        <v>722</v>
      </c>
      <c r="C715" s="6" t="n">
        <v>14</v>
      </c>
      <c r="D715" s="6" t="n">
        <v>13</v>
      </c>
      <c r="E715" s="7" t="n">
        <v>2279.84</v>
      </c>
      <c r="F715" s="7" t="n">
        <v>0</v>
      </c>
      <c r="G715" s="7" t="n">
        <v>-259.98</v>
      </c>
      <c r="H715" s="8" t="n">
        <f aca="false">E715+F715+G715</f>
        <v>2019.86</v>
      </c>
      <c r="I715" s="9" t="n">
        <f aca="false">IF($H$1182=0,0,H715/$H$1182)</f>
        <v>0.000167322046832558</v>
      </c>
      <c r="J715" s="10" t="n">
        <f aca="false">IF(C715&lt;=0,0,H715/C715)</f>
        <v>144.275714285714</v>
      </c>
    </row>
    <row r="716" customFormat="false" ht="15" hidden="false" customHeight="true" outlineLevel="0" collapsed="false">
      <c r="A716" s="11" t="n">
        <v>712</v>
      </c>
      <c r="B716" s="11" t="s">
        <v>723</v>
      </c>
      <c r="C716" s="12" t="n">
        <v>14</v>
      </c>
      <c r="D716" s="12" t="n">
        <v>6</v>
      </c>
      <c r="E716" s="13" t="n">
        <v>1595.85</v>
      </c>
      <c r="F716" s="13" t="n">
        <v>-16.05</v>
      </c>
      <c r="G716" s="13" t="n">
        <v>0</v>
      </c>
      <c r="H716" s="14" t="n">
        <f aca="false">E716+F716+G716</f>
        <v>1579.8</v>
      </c>
      <c r="I716" s="15" t="n">
        <f aca="false">IF($H$1182=0,0,H716/$H$1182)</f>
        <v>0.00013086816392526</v>
      </c>
      <c r="J716" s="16" t="n">
        <f aca="false">IF(C716&lt;=0,0,H716/C716)</f>
        <v>112.842857142857</v>
      </c>
    </row>
    <row r="717" customFormat="false" ht="15" hidden="false" customHeight="true" outlineLevel="0" collapsed="false">
      <c r="A717" s="5" t="n">
        <v>713</v>
      </c>
      <c r="B717" s="5" t="s">
        <v>724</v>
      </c>
      <c r="C717" s="6" t="n">
        <v>14</v>
      </c>
      <c r="D717" s="6" t="n">
        <v>16</v>
      </c>
      <c r="E717" s="7" t="n">
        <v>1699.83</v>
      </c>
      <c r="F717" s="7" t="n">
        <v>-9.99</v>
      </c>
      <c r="G717" s="7" t="n">
        <v>-299.97</v>
      </c>
      <c r="H717" s="8" t="n">
        <f aca="false">E717+F717+G717</f>
        <v>1389.87</v>
      </c>
      <c r="I717" s="9" t="n">
        <f aca="false">IF($H$1182=0,0,H717/$H$1182)</f>
        <v>0.000115134659447273</v>
      </c>
      <c r="J717" s="10" t="n">
        <f aca="false">IF(C717&lt;=0,0,H717/C717)</f>
        <v>99.2764285714286</v>
      </c>
    </row>
    <row r="718" customFormat="false" ht="15" hidden="false" customHeight="true" outlineLevel="0" collapsed="false">
      <c r="A718" s="11" t="n">
        <v>714</v>
      </c>
      <c r="B718" s="11" t="s">
        <v>725</v>
      </c>
      <c r="C718" s="12" t="n">
        <v>14</v>
      </c>
      <c r="D718" s="12" t="n">
        <v>10</v>
      </c>
      <c r="E718" s="13" t="n">
        <v>603</v>
      </c>
      <c r="F718" s="13" t="n">
        <v>0</v>
      </c>
      <c r="G718" s="13" t="n">
        <v>0</v>
      </c>
      <c r="H718" s="14" t="n">
        <f aca="false">E718+F718+G718</f>
        <v>603</v>
      </c>
      <c r="I718" s="15" t="n">
        <f aca="false">IF($H$1182=0,0,H718/$H$1182)</f>
        <v>4.99515779509633E-005</v>
      </c>
      <c r="J718" s="16" t="n">
        <f aca="false">IF(C718&lt;=0,0,H718/C718)</f>
        <v>43.0714285714286</v>
      </c>
    </row>
    <row r="719" customFormat="false" ht="15" hidden="false" customHeight="true" outlineLevel="0" collapsed="false">
      <c r="A719" s="5" t="n">
        <v>715</v>
      </c>
      <c r="B719" s="5" t="s">
        <v>726</v>
      </c>
      <c r="C719" s="6" t="n">
        <v>14</v>
      </c>
      <c r="D719" s="6" t="n">
        <v>7</v>
      </c>
      <c r="E719" s="7" t="n">
        <v>586.89</v>
      </c>
      <c r="F719" s="7" t="n">
        <v>0</v>
      </c>
      <c r="G719" s="7" t="n">
        <v>0</v>
      </c>
      <c r="H719" s="8" t="n">
        <f aca="false">E719+F719+G719</f>
        <v>586.89</v>
      </c>
      <c r="I719" s="9" t="n">
        <f aca="false">IF($H$1182=0,0,H719/$H$1182)</f>
        <v>4.8617050719139E-005</v>
      </c>
      <c r="J719" s="10" t="n">
        <f aca="false">IF(C719&lt;=0,0,H719/C719)</f>
        <v>41.9207142857143</v>
      </c>
    </row>
    <row r="720" customFormat="false" ht="15" hidden="false" customHeight="true" outlineLevel="0" collapsed="false">
      <c r="A720" s="11" t="n">
        <v>716</v>
      </c>
      <c r="B720" s="11" t="s">
        <v>727</v>
      </c>
      <c r="C720" s="12" t="n">
        <v>14</v>
      </c>
      <c r="D720" s="12" t="n">
        <v>10</v>
      </c>
      <c r="E720" s="13" t="n">
        <v>495</v>
      </c>
      <c r="F720" s="13" t="n">
        <v>-16.5</v>
      </c>
      <c r="G720" s="13" t="n">
        <v>-33</v>
      </c>
      <c r="H720" s="14" t="n">
        <f aca="false">E720+F720+G720</f>
        <v>445.5</v>
      </c>
      <c r="I720" s="15" t="n">
        <f aca="false">IF($H$1182=0,0,H720/$H$1182)</f>
        <v>3.69045240085475E-005</v>
      </c>
      <c r="J720" s="16" t="n">
        <f aca="false">IF(C720&lt;=0,0,H720/C720)</f>
        <v>31.8214285714286</v>
      </c>
    </row>
    <row r="721" customFormat="false" ht="15" hidden="false" customHeight="true" outlineLevel="0" collapsed="false">
      <c r="A721" s="5" t="n">
        <v>717</v>
      </c>
      <c r="B721" s="5" t="s">
        <v>728</v>
      </c>
      <c r="C721" s="6" t="n">
        <v>14</v>
      </c>
      <c r="D721" s="6" t="n">
        <v>9</v>
      </c>
      <c r="E721" s="7" t="n">
        <v>506</v>
      </c>
      <c r="F721" s="7" t="n">
        <v>-0.26</v>
      </c>
      <c r="G721" s="7" t="n">
        <v>-184</v>
      </c>
      <c r="H721" s="8" t="n">
        <f aca="false">E721+F721+G721</f>
        <v>321.74</v>
      </c>
      <c r="I721" s="9" t="n">
        <f aca="false">IF($H$1182=0,0,H721/$H$1182)</f>
        <v>2.66524389551292E-005</v>
      </c>
      <c r="J721" s="10" t="n">
        <f aca="false">IF(C721&lt;=0,0,H721/C721)</f>
        <v>22.9814285714286</v>
      </c>
    </row>
    <row r="722" customFormat="false" ht="15" hidden="false" customHeight="true" outlineLevel="0" collapsed="false">
      <c r="A722" s="11" t="n">
        <v>718</v>
      </c>
      <c r="B722" s="11" t="s">
        <v>729</v>
      </c>
      <c r="C722" s="12" t="n">
        <v>14</v>
      </c>
      <c r="D722" s="12" t="n">
        <v>9</v>
      </c>
      <c r="E722" s="13" t="n">
        <v>292.62</v>
      </c>
      <c r="F722" s="13" t="n">
        <v>-55.66</v>
      </c>
      <c r="G722" s="13" t="n">
        <v>-21.54</v>
      </c>
      <c r="H722" s="14" t="n">
        <f aca="false">E722+F722+G722</f>
        <v>215.42</v>
      </c>
      <c r="I722" s="15" t="n">
        <f aca="false">IF($H$1182=0,0,H722/$H$1182)</f>
        <v>1.78450562557156E-005</v>
      </c>
      <c r="J722" s="16" t="n">
        <f aca="false">IF(C722&lt;=0,0,H722/C722)</f>
        <v>15.3871428571429</v>
      </c>
    </row>
    <row r="723" customFormat="false" ht="15" hidden="false" customHeight="true" outlineLevel="0" collapsed="false">
      <c r="A723" s="5" t="n">
        <v>719</v>
      </c>
      <c r="B723" s="5" t="s">
        <v>730</v>
      </c>
      <c r="C723" s="6" t="n">
        <v>14</v>
      </c>
      <c r="D723" s="6" t="n">
        <v>14</v>
      </c>
      <c r="E723" s="7" t="n">
        <v>171</v>
      </c>
      <c r="F723" s="7" t="n">
        <v>-0.9</v>
      </c>
      <c r="G723" s="7" t="n">
        <v>-45</v>
      </c>
      <c r="H723" s="8" t="n">
        <f aca="false">E723+F723+G723</f>
        <v>125.1</v>
      </c>
      <c r="I723" s="9" t="n">
        <f aca="false">IF($H$1182=0,0,H723/$H$1182)</f>
        <v>1.0363088559976E-005</v>
      </c>
      <c r="J723" s="10" t="n">
        <f aca="false">IF(C723&lt;=0,0,H723/C723)</f>
        <v>8.93571428571429</v>
      </c>
    </row>
    <row r="724" customFormat="false" ht="15" hidden="false" customHeight="true" outlineLevel="0" collapsed="false">
      <c r="A724" s="11" t="n">
        <v>720</v>
      </c>
      <c r="B724" s="11" t="s">
        <v>731</v>
      </c>
      <c r="C724" s="12" t="n">
        <v>13</v>
      </c>
      <c r="D724" s="12" t="n">
        <v>13</v>
      </c>
      <c r="E724" s="13" t="n">
        <v>26180</v>
      </c>
      <c r="F724" s="13" t="n">
        <v>0</v>
      </c>
      <c r="G724" s="13" t="n">
        <v>-1870</v>
      </c>
      <c r="H724" s="14" t="n">
        <f aca="false">E724+F724+G724</f>
        <v>24310</v>
      </c>
      <c r="I724" s="15" t="n">
        <f aca="false">IF($H$1182=0,0,H724/$H$1182)</f>
        <v>0.00201380242120716</v>
      </c>
      <c r="J724" s="16" t="n">
        <f aca="false">IF(C724&lt;=0,0,H724/C724)</f>
        <v>1870</v>
      </c>
    </row>
    <row r="725" customFormat="false" ht="15" hidden="false" customHeight="true" outlineLevel="0" collapsed="false">
      <c r="A725" s="5" t="n">
        <v>721</v>
      </c>
      <c r="B725" s="5" t="s">
        <v>732</v>
      </c>
      <c r="C725" s="6" t="n">
        <v>13</v>
      </c>
      <c r="D725" s="6" t="n">
        <v>17</v>
      </c>
      <c r="E725" s="7" t="n">
        <v>17846</v>
      </c>
      <c r="F725" s="7" t="n">
        <v>-107.99</v>
      </c>
      <c r="G725" s="7" t="n">
        <v>-5716</v>
      </c>
      <c r="H725" s="8" t="n">
        <f aca="false">E725+F725+G725</f>
        <v>12022.01</v>
      </c>
      <c r="I725" s="9" t="n">
        <f aca="false">IF($H$1182=0,0,H725/$H$1182)</f>
        <v>0.000995884526769917</v>
      </c>
      <c r="J725" s="10" t="n">
        <f aca="false">IF(C725&lt;=0,0,H725/C725)</f>
        <v>924.77</v>
      </c>
    </row>
    <row r="726" customFormat="false" ht="15" hidden="false" customHeight="true" outlineLevel="0" collapsed="false">
      <c r="A726" s="11" t="n">
        <v>722</v>
      </c>
      <c r="B726" s="11" t="s">
        <v>733</v>
      </c>
      <c r="C726" s="12" t="n">
        <v>13</v>
      </c>
      <c r="D726" s="12" t="n">
        <v>10</v>
      </c>
      <c r="E726" s="13" t="n">
        <v>10590.38</v>
      </c>
      <c r="F726" s="13" t="n">
        <v>-106.47</v>
      </c>
      <c r="G726" s="13" t="n">
        <v>-1361.54</v>
      </c>
      <c r="H726" s="14" t="n">
        <f aca="false">E726+F726+G726</f>
        <v>9122.37</v>
      </c>
      <c r="I726" s="15" t="n">
        <f aca="false">IF($H$1182=0,0,H726/$H$1182)</f>
        <v>0.00075568287919159</v>
      </c>
      <c r="J726" s="16" t="n">
        <f aca="false">IF(C726&lt;=0,0,H726/C726)</f>
        <v>701.720769230769</v>
      </c>
    </row>
    <row r="727" customFormat="false" ht="15" hidden="false" customHeight="true" outlineLevel="0" collapsed="false">
      <c r="A727" s="5" t="n">
        <v>723</v>
      </c>
      <c r="B727" s="5" t="s">
        <v>734</v>
      </c>
      <c r="C727" s="6" t="n">
        <v>13</v>
      </c>
      <c r="D727" s="6" t="n">
        <v>7</v>
      </c>
      <c r="E727" s="7" t="n">
        <v>9099.87</v>
      </c>
      <c r="F727" s="7" t="n">
        <v>-77.45</v>
      </c>
      <c r="G727" s="7" t="n">
        <v>0</v>
      </c>
      <c r="H727" s="8" t="n">
        <f aca="false">E727+F727+G727</f>
        <v>9022.42</v>
      </c>
      <c r="I727" s="9" t="n">
        <f aca="false">IF($H$1182=0,0,H727/$H$1182)</f>
        <v>0.000747403177340514</v>
      </c>
      <c r="J727" s="10" t="n">
        <f aca="false">IF(C727&lt;=0,0,H727/C727)</f>
        <v>694.032307692308</v>
      </c>
    </row>
    <row r="728" customFormat="false" ht="15" hidden="false" customHeight="true" outlineLevel="0" collapsed="false">
      <c r="A728" s="11" t="n">
        <v>724</v>
      </c>
      <c r="B728" s="11" t="s">
        <v>735</v>
      </c>
      <c r="C728" s="12" t="n">
        <v>13</v>
      </c>
      <c r="D728" s="12" t="n">
        <v>9</v>
      </c>
      <c r="E728" s="13" t="n">
        <v>6289.91</v>
      </c>
      <c r="F728" s="13" t="n">
        <v>0</v>
      </c>
      <c r="G728" s="13" t="n">
        <v>0</v>
      </c>
      <c r="H728" s="14" t="n">
        <f aca="false">E728+F728+G728</f>
        <v>6289.91</v>
      </c>
      <c r="I728" s="15" t="n">
        <f aca="false">IF($H$1182=0,0,H728/$H$1182)</f>
        <v>0.000521046317859939</v>
      </c>
      <c r="J728" s="16" t="n">
        <f aca="false">IF(C728&lt;=0,0,H728/C728)</f>
        <v>483.839230769231</v>
      </c>
    </row>
    <row r="729" customFormat="false" ht="15" hidden="false" customHeight="true" outlineLevel="0" collapsed="false">
      <c r="A729" s="5" t="n">
        <v>725</v>
      </c>
      <c r="B729" s="5" t="s">
        <v>736</v>
      </c>
      <c r="C729" s="6" t="n">
        <v>13</v>
      </c>
      <c r="D729" s="6" t="n">
        <v>12</v>
      </c>
      <c r="E729" s="7" t="n">
        <v>6734.84</v>
      </c>
      <c r="F729" s="7" t="n">
        <v>-53.67</v>
      </c>
      <c r="G729" s="7" t="n">
        <v>-483.07</v>
      </c>
      <c r="H729" s="8" t="n">
        <f aca="false">E729+F729+G729</f>
        <v>6198.1</v>
      </c>
      <c r="I729" s="9" t="n">
        <f aca="false">IF($H$1182=0,0,H729/$H$1182)</f>
        <v>0.000513440920891983</v>
      </c>
      <c r="J729" s="10" t="n">
        <f aca="false">IF(C729&lt;=0,0,H729/C729)</f>
        <v>476.776923076923</v>
      </c>
    </row>
    <row r="730" customFormat="false" ht="15" hidden="false" customHeight="true" outlineLevel="0" collapsed="false">
      <c r="A730" s="11" t="n">
        <v>726</v>
      </c>
      <c r="B730" s="11" t="s">
        <v>737</v>
      </c>
      <c r="C730" s="12" t="n">
        <v>13</v>
      </c>
      <c r="D730" s="12" t="n">
        <v>11</v>
      </c>
      <c r="E730" s="13" t="n">
        <v>6299.86</v>
      </c>
      <c r="F730" s="13" t="n">
        <v>0</v>
      </c>
      <c r="G730" s="13" t="n">
        <v>-449.99</v>
      </c>
      <c r="H730" s="14" t="n">
        <f aca="false">E730+F730+G730</f>
        <v>5849.87</v>
      </c>
      <c r="I730" s="15" t="n">
        <f aca="false">IF($H$1182=0,0,H730/$H$1182)</f>
        <v>0.000484594091721396</v>
      </c>
      <c r="J730" s="16" t="n">
        <f aca="false">IF(C730&lt;=0,0,H730/C730)</f>
        <v>449.99</v>
      </c>
    </row>
    <row r="731" customFormat="false" ht="15" hidden="false" customHeight="true" outlineLevel="0" collapsed="false">
      <c r="A731" s="5" t="n">
        <v>727</v>
      </c>
      <c r="B731" s="5" t="s">
        <v>738</v>
      </c>
      <c r="C731" s="6" t="n">
        <v>13</v>
      </c>
      <c r="D731" s="6" t="n">
        <v>11</v>
      </c>
      <c r="E731" s="7" t="n">
        <v>5849.87</v>
      </c>
      <c r="F731" s="7" t="n">
        <v>-44.99</v>
      </c>
      <c r="G731" s="7" t="n">
        <v>0</v>
      </c>
      <c r="H731" s="8" t="n">
        <f aca="false">E731+F731+G731</f>
        <v>5804.88</v>
      </c>
      <c r="I731" s="9" t="n">
        <f aca="false">IF($H$1182=0,0,H731/$H$1182)</f>
        <v>0.00048086719040794</v>
      </c>
      <c r="J731" s="10" t="n">
        <f aca="false">IF(C731&lt;=0,0,H731/C731)</f>
        <v>446.529230769231</v>
      </c>
    </row>
    <row r="732" customFormat="false" ht="15" hidden="false" customHeight="true" outlineLevel="0" collapsed="false">
      <c r="A732" s="11" t="n">
        <v>728</v>
      </c>
      <c r="B732" s="11" t="s">
        <v>739</v>
      </c>
      <c r="C732" s="12" t="n">
        <v>13</v>
      </c>
      <c r="D732" s="12" t="n">
        <v>14</v>
      </c>
      <c r="E732" s="13" t="n">
        <v>6449.85</v>
      </c>
      <c r="F732" s="13" t="n">
        <v>-85.98</v>
      </c>
      <c r="G732" s="13" t="n">
        <v>-859.98</v>
      </c>
      <c r="H732" s="14" t="n">
        <f aca="false">E732+F732+G732</f>
        <v>5503.89</v>
      </c>
      <c r="I732" s="15" t="n">
        <f aca="false">IF($H$1182=0,0,H732/$H$1182)</f>
        <v>0.0004559336490357</v>
      </c>
      <c r="J732" s="16" t="n">
        <f aca="false">IF(C732&lt;=0,0,H732/C732)</f>
        <v>423.376153846154</v>
      </c>
    </row>
    <row r="733" customFormat="false" ht="15" hidden="false" customHeight="true" outlineLevel="0" collapsed="false">
      <c r="A733" s="5" t="n">
        <v>729</v>
      </c>
      <c r="B733" s="5" t="s">
        <v>740</v>
      </c>
      <c r="C733" s="6" t="n">
        <v>13</v>
      </c>
      <c r="D733" s="6" t="n">
        <v>13</v>
      </c>
      <c r="E733" s="7" t="n">
        <v>3289.87</v>
      </c>
      <c r="F733" s="7" t="n">
        <v>-26.49</v>
      </c>
      <c r="G733" s="7" t="n">
        <v>0</v>
      </c>
      <c r="H733" s="8" t="n">
        <f aca="false">E733+F733+G733</f>
        <v>3263.38</v>
      </c>
      <c r="I733" s="9" t="n">
        <f aca="false">IF($H$1182=0,0,H733/$H$1182)</f>
        <v>0.0002703333009181</v>
      </c>
      <c r="J733" s="10" t="n">
        <f aca="false">IF(C733&lt;=0,0,H733/C733)</f>
        <v>251.029230769231</v>
      </c>
    </row>
    <row r="734" customFormat="false" ht="15" hidden="false" customHeight="true" outlineLevel="0" collapsed="false">
      <c r="A734" s="11" t="n">
        <v>730</v>
      </c>
      <c r="B734" s="11" t="s">
        <v>741</v>
      </c>
      <c r="C734" s="12" t="n">
        <v>13</v>
      </c>
      <c r="D734" s="12" t="n">
        <v>11</v>
      </c>
      <c r="E734" s="13" t="n">
        <v>2925</v>
      </c>
      <c r="F734" s="13" t="n">
        <v>-22.5</v>
      </c>
      <c r="G734" s="13" t="n">
        <v>0</v>
      </c>
      <c r="H734" s="14" t="n">
        <f aca="false">E734+F734+G734</f>
        <v>2902.5</v>
      </c>
      <c r="I734" s="15" t="n">
        <f aca="false">IF($H$1182=0,0,H734/$H$1182)</f>
        <v>0.000240438565510234</v>
      </c>
      <c r="J734" s="16" t="n">
        <f aca="false">IF(C734&lt;=0,0,H734/C734)</f>
        <v>223.269230769231</v>
      </c>
    </row>
    <row r="735" customFormat="false" ht="15" hidden="false" customHeight="true" outlineLevel="0" collapsed="false">
      <c r="A735" s="5" t="n">
        <v>731</v>
      </c>
      <c r="B735" s="5" t="s">
        <v>742</v>
      </c>
      <c r="C735" s="6" t="n">
        <v>13</v>
      </c>
      <c r="D735" s="6" t="n">
        <v>15</v>
      </c>
      <c r="E735" s="7" t="n">
        <v>2483.32</v>
      </c>
      <c r="F735" s="7" t="n">
        <v>-33.98</v>
      </c>
      <c r="G735" s="7" t="n">
        <v>-643.45</v>
      </c>
      <c r="H735" s="8" t="n">
        <f aca="false">E735+F735+G735</f>
        <v>1805.89</v>
      </c>
      <c r="I735" s="9" t="n">
        <f aca="false">IF($H$1182=0,0,H735/$H$1182)</f>
        <v>0.000149597106311551</v>
      </c>
      <c r="J735" s="10" t="n">
        <f aca="false">IF(C735&lt;=0,0,H735/C735)</f>
        <v>138.914615384615</v>
      </c>
    </row>
    <row r="736" customFormat="false" ht="15" hidden="false" customHeight="true" outlineLevel="0" collapsed="false">
      <c r="A736" s="11" t="n">
        <v>732</v>
      </c>
      <c r="B736" s="11" t="s">
        <v>743</v>
      </c>
      <c r="C736" s="12" t="n">
        <v>13</v>
      </c>
      <c r="D736" s="12" t="n">
        <v>11</v>
      </c>
      <c r="E736" s="13" t="n">
        <v>1499.85</v>
      </c>
      <c r="F736" s="13" t="n">
        <v>0</v>
      </c>
      <c r="G736" s="13" t="n">
        <v>-199.98</v>
      </c>
      <c r="H736" s="14" t="n">
        <f aca="false">E736+F736+G736</f>
        <v>1299.87</v>
      </c>
      <c r="I736" s="15" t="n">
        <f aca="false">IF($H$1182=0,0,H736/$H$1182)</f>
        <v>0.000107679200051606</v>
      </c>
      <c r="J736" s="16" t="n">
        <f aca="false">IF(C736&lt;=0,0,H736/C736)</f>
        <v>99.99</v>
      </c>
    </row>
    <row r="737" customFormat="false" ht="15" hidden="false" customHeight="true" outlineLevel="0" collapsed="false">
      <c r="A737" s="5" t="n">
        <v>733</v>
      </c>
      <c r="B737" s="5" t="s">
        <v>744</v>
      </c>
      <c r="C737" s="6" t="n">
        <v>13</v>
      </c>
      <c r="D737" s="6" t="n">
        <v>11</v>
      </c>
      <c r="E737" s="7" t="n">
        <v>892.89</v>
      </c>
      <c r="F737" s="7" t="n">
        <v>-0.3</v>
      </c>
      <c r="G737" s="7" t="n">
        <v>-41</v>
      </c>
      <c r="H737" s="8" t="n">
        <f aca="false">E737+F737+G737</f>
        <v>851.59</v>
      </c>
      <c r="I737" s="9" t="n">
        <f aca="false">IF($H$1182=0,0,H737/$H$1182)</f>
        <v>7.05443851861705E-005</v>
      </c>
      <c r="J737" s="10" t="n">
        <f aca="false">IF(C737&lt;=0,0,H737/C737)</f>
        <v>65.5069230769231</v>
      </c>
    </row>
    <row r="738" customFormat="false" ht="15" hidden="false" customHeight="true" outlineLevel="0" collapsed="false">
      <c r="A738" s="11" t="n">
        <v>734</v>
      </c>
      <c r="B738" s="11" t="s">
        <v>745</v>
      </c>
      <c r="C738" s="12" t="n">
        <v>13</v>
      </c>
      <c r="D738" s="12" t="n">
        <v>7</v>
      </c>
      <c r="E738" s="13" t="n">
        <v>681.87</v>
      </c>
      <c r="F738" s="13" t="n">
        <v>-21.56</v>
      </c>
      <c r="G738" s="13" t="n">
        <v>0</v>
      </c>
      <c r="H738" s="14" t="n">
        <f aca="false">E738+F738+G738</f>
        <v>660.31</v>
      </c>
      <c r="I738" s="15" t="n">
        <f aca="false">IF($H$1182=0,0,H738/$H$1182)</f>
        <v>5.4699048817248E-005</v>
      </c>
      <c r="J738" s="16" t="n">
        <f aca="false">IF(C738&lt;=0,0,H738/C738)</f>
        <v>50.7930769230769</v>
      </c>
    </row>
    <row r="739" customFormat="false" ht="15" hidden="false" customHeight="true" outlineLevel="0" collapsed="false">
      <c r="A739" s="5" t="n">
        <v>735</v>
      </c>
      <c r="B739" s="5" t="s">
        <v>746</v>
      </c>
      <c r="C739" s="6" t="n">
        <v>13</v>
      </c>
      <c r="D739" s="6" t="n">
        <v>14</v>
      </c>
      <c r="E739" s="7" t="n">
        <v>597.99</v>
      </c>
      <c r="F739" s="7" t="n">
        <v>0</v>
      </c>
      <c r="G739" s="7" t="n">
        <v>-42.75</v>
      </c>
      <c r="H739" s="8" t="n">
        <f aca="false">E739+F739+G739</f>
        <v>555.24</v>
      </c>
      <c r="I739" s="9" t="n">
        <f aca="false">IF($H$1182=0,0,H739/$H$1182)</f>
        <v>4.59952141649964E-005</v>
      </c>
      <c r="J739" s="10" t="n">
        <f aca="false">IF(C739&lt;=0,0,H739/C739)</f>
        <v>42.7107692307692</v>
      </c>
    </row>
    <row r="740" customFormat="false" ht="15" hidden="false" customHeight="true" outlineLevel="0" collapsed="false">
      <c r="A740" s="11" t="n">
        <v>736</v>
      </c>
      <c r="B740" s="11" t="s">
        <v>747</v>
      </c>
      <c r="C740" s="12" t="n">
        <v>13</v>
      </c>
      <c r="D740" s="12" t="n">
        <v>7</v>
      </c>
      <c r="E740" s="13" t="n">
        <v>389.87</v>
      </c>
      <c r="F740" s="13" t="n">
        <v>-2.99</v>
      </c>
      <c r="G740" s="13" t="n">
        <v>0</v>
      </c>
      <c r="H740" s="14" t="n">
        <f aca="false">E740+F740+G740</f>
        <v>386.88</v>
      </c>
      <c r="I740" s="15" t="n">
        <f aca="false">IF($H$1182=0,0,H740/$H$1182)</f>
        <v>3.20485347888369E-005</v>
      </c>
      <c r="J740" s="16" t="n">
        <f aca="false">IF(C740&lt;=0,0,H740/C740)</f>
        <v>29.76</v>
      </c>
    </row>
    <row r="741" customFormat="false" ht="15" hidden="false" customHeight="true" outlineLevel="0" collapsed="false">
      <c r="A741" s="5" t="n">
        <v>737</v>
      </c>
      <c r="B741" s="5" t="s">
        <v>748</v>
      </c>
      <c r="C741" s="6" t="n">
        <v>13</v>
      </c>
      <c r="D741" s="6" t="n">
        <v>8</v>
      </c>
      <c r="E741" s="7" t="n">
        <v>324.87</v>
      </c>
      <c r="F741" s="7" t="n">
        <v>-2.49</v>
      </c>
      <c r="G741" s="7" t="n">
        <v>0</v>
      </c>
      <c r="H741" s="8" t="n">
        <f aca="false">E741+F741+G741</f>
        <v>322.38</v>
      </c>
      <c r="I741" s="9" t="n">
        <f aca="false">IF($H$1182=0,0,H741/$H$1182)</f>
        <v>2.67054555552762E-005</v>
      </c>
      <c r="J741" s="10" t="n">
        <f aca="false">IF(C741&lt;=0,0,H741/C741)</f>
        <v>24.7984615384615</v>
      </c>
    </row>
    <row r="742" customFormat="false" ht="15" hidden="false" customHeight="true" outlineLevel="0" collapsed="false">
      <c r="A742" s="11" t="n">
        <v>738</v>
      </c>
      <c r="B742" s="11" t="s">
        <v>749</v>
      </c>
      <c r="C742" s="12" t="n">
        <v>13</v>
      </c>
      <c r="D742" s="12" t="n">
        <v>10</v>
      </c>
      <c r="E742" s="13" t="n">
        <v>324.87</v>
      </c>
      <c r="F742" s="13" t="n">
        <v>-5.09</v>
      </c>
      <c r="G742" s="13" t="n">
        <v>0</v>
      </c>
      <c r="H742" s="14" t="n">
        <f aca="false">E742+F742+G742</f>
        <v>319.78</v>
      </c>
      <c r="I742" s="15" t="n">
        <f aca="false">IF($H$1182=0,0,H742/$H$1182)</f>
        <v>2.64900756171792E-005</v>
      </c>
      <c r="J742" s="16" t="n">
        <f aca="false">IF(C742&lt;=0,0,H742/C742)</f>
        <v>24.5984615384615</v>
      </c>
    </row>
    <row r="743" customFormat="false" ht="15" hidden="false" customHeight="true" outlineLevel="0" collapsed="false">
      <c r="A743" s="5" t="n">
        <v>739</v>
      </c>
      <c r="B743" s="5" t="s">
        <v>750</v>
      </c>
      <c r="C743" s="6" t="n">
        <v>13</v>
      </c>
      <c r="D743" s="6" t="n">
        <v>9</v>
      </c>
      <c r="E743" s="7" t="n">
        <v>268.98</v>
      </c>
      <c r="F743" s="7" t="n">
        <v>0</v>
      </c>
      <c r="G743" s="7" t="n">
        <v>0</v>
      </c>
      <c r="H743" s="8" t="n">
        <f aca="false">E743+F743+G743</f>
        <v>268.98</v>
      </c>
      <c r="I743" s="9" t="n">
        <f aca="false">IF($H$1182=0,0,H743/$H$1182)</f>
        <v>2.22818829805143E-005</v>
      </c>
      <c r="J743" s="10" t="n">
        <f aca="false">IF(C743&lt;=0,0,H743/C743)</f>
        <v>20.6907692307692</v>
      </c>
    </row>
    <row r="744" customFormat="false" ht="15" hidden="false" customHeight="true" outlineLevel="0" collapsed="false">
      <c r="A744" s="11" t="n">
        <v>740</v>
      </c>
      <c r="B744" s="11" t="s">
        <v>751</v>
      </c>
      <c r="C744" s="12" t="n">
        <v>13</v>
      </c>
      <c r="D744" s="12" t="n">
        <v>11</v>
      </c>
      <c r="E744" s="13" t="n">
        <v>247.67</v>
      </c>
      <c r="F744" s="13" t="n">
        <v>-1.41</v>
      </c>
      <c r="G744" s="13" t="n">
        <v>-29.99</v>
      </c>
      <c r="H744" s="14" t="n">
        <f aca="false">E744+F744+G744</f>
        <v>216.27</v>
      </c>
      <c r="I744" s="15" t="n">
        <f aca="false">IF($H$1182=0,0,H744/$H$1182)</f>
        <v>1.79154689277858E-005</v>
      </c>
      <c r="J744" s="16" t="n">
        <f aca="false">IF(C744&lt;=0,0,H744/C744)</f>
        <v>16.6361538461538</v>
      </c>
    </row>
    <row r="745" customFormat="false" ht="15" hidden="false" customHeight="true" outlineLevel="0" collapsed="false">
      <c r="A745" s="5" t="n">
        <v>741</v>
      </c>
      <c r="B745" s="5" t="s">
        <v>752</v>
      </c>
      <c r="C745" s="6" t="n">
        <v>12</v>
      </c>
      <c r="D745" s="6" t="n">
        <v>7</v>
      </c>
      <c r="E745" s="7" t="n">
        <v>40800</v>
      </c>
      <c r="F745" s="7" t="n">
        <v>-340</v>
      </c>
      <c r="G745" s="7" t="n">
        <v>0</v>
      </c>
      <c r="H745" s="8" t="n">
        <f aca="false">E745+F745+G745</f>
        <v>40460</v>
      </c>
      <c r="I745" s="9" t="n">
        <f aca="false">IF($H$1182=0,0,H745/$H$1182)</f>
        <v>0.00335164319054059</v>
      </c>
      <c r="J745" s="10" t="n">
        <f aca="false">IF(C745&lt;=0,0,H745/C745)</f>
        <v>3371.66666666667</v>
      </c>
    </row>
    <row r="746" customFormat="false" ht="15" hidden="false" customHeight="true" outlineLevel="0" collapsed="false">
      <c r="A746" s="11" t="n">
        <v>742</v>
      </c>
      <c r="B746" s="11" t="s">
        <v>753</v>
      </c>
      <c r="C746" s="12" t="n">
        <v>12</v>
      </c>
      <c r="D746" s="12" t="n">
        <v>12</v>
      </c>
      <c r="E746" s="13" t="n">
        <v>16680</v>
      </c>
      <c r="F746" s="13" t="n">
        <v>0</v>
      </c>
      <c r="G746" s="13" t="n">
        <v>0</v>
      </c>
      <c r="H746" s="14" t="n">
        <f aca="false">E746+F746+G746</f>
        <v>16680</v>
      </c>
      <c r="I746" s="15" t="n">
        <f aca="false">IF($H$1182=0,0,H746/$H$1182)</f>
        <v>0.00138174514133013</v>
      </c>
      <c r="J746" s="16" t="n">
        <f aca="false">IF(C746&lt;=0,0,H746/C746)</f>
        <v>1390</v>
      </c>
    </row>
    <row r="747" customFormat="false" ht="15" hidden="false" customHeight="true" outlineLevel="0" collapsed="false">
      <c r="A747" s="5" t="n">
        <v>743</v>
      </c>
      <c r="B747" s="5" t="s">
        <v>754</v>
      </c>
      <c r="C747" s="6" t="n">
        <v>12</v>
      </c>
      <c r="D747" s="6" t="n">
        <v>7</v>
      </c>
      <c r="E747" s="7" t="n">
        <v>11330</v>
      </c>
      <c r="F747" s="7" t="n">
        <v>-1.51</v>
      </c>
      <c r="G747" s="7" t="n">
        <v>0</v>
      </c>
      <c r="H747" s="8" t="n">
        <f aca="false">E747+F747+G747</f>
        <v>11328.49</v>
      </c>
      <c r="I747" s="9" t="n">
        <f aca="false">IF($H$1182=0,0,H747/$H$1182)</f>
        <v>0.000938434413435668</v>
      </c>
      <c r="J747" s="10" t="n">
        <f aca="false">IF(C747&lt;=0,0,H747/C747)</f>
        <v>944.040833333333</v>
      </c>
    </row>
    <row r="748" customFormat="false" ht="15" hidden="false" customHeight="true" outlineLevel="0" collapsed="false">
      <c r="A748" s="11" t="n">
        <v>744</v>
      </c>
      <c r="B748" s="11" t="s">
        <v>755</v>
      </c>
      <c r="C748" s="12" t="n">
        <v>12</v>
      </c>
      <c r="D748" s="12" t="n">
        <v>8</v>
      </c>
      <c r="E748" s="13" t="n">
        <v>12144</v>
      </c>
      <c r="F748" s="13" t="n">
        <v>0</v>
      </c>
      <c r="G748" s="13" t="n">
        <v>-920</v>
      </c>
      <c r="H748" s="14" t="n">
        <f aca="false">E748+F748+G748</f>
        <v>11224</v>
      </c>
      <c r="I748" s="15" t="n">
        <f aca="false">IF($H$1182=0,0,H748/$H$1182)</f>
        <v>0.0009297786250773</v>
      </c>
      <c r="J748" s="16" t="n">
        <f aca="false">IF(C748&lt;=0,0,H748/C748)</f>
        <v>935.333333333333</v>
      </c>
    </row>
    <row r="749" customFormat="false" ht="15" hidden="false" customHeight="true" outlineLevel="0" collapsed="false">
      <c r="A749" s="5" t="n">
        <v>745</v>
      </c>
      <c r="B749" s="5" t="s">
        <v>756</v>
      </c>
      <c r="C749" s="6" t="n">
        <v>12</v>
      </c>
      <c r="D749" s="6" t="n">
        <v>16</v>
      </c>
      <c r="E749" s="7" t="n">
        <v>10588</v>
      </c>
      <c r="F749" s="7" t="n">
        <v>-202.8</v>
      </c>
      <c r="G749" s="7" t="n">
        <v>-2476</v>
      </c>
      <c r="H749" s="8" t="n">
        <f aca="false">E749+F749+G749</f>
        <v>7909.2</v>
      </c>
      <c r="I749" s="9" t="n">
        <f aca="false">IF($H$1182=0,0,H749/$H$1182)</f>
        <v>0.000655185771691142</v>
      </c>
      <c r="J749" s="10" t="n">
        <f aca="false">IF(C749&lt;=0,0,H749/C749)</f>
        <v>659.1</v>
      </c>
    </row>
    <row r="750" customFormat="false" ht="15" hidden="false" customHeight="true" outlineLevel="0" collapsed="false">
      <c r="A750" s="11" t="n">
        <v>746</v>
      </c>
      <c r="B750" s="11" t="s">
        <v>757</v>
      </c>
      <c r="C750" s="12" t="n">
        <v>12</v>
      </c>
      <c r="D750" s="12" t="n">
        <v>9</v>
      </c>
      <c r="E750" s="13" t="n">
        <v>4770</v>
      </c>
      <c r="F750" s="13" t="n">
        <v>-79.46</v>
      </c>
      <c r="G750" s="13" t="n">
        <v>0</v>
      </c>
      <c r="H750" s="14" t="n">
        <f aca="false">E750+F750+G750</f>
        <v>4690.54</v>
      </c>
      <c r="I750" s="15" t="n">
        <f aca="false">IF($H$1182=0,0,H750/$H$1182)</f>
        <v>0.000388557005708311</v>
      </c>
      <c r="J750" s="16" t="n">
        <f aca="false">IF(C750&lt;=0,0,H750/C750)</f>
        <v>390.878333333333</v>
      </c>
    </row>
    <row r="751" customFormat="false" ht="15" hidden="false" customHeight="true" outlineLevel="0" collapsed="false">
      <c r="A751" s="5" t="n">
        <v>747</v>
      </c>
      <c r="B751" s="5" t="s">
        <v>758</v>
      </c>
      <c r="C751" s="6" t="n">
        <v>12</v>
      </c>
      <c r="D751" s="6" t="n">
        <v>10</v>
      </c>
      <c r="E751" s="7" t="n">
        <v>4699.88</v>
      </c>
      <c r="F751" s="7" t="n">
        <v>-79.98</v>
      </c>
      <c r="G751" s="7" t="n">
        <v>0</v>
      </c>
      <c r="H751" s="8" t="n">
        <f aca="false">E751+F751+G751</f>
        <v>4619.9</v>
      </c>
      <c r="I751" s="9" t="n">
        <f aca="false">IF($H$1182=0,0,H751/$H$1182)</f>
        <v>0.00038270529846709</v>
      </c>
      <c r="J751" s="10" t="n">
        <f aca="false">IF(C751&lt;=0,0,H751/C751)</f>
        <v>384.991666666667</v>
      </c>
    </row>
    <row r="752" customFormat="false" ht="15" hidden="false" customHeight="true" outlineLevel="0" collapsed="false">
      <c r="A752" s="11" t="n">
        <v>748</v>
      </c>
      <c r="B752" s="11" t="s">
        <v>759</v>
      </c>
      <c r="C752" s="12" t="n">
        <v>12</v>
      </c>
      <c r="D752" s="12" t="n">
        <v>10</v>
      </c>
      <c r="E752" s="13" t="n">
        <v>4927</v>
      </c>
      <c r="F752" s="13" t="n">
        <v>-51.48</v>
      </c>
      <c r="G752" s="13" t="n">
        <v>-379</v>
      </c>
      <c r="H752" s="14" t="n">
        <f aca="false">E752+F752+G752</f>
        <v>4496.52</v>
      </c>
      <c r="I752" s="15" t="n">
        <f aca="false">IF($H$1182=0,0,H752/$H$1182)</f>
        <v>0.000372484692020009</v>
      </c>
      <c r="J752" s="16" t="n">
        <f aca="false">IF(C752&lt;=0,0,H752/C752)</f>
        <v>374.71</v>
      </c>
    </row>
    <row r="753" customFormat="false" ht="15" hidden="false" customHeight="true" outlineLevel="0" collapsed="false">
      <c r="A753" s="5" t="n">
        <v>749</v>
      </c>
      <c r="B753" s="5" t="s">
        <v>760</v>
      </c>
      <c r="C753" s="6" t="n">
        <v>12</v>
      </c>
      <c r="D753" s="6" t="n">
        <v>11</v>
      </c>
      <c r="E753" s="7" t="n">
        <v>4797</v>
      </c>
      <c r="F753" s="7" t="n">
        <v>0</v>
      </c>
      <c r="G753" s="7" t="n">
        <v>-369</v>
      </c>
      <c r="H753" s="8" t="n">
        <f aca="false">E753+F753+G753</f>
        <v>4428</v>
      </c>
      <c r="I753" s="9" t="n">
        <f aca="false">IF($H$1182=0,0,H753/$H$1182)</f>
        <v>0.000366808602266775</v>
      </c>
      <c r="J753" s="10" t="n">
        <f aca="false">IF(C753&lt;=0,0,H753/C753)</f>
        <v>369</v>
      </c>
    </row>
    <row r="754" customFormat="false" ht="15" hidden="false" customHeight="true" outlineLevel="0" collapsed="false">
      <c r="A754" s="11" t="n">
        <v>750</v>
      </c>
      <c r="B754" s="11" t="s">
        <v>761</v>
      </c>
      <c r="C754" s="12" t="n">
        <v>12</v>
      </c>
      <c r="D754" s="12" t="n">
        <v>10</v>
      </c>
      <c r="E754" s="13" t="n">
        <v>3179.88</v>
      </c>
      <c r="F754" s="13" t="n">
        <v>-15.49</v>
      </c>
      <c r="G754" s="13" t="n">
        <v>0</v>
      </c>
      <c r="H754" s="14" t="n">
        <f aca="false">E754+F754+G754</f>
        <v>3164.39</v>
      </c>
      <c r="I754" s="15" t="n">
        <f aca="false">IF($H$1182=0,0,H754/$H$1182)</f>
        <v>0.000262133123967245</v>
      </c>
      <c r="J754" s="16" t="n">
        <f aca="false">IF(C754&lt;=0,0,H754/C754)</f>
        <v>263.699166666667</v>
      </c>
    </row>
    <row r="755" customFormat="false" ht="15" hidden="false" customHeight="true" outlineLevel="0" collapsed="false">
      <c r="A755" s="5" t="n">
        <v>751</v>
      </c>
      <c r="B755" s="5" t="s">
        <v>762</v>
      </c>
      <c r="C755" s="6" t="n">
        <v>12</v>
      </c>
      <c r="D755" s="6" t="n">
        <v>16</v>
      </c>
      <c r="E755" s="7" t="n">
        <v>5695.53</v>
      </c>
      <c r="F755" s="7" t="n">
        <v>-49.98</v>
      </c>
      <c r="G755" s="7" t="n">
        <v>-2749.89</v>
      </c>
      <c r="H755" s="8" t="n">
        <f aca="false">E755+F755+G755</f>
        <v>2895.66</v>
      </c>
      <c r="I755" s="9" t="n">
        <f aca="false">IF($H$1182=0,0,H755/$H$1182)</f>
        <v>0.000239871950596163</v>
      </c>
      <c r="J755" s="10" t="n">
        <f aca="false">IF(C755&lt;=0,0,H755/C755)</f>
        <v>241.305</v>
      </c>
    </row>
    <row r="756" customFormat="false" ht="15" hidden="false" customHeight="true" outlineLevel="0" collapsed="false">
      <c r="A756" s="11" t="n">
        <v>752</v>
      </c>
      <c r="B756" s="11" t="s">
        <v>763</v>
      </c>
      <c r="C756" s="12" t="n">
        <v>12</v>
      </c>
      <c r="D756" s="12" t="n">
        <v>14</v>
      </c>
      <c r="E756" s="13" t="n">
        <v>2590</v>
      </c>
      <c r="F756" s="13" t="n">
        <v>-37</v>
      </c>
      <c r="G756" s="13" t="n">
        <v>-370</v>
      </c>
      <c r="H756" s="14" t="n">
        <f aca="false">E756+F756+G756</f>
        <v>2183</v>
      </c>
      <c r="I756" s="15" t="n">
        <f aca="false">IF($H$1182=0,0,H756/$H$1182)</f>
        <v>0.000180836309563769</v>
      </c>
      <c r="J756" s="16" t="n">
        <f aca="false">IF(C756&lt;=0,0,H756/C756)</f>
        <v>181.916666666667</v>
      </c>
    </row>
    <row r="757" customFormat="false" ht="15" hidden="false" customHeight="true" outlineLevel="0" collapsed="false">
      <c r="A757" s="5" t="n">
        <v>753</v>
      </c>
      <c r="B757" s="5" t="s">
        <v>764</v>
      </c>
      <c r="C757" s="6" t="n">
        <v>12</v>
      </c>
      <c r="D757" s="6" t="n">
        <v>11</v>
      </c>
      <c r="E757" s="7" t="n">
        <v>2183.98</v>
      </c>
      <c r="F757" s="7" t="n">
        <v>-1.24</v>
      </c>
      <c r="G757" s="7" t="n">
        <v>-184</v>
      </c>
      <c r="H757" s="8" t="n">
        <f aca="false">E757+F757+G757</f>
        <v>1998.74</v>
      </c>
      <c r="I757" s="9" t="n">
        <f aca="false">IF($H$1182=0,0,H757/$H$1182)</f>
        <v>0.000165572499027709</v>
      </c>
      <c r="J757" s="10" t="n">
        <f aca="false">IF(C757&lt;=0,0,H757/C757)</f>
        <v>166.561666666667</v>
      </c>
    </row>
    <row r="758" customFormat="false" ht="15" hidden="false" customHeight="true" outlineLevel="0" collapsed="false">
      <c r="A758" s="11" t="n">
        <v>754</v>
      </c>
      <c r="B758" s="11" t="s">
        <v>765</v>
      </c>
      <c r="C758" s="12" t="n">
        <v>12</v>
      </c>
      <c r="D758" s="12" t="n">
        <v>11</v>
      </c>
      <c r="E758" s="13" t="n">
        <v>2099.86</v>
      </c>
      <c r="F758" s="13" t="n">
        <v>-7.5</v>
      </c>
      <c r="G758" s="13" t="n">
        <v>-299.98</v>
      </c>
      <c r="H758" s="14" t="n">
        <f aca="false">E758+F758+G758</f>
        <v>1792.38</v>
      </c>
      <c r="I758" s="15" t="n">
        <f aca="false">IF($H$1182=0,0,H758/$H$1182)</f>
        <v>0.000148477959017823</v>
      </c>
      <c r="J758" s="16" t="n">
        <f aca="false">IF(C758&lt;=0,0,H758/C758)</f>
        <v>149.365</v>
      </c>
    </row>
    <row r="759" customFormat="false" ht="15" hidden="false" customHeight="true" outlineLevel="0" collapsed="false">
      <c r="A759" s="5" t="n">
        <v>755</v>
      </c>
      <c r="B759" s="5" t="s">
        <v>766</v>
      </c>
      <c r="C759" s="6" t="n">
        <v>12</v>
      </c>
      <c r="D759" s="6" t="n">
        <v>16</v>
      </c>
      <c r="E759" s="7" t="n">
        <v>2021.83</v>
      </c>
      <c r="F759" s="7" t="n">
        <v>-29.98</v>
      </c>
      <c r="G759" s="7" t="n">
        <v>-587.95</v>
      </c>
      <c r="H759" s="8" t="n">
        <f aca="false">E759+F759+G759</f>
        <v>1403.9</v>
      </c>
      <c r="I759" s="9" t="n">
        <f aca="false">IF($H$1182=0,0,H759/$H$1182)</f>
        <v>0.000116296882728619</v>
      </c>
      <c r="J759" s="10" t="n">
        <f aca="false">IF(C759&lt;=0,0,H759/C759)</f>
        <v>116.991666666667</v>
      </c>
    </row>
    <row r="760" customFormat="false" ht="15" hidden="false" customHeight="true" outlineLevel="0" collapsed="false">
      <c r="A760" s="11" t="n">
        <v>756</v>
      </c>
      <c r="B760" s="11" t="s">
        <v>767</v>
      </c>
      <c r="C760" s="12" t="n">
        <v>12</v>
      </c>
      <c r="D760" s="12" t="n">
        <v>2</v>
      </c>
      <c r="E760" s="13" t="n">
        <v>1439.88</v>
      </c>
      <c r="F760" s="13" t="n">
        <v>-71.94</v>
      </c>
      <c r="G760" s="13" t="n">
        <v>0</v>
      </c>
      <c r="H760" s="14" t="n">
        <f aca="false">E760+F760+G760</f>
        <v>1367.94</v>
      </c>
      <c r="I760" s="15" t="n">
        <f aca="false">IF($H$1182=0,0,H760/$H$1182)</f>
        <v>0.000113318012507862</v>
      </c>
      <c r="J760" s="16" t="n">
        <f aca="false">IF(C760&lt;=0,0,H760/C760)</f>
        <v>113.995</v>
      </c>
    </row>
    <row r="761" customFormat="false" ht="15" hidden="false" customHeight="true" outlineLevel="0" collapsed="false">
      <c r="A761" s="5" t="n">
        <v>757</v>
      </c>
      <c r="B761" s="5" t="s">
        <v>768</v>
      </c>
      <c r="C761" s="6" t="n">
        <v>12</v>
      </c>
      <c r="D761" s="6" t="n">
        <v>10</v>
      </c>
      <c r="E761" s="7" t="n">
        <v>1736.89</v>
      </c>
      <c r="F761" s="7" t="n">
        <v>-10.23</v>
      </c>
      <c r="G761" s="7" t="n">
        <v>-412.31</v>
      </c>
      <c r="H761" s="8" t="n">
        <f aca="false">E761+F761+G761</f>
        <v>1314.35</v>
      </c>
      <c r="I761" s="9" t="n">
        <f aca="false">IF($H$1182=0,0,H761/$H$1182)</f>
        <v>0.000108878700629931</v>
      </c>
      <c r="J761" s="10" t="n">
        <f aca="false">IF(C761&lt;=0,0,H761/C761)</f>
        <v>109.529166666667</v>
      </c>
    </row>
    <row r="762" customFormat="false" ht="15" hidden="false" customHeight="true" outlineLevel="0" collapsed="false">
      <c r="A762" s="11" t="n">
        <v>758</v>
      </c>
      <c r="B762" s="11" t="s">
        <v>769</v>
      </c>
      <c r="C762" s="12" t="n">
        <v>12</v>
      </c>
      <c r="D762" s="12" t="n">
        <v>6</v>
      </c>
      <c r="E762" s="13" t="n">
        <v>902.99</v>
      </c>
      <c r="F762" s="13" t="n">
        <v>0</v>
      </c>
      <c r="G762" s="13" t="n">
        <v>-110.99</v>
      </c>
      <c r="H762" s="14" t="n">
        <f aca="false">E762+F762+G762</f>
        <v>792</v>
      </c>
      <c r="I762" s="15" t="n">
        <f aca="false">IF($H$1182=0,0,H762/$H$1182)</f>
        <v>6.56080426818622E-005</v>
      </c>
      <c r="J762" s="16" t="n">
        <f aca="false">IF(C762&lt;=0,0,H762/C762)</f>
        <v>66</v>
      </c>
    </row>
    <row r="763" customFormat="false" ht="15" hidden="false" customHeight="true" outlineLevel="0" collapsed="false">
      <c r="A763" s="5" t="n">
        <v>759</v>
      </c>
      <c r="B763" s="5" t="s">
        <v>770</v>
      </c>
      <c r="C763" s="6" t="n">
        <v>12</v>
      </c>
      <c r="D763" s="6" t="n">
        <v>9</v>
      </c>
      <c r="E763" s="7" t="n">
        <v>909.86</v>
      </c>
      <c r="F763" s="7" t="n">
        <v>-6.49</v>
      </c>
      <c r="G763" s="7" t="n">
        <v>-129.98</v>
      </c>
      <c r="H763" s="8" t="n">
        <f aca="false">E763+F763+G763</f>
        <v>773.39</v>
      </c>
      <c r="I763" s="9" t="n">
        <f aca="false">IF($H$1182=0,0,H763/$H$1182)</f>
        <v>6.40664193557139E-005</v>
      </c>
      <c r="J763" s="10" t="n">
        <f aca="false">IF(C763&lt;=0,0,H763/C763)</f>
        <v>64.4491666666667</v>
      </c>
    </row>
    <row r="764" customFormat="false" ht="15" hidden="false" customHeight="true" outlineLevel="0" collapsed="false">
      <c r="A764" s="11" t="n">
        <v>760</v>
      </c>
      <c r="B764" s="11" t="s">
        <v>771</v>
      </c>
      <c r="C764" s="12" t="n">
        <v>12</v>
      </c>
      <c r="D764" s="12" t="n">
        <v>10</v>
      </c>
      <c r="E764" s="13" t="n">
        <v>540</v>
      </c>
      <c r="F764" s="13" t="n">
        <v>-4.5</v>
      </c>
      <c r="G764" s="13" t="n">
        <v>0</v>
      </c>
      <c r="H764" s="14" t="n">
        <f aca="false">E764+F764+G764</f>
        <v>535.5</v>
      </c>
      <c r="I764" s="15" t="n">
        <f aca="false">IF($H$1182=0,0,H764/$H$1182)</f>
        <v>4.43599834042137E-005</v>
      </c>
      <c r="J764" s="16" t="n">
        <f aca="false">IF(C764&lt;=0,0,H764/C764)</f>
        <v>44.625</v>
      </c>
    </row>
    <row r="765" customFormat="false" ht="15" hidden="false" customHeight="true" outlineLevel="0" collapsed="false">
      <c r="A765" s="5" t="n">
        <v>761</v>
      </c>
      <c r="B765" s="5" t="s">
        <v>772</v>
      </c>
      <c r="C765" s="6" t="n">
        <v>12</v>
      </c>
      <c r="D765" s="6" t="n">
        <v>9</v>
      </c>
      <c r="E765" s="7" t="n">
        <v>585</v>
      </c>
      <c r="F765" s="7" t="n">
        <v>-4.5</v>
      </c>
      <c r="G765" s="7" t="n">
        <v>-45</v>
      </c>
      <c r="H765" s="8" t="n">
        <f aca="false">E765+F765+G765</f>
        <v>535.5</v>
      </c>
      <c r="I765" s="9" t="n">
        <f aca="false">IF($H$1182=0,0,H765/$H$1182)</f>
        <v>4.43599834042137E-005</v>
      </c>
      <c r="J765" s="10" t="n">
        <f aca="false">IF(C765&lt;=0,0,H765/C765)</f>
        <v>44.625</v>
      </c>
    </row>
    <row r="766" customFormat="false" ht="15" hidden="false" customHeight="true" outlineLevel="0" collapsed="false">
      <c r="A766" s="11" t="n">
        <v>762</v>
      </c>
      <c r="B766" s="11" t="s">
        <v>773</v>
      </c>
      <c r="C766" s="12" t="n">
        <v>12</v>
      </c>
      <c r="D766" s="12" t="n">
        <v>6</v>
      </c>
      <c r="E766" s="13" t="n">
        <v>540</v>
      </c>
      <c r="F766" s="13" t="n">
        <v>-9</v>
      </c>
      <c r="G766" s="13" t="n">
        <v>0</v>
      </c>
      <c r="H766" s="14" t="n">
        <f aca="false">E766+F766+G766</f>
        <v>531</v>
      </c>
      <c r="I766" s="15" t="n">
        <f aca="false">IF($H$1182=0,0,H766/$H$1182)</f>
        <v>4.39872104344303E-005</v>
      </c>
      <c r="J766" s="16" t="n">
        <f aca="false">IF(C766&lt;=0,0,H766/C766)</f>
        <v>44.25</v>
      </c>
    </row>
    <row r="767" customFormat="false" ht="15" hidden="false" customHeight="true" outlineLevel="0" collapsed="false">
      <c r="A767" s="5" t="n">
        <v>763</v>
      </c>
      <c r="B767" s="5" t="s">
        <v>774</v>
      </c>
      <c r="C767" s="6" t="n">
        <v>12</v>
      </c>
      <c r="D767" s="6" t="n">
        <v>11</v>
      </c>
      <c r="E767" s="7" t="n">
        <v>529.98</v>
      </c>
      <c r="F767" s="7" t="n">
        <v>0</v>
      </c>
      <c r="G767" s="7" t="n">
        <v>0</v>
      </c>
      <c r="H767" s="8" t="n">
        <f aca="false">E767+F767+G767</f>
        <v>529.98</v>
      </c>
      <c r="I767" s="9" t="n">
        <f aca="false">IF($H$1182=0,0,H767/$H$1182)</f>
        <v>4.39027152279461E-005</v>
      </c>
      <c r="J767" s="10" t="n">
        <f aca="false">IF(C767&lt;=0,0,H767/C767)</f>
        <v>44.165</v>
      </c>
    </row>
    <row r="768" customFormat="false" ht="15" hidden="false" customHeight="true" outlineLevel="0" collapsed="false">
      <c r="A768" s="11" t="n">
        <v>764</v>
      </c>
      <c r="B768" s="11" t="s">
        <v>775</v>
      </c>
      <c r="C768" s="12" t="n">
        <v>12</v>
      </c>
      <c r="D768" s="12" t="n">
        <v>8</v>
      </c>
      <c r="E768" s="13" t="n">
        <v>429.87</v>
      </c>
      <c r="F768" s="13" t="n">
        <v>0</v>
      </c>
      <c r="G768" s="13" t="n">
        <v>-29.99</v>
      </c>
      <c r="H768" s="14" t="n">
        <f aca="false">E768+F768+G768</f>
        <v>399.88</v>
      </c>
      <c r="I768" s="15" t="n">
        <f aca="false">IF($H$1182=0,0,H768/$H$1182)</f>
        <v>3.3125434479322E-005</v>
      </c>
      <c r="J768" s="16" t="n">
        <f aca="false">IF(C768&lt;=0,0,H768/C768)</f>
        <v>33.3233333333333</v>
      </c>
    </row>
    <row r="769" customFormat="false" ht="15" hidden="false" customHeight="true" outlineLevel="0" collapsed="false">
      <c r="A769" s="5" t="n">
        <v>765</v>
      </c>
      <c r="B769" s="5" t="s">
        <v>776</v>
      </c>
      <c r="C769" s="6" t="n">
        <v>12</v>
      </c>
      <c r="D769" s="6" t="n">
        <v>10</v>
      </c>
      <c r="E769" s="7" t="n">
        <v>419.86</v>
      </c>
      <c r="F769" s="7" t="n">
        <v>-4.49</v>
      </c>
      <c r="G769" s="7" t="n">
        <v>-59.98</v>
      </c>
      <c r="H769" s="8" t="n">
        <f aca="false">E769+F769+G769</f>
        <v>355.39</v>
      </c>
      <c r="I769" s="9" t="n">
        <f aca="false">IF($H$1182=0,0,H769/$H$1182)</f>
        <v>2.94399523847311E-005</v>
      </c>
      <c r="J769" s="10" t="n">
        <f aca="false">IF(C769&lt;=0,0,H769/C769)</f>
        <v>29.6158333333333</v>
      </c>
    </row>
    <row r="770" customFormat="false" ht="15" hidden="false" customHeight="true" outlineLevel="0" collapsed="false">
      <c r="A770" s="11" t="n">
        <v>766</v>
      </c>
      <c r="B770" s="11" t="s">
        <v>777</v>
      </c>
      <c r="C770" s="12" t="n">
        <v>12</v>
      </c>
      <c r="D770" s="12" t="n">
        <v>8</v>
      </c>
      <c r="E770" s="13" t="n">
        <v>355.2</v>
      </c>
      <c r="F770" s="13" t="n">
        <v>-31.02</v>
      </c>
      <c r="G770" s="13" t="n">
        <v>0</v>
      </c>
      <c r="H770" s="14" t="n">
        <f aca="false">E770+F770+G770</f>
        <v>324.18</v>
      </c>
      <c r="I770" s="15" t="n">
        <f aca="false">IF($H$1182=0,0,H770/$H$1182)</f>
        <v>2.68545647431895E-005</v>
      </c>
      <c r="J770" s="16" t="n">
        <f aca="false">IF(C770&lt;=0,0,H770/C770)</f>
        <v>27.015</v>
      </c>
    </row>
    <row r="771" customFormat="false" ht="15" hidden="false" customHeight="true" outlineLevel="0" collapsed="false">
      <c r="A771" s="5" t="n">
        <v>767</v>
      </c>
      <c r="B771" s="5" t="s">
        <v>778</v>
      </c>
      <c r="C771" s="6" t="n">
        <v>12</v>
      </c>
      <c r="D771" s="6" t="n">
        <v>10</v>
      </c>
      <c r="E771" s="7" t="n">
        <v>589.72</v>
      </c>
      <c r="F771" s="7" t="n">
        <v>0</v>
      </c>
      <c r="G771" s="7" t="n">
        <v>-319.84</v>
      </c>
      <c r="H771" s="8" t="n">
        <f aca="false">E771+F771+G771</f>
        <v>269.88</v>
      </c>
      <c r="I771" s="9" t="n">
        <f aca="false">IF($H$1182=0,0,H771/$H$1182)</f>
        <v>2.23564375744709E-005</v>
      </c>
      <c r="J771" s="10" t="n">
        <f aca="false">IF(C771&lt;=0,0,H771/C771)</f>
        <v>22.49</v>
      </c>
    </row>
    <row r="772" customFormat="false" ht="15" hidden="false" customHeight="true" outlineLevel="0" collapsed="false">
      <c r="A772" s="11" t="n">
        <v>768</v>
      </c>
      <c r="B772" s="11" t="s">
        <v>779</v>
      </c>
      <c r="C772" s="12" t="n">
        <v>12</v>
      </c>
      <c r="D772" s="12" t="n">
        <v>6</v>
      </c>
      <c r="E772" s="13" t="n">
        <v>249.88</v>
      </c>
      <c r="F772" s="13" t="n">
        <v>-1.49</v>
      </c>
      <c r="G772" s="13" t="n">
        <v>-29.98</v>
      </c>
      <c r="H772" s="14" t="n">
        <f aca="false">E772+F772+G772</f>
        <v>218.41</v>
      </c>
      <c r="I772" s="15" t="n">
        <f aca="false">IF($H$1182=0,0,H772/$H$1182)</f>
        <v>1.80927431845272E-005</v>
      </c>
      <c r="J772" s="16" t="n">
        <f aca="false">IF(C772&lt;=0,0,H772/C772)</f>
        <v>18.2008333333333</v>
      </c>
    </row>
    <row r="773" customFormat="false" ht="15" hidden="false" customHeight="true" outlineLevel="0" collapsed="false">
      <c r="A773" s="5" t="n">
        <v>769</v>
      </c>
      <c r="B773" s="5" t="s">
        <v>780</v>
      </c>
      <c r="C773" s="6" t="n">
        <v>12</v>
      </c>
      <c r="D773" s="6" t="n">
        <v>13</v>
      </c>
      <c r="E773" s="7" t="n">
        <v>128.7</v>
      </c>
      <c r="F773" s="7" t="n">
        <v>-0.9</v>
      </c>
      <c r="G773" s="7" t="n">
        <v>-23.1</v>
      </c>
      <c r="H773" s="8" t="n">
        <f aca="false">E773+F773+G773</f>
        <v>104.7</v>
      </c>
      <c r="I773" s="9" t="n">
        <f aca="false">IF($H$1182=0,0,H773/$H$1182)</f>
        <v>8.67318443029163E-006</v>
      </c>
      <c r="J773" s="10" t="n">
        <f aca="false">IF(C773&lt;=0,0,H773/C773)</f>
        <v>8.725</v>
      </c>
    </row>
    <row r="774" customFormat="false" ht="15" hidden="false" customHeight="true" outlineLevel="0" collapsed="false">
      <c r="A774" s="11" t="n">
        <v>770</v>
      </c>
      <c r="B774" s="11" t="s">
        <v>781</v>
      </c>
      <c r="C774" s="12" t="n">
        <v>11</v>
      </c>
      <c r="D774" s="12" t="n">
        <v>12</v>
      </c>
      <c r="E774" s="13" t="n">
        <v>7149.87</v>
      </c>
      <c r="F774" s="13" t="n">
        <v>0</v>
      </c>
      <c r="G774" s="13" t="n">
        <v>-1099.98</v>
      </c>
      <c r="H774" s="14" t="n">
        <f aca="false">E774+F774+G774</f>
        <v>6049.89</v>
      </c>
      <c r="I774" s="15" t="n">
        <f aca="false">IF($H$1182=0,0,H774/$H$1182)</f>
        <v>0.000501163436036075</v>
      </c>
      <c r="J774" s="16" t="n">
        <f aca="false">IF(C774&lt;=0,0,H774/C774)</f>
        <v>549.99</v>
      </c>
    </row>
    <row r="775" customFormat="false" ht="15" hidden="false" customHeight="true" outlineLevel="0" collapsed="false">
      <c r="A775" s="5" t="n">
        <v>771</v>
      </c>
      <c r="B775" s="5" t="s">
        <v>782</v>
      </c>
      <c r="C775" s="6" t="n">
        <v>11</v>
      </c>
      <c r="D775" s="6" t="n">
        <v>12</v>
      </c>
      <c r="E775" s="7" t="n">
        <v>6499.87</v>
      </c>
      <c r="F775" s="7" t="n">
        <v>0</v>
      </c>
      <c r="G775" s="7" t="n">
        <v>-999.98</v>
      </c>
      <c r="H775" s="8" t="n">
        <f aca="false">E775+F775+G775</f>
        <v>5499.89</v>
      </c>
      <c r="I775" s="9" t="n">
        <f aca="false">IF($H$1182=0,0,H775/$H$1182)</f>
        <v>0.000455602295284782</v>
      </c>
      <c r="J775" s="10" t="n">
        <f aca="false">IF(C775&lt;=0,0,H775/C775)</f>
        <v>499.99</v>
      </c>
    </row>
    <row r="776" customFormat="false" ht="15" hidden="false" customHeight="true" outlineLevel="0" collapsed="false">
      <c r="A776" s="11" t="n">
        <v>772</v>
      </c>
      <c r="B776" s="11" t="s">
        <v>783</v>
      </c>
      <c r="C776" s="12" t="n">
        <v>11</v>
      </c>
      <c r="D776" s="12" t="n">
        <v>11</v>
      </c>
      <c r="E776" s="13" t="n">
        <v>6499.87</v>
      </c>
      <c r="F776" s="13" t="n">
        <v>0</v>
      </c>
      <c r="G776" s="13" t="n">
        <v>-999.98</v>
      </c>
      <c r="H776" s="14" t="n">
        <f aca="false">E776+F776+G776</f>
        <v>5499.89</v>
      </c>
      <c r="I776" s="15" t="n">
        <f aca="false">IF($H$1182=0,0,H776/$H$1182)</f>
        <v>0.000455602295284782</v>
      </c>
      <c r="J776" s="16" t="n">
        <f aca="false">IF(C776&lt;=0,0,H776/C776)</f>
        <v>499.99</v>
      </c>
    </row>
    <row r="777" customFormat="false" ht="15" hidden="false" customHeight="true" outlineLevel="0" collapsed="false">
      <c r="A777" s="5" t="n">
        <v>773</v>
      </c>
      <c r="B777" s="5" t="s">
        <v>784</v>
      </c>
      <c r="C777" s="6" t="n">
        <v>11</v>
      </c>
      <c r="D777" s="6" t="n">
        <v>11</v>
      </c>
      <c r="E777" s="7" t="n">
        <v>4799.88</v>
      </c>
      <c r="F777" s="7" t="n">
        <v>-79.99</v>
      </c>
      <c r="G777" s="7" t="n">
        <v>-399.99</v>
      </c>
      <c r="H777" s="8" t="n">
        <f aca="false">E777+F777+G777</f>
        <v>4319.9</v>
      </c>
      <c r="I777" s="9" t="n">
        <f aca="false">IF($H$1182=0,0,H777/$H$1182)</f>
        <v>0.000357853767148203</v>
      </c>
      <c r="J777" s="10" t="n">
        <f aca="false">IF(C777&lt;=0,0,H777/C777)</f>
        <v>392.718181818182</v>
      </c>
    </row>
    <row r="778" customFormat="false" ht="15" hidden="false" customHeight="true" outlineLevel="0" collapsed="false">
      <c r="A778" s="11" t="n">
        <v>774</v>
      </c>
      <c r="B778" s="11" t="s">
        <v>785</v>
      </c>
      <c r="C778" s="12" t="n">
        <v>11</v>
      </c>
      <c r="D778" s="12" t="n">
        <v>8</v>
      </c>
      <c r="E778" s="13" t="n">
        <v>3900</v>
      </c>
      <c r="F778" s="13" t="n">
        <v>0</v>
      </c>
      <c r="G778" s="13" t="n">
        <v>0</v>
      </c>
      <c r="H778" s="14" t="n">
        <f aca="false">E778+F778+G778</f>
        <v>3900</v>
      </c>
      <c r="I778" s="15" t="n">
        <f aca="false">IF($H$1182=0,0,H778/$H$1182)</f>
        <v>0.000323069907145534</v>
      </c>
      <c r="J778" s="16" t="n">
        <f aca="false">IF(C778&lt;=0,0,H778/C778)</f>
        <v>354.545454545455</v>
      </c>
    </row>
    <row r="779" customFormat="false" ht="15" hidden="false" customHeight="true" outlineLevel="0" collapsed="false">
      <c r="A779" s="5" t="n">
        <v>775</v>
      </c>
      <c r="B779" s="5" t="s">
        <v>786</v>
      </c>
      <c r="C779" s="6" t="n">
        <v>11</v>
      </c>
      <c r="D779" s="6" t="n">
        <v>10</v>
      </c>
      <c r="E779" s="7" t="n">
        <v>3458</v>
      </c>
      <c r="F779" s="7" t="n">
        <v>-2.87</v>
      </c>
      <c r="G779" s="7" t="n">
        <v>-559</v>
      </c>
      <c r="H779" s="8" t="n">
        <f aca="false">E779+F779+G779</f>
        <v>2896.13</v>
      </c>
      <c r="I779" s="9" t="n">
        <f aca="false">IF($H$1182=0,0,H779/$H$1182)</f>
        <v>0.000239910884661896</v>
      </c>
      <c r="J779" s="10" t="n">
        <f aca="false">IF(C779&lt;=0,0,H779/C779)</f>
        <v>263.284545454546</v>
      </c>
    </row>
    <row r="780" customFormat="false" ht="15" hidden="false" customHeight="true" outlineLevel="0" collapsed="false">
      <c r="A780" s="11" t="n">
        <v>776</v>
      </c>
      <c r="B780" s="11" t="s">
        <v>787</v>
      </c>
      <c r="C780" s="12" t="n">
        <v>11</v>
      </c>
      <c r="D780" s="12" t="n">
        <v>16</v>
      </c>
      <c r="E780" s="13" t="n">
        <v>5445.54</v>
      </c>
      <c r="F780" s="13" t="n">
        <v>0</v>
      </c>
      <c r="G780" s="13" t="n">
        <v>-2749.89</v>
      </c>
      <c r="H780" s="14" t="n">
        <f aca="false">E780+F780+G780</f>
        <v>2695.65</v>
      </c>
      <c r="I780" s="15" t="n">
        <f aca="false">IF($H$1182=0,0,H780/$H$1182)</f>
        <v>0.000223303434665861</v>
      </c>
      <c r="J780" s="16" t="n">
        <f aca="false">IF(C780&lt;=0,0,H780/C780)</f>
        <v>245.059090909091</v>
      </c>
    </row>
    <row r="781" customFormat="false" ht="15" hidden="false" customHeight="true" outlineLevel="0" collapsed="false">
      <c r="A781" s="5" t="n">
        <v>777</v>
      </c>
      <c r="B781" s="5" t="s">
        <v>788</v>
      </c>
      <c r="C781" s="6" t="n">
        <v>11</v>
      </c>
      <c r="D781" s="6" t="n">
        <v>11</v>
      </c>
      <c r="E781" s="7" t="n">
        <v>2089.89</v>
      </c>
      <c r="F781" s="7" t="n">
        <v>-18.99</v>
      </c>
      <c r="G781" s="7" t="n">
        <v>0</v>
      </c>
      <c r="H781" s="8" t="n">
        <f aca="false">E781+F781+G781</f>
        <v>2070.9</v>
      </c>
      <c r="I781" s="9" t="n">
        <f aca="false">IF($H$1182=0,0,H781/$H$1182)</f>
        <v>0.000171550120694278</v>
      </c>
      <c r="J781" s="10" t="n">
        <f aca="false">IF(C781&lt;=0,0,H781/C781)</f>
        <v>188.263636363636</v>
      </c>
    </row>
    <row r="782" customFormat="false" ht="15" hidden="false" customHeight="true" outlineLevel="0" collapsed="false">
      <c r="A782" s="11" t="n">
        <v>778</v>
      </c>
      <c r="B782" s="11" t="s">
        <v>789</v>
      </c>
      <c r="C782" s="12" t="n">
        <v>11</v>
      </c>
      <c r="D782" s="12" t="n">
        <v>11</v>
      </c>
      <c r="E782" s="13" t="n">
        <v>1009.87</v>
      </c>
      <c r="F782" s="13" t="n">
        <v>0</v>
      </c>
      <c r="G782" s="13" t="n">
        <v>-159.98</v>
      </c>
      <c r="H782" s="14" t="n">
        <f aca="false">E782+F782+G782</f>
        <v>849.89</v>
      </c>
      <c r="I782" s="15" t="n">
        <f aca="false">IF($H$1182=0,0,H782/$H$1182)</f>
        <v>7.04035598420301E-005</v>
      </c>
      <c r="J782" s="16" t="n">
        <f aca="false">IF(C782&lt;=0,0,H782/C782)</f>
        <v>77.2627272727273</v>
      </c>
    </row>
    <row r="783" customFormat="false" ht="15" hidden="false" customHeight="true" outlineLevel="0" collapsed="false">
      <c r="A783" s="5" t="n">
        <v>779</v>
      </c>
      <c r="B783" s="5" t="s">
        <v>790</v>
      </c>
      <c r="C783" s="6" t="n">
        <v>11</v>
      </c>
      <c r="D783" s="6" t="n">
        <v>5</v>
      </c>
      <c r="E783" s="7" t="n">
        <v>793.85</v>
      </c>
      <c r="F783" s="7" t="n">
        <v>-11.98</v>
      </c>
      <c r="G783" s="7" t="n">
        <v>0</v>
      </c>
      <c r="H783" s="8" t="n">
        <f aca="false">E783+F783+G783</f>
        <v>781.87</v>
      </c>
      <c r="I783" s="9" t="n">
        <f aca="false">IF($H$1182=0,0,H783/$H$1182)</f>
        <v>6.47688893076611E-005</v>
      </c>
      <c r="J783" s="10" t="n">
        <f aca="false">IF(C783&lt;=0,0,H783/C783)</f>
        <v>71.0790909090909</v>
      </c>
    </row>
    <row r="784" customFormat="false" ht="15" hidden="false" customHeight="true" outlineLevel="0" collapsed="false">
      <c r="A784" s="11" t="n">
        <v>780</v>
      </c>
      <c r="B784" s="11" t="s">
        <v>791</v>
      </c>
      <c r="C784" s="12" t="n">
        <v>11</v>
      </c>
      <c r="D784" s="12" t="n">
        <v>6</v>
      </c>
      <c r="E784" s="13" t="n">
        <v>384.89</v>
      </c>
      <c r="F784" s="13" t="n">
        <v>0</v>
      </c>
      <c r="G784" s="13" t="n">
        <v>0</v>
      </c>
      <c r="H784" s="14" t="n">
        <f aca="false">E784+F784+G784</f>
        <v>384.89</v>
      </c>
      <c r="I784" s="15" t="n">
        <f aca="false">IF($H$1182=0,0,H784/$H$1182)</f>
        <v>3.1883686297755E-005</v>
      </c>
      <c r="J784" s="16" t="n">
        <f aca="false">IF(C784&lt;=0,0,H784/C784)</f>
        <v>34.99</v>
      </c>
    </row>
    <row r="785" customFormat="false" ht="15" hidden="false" customHeight="true" outlineLevel="0" collapsed="false">
      <c r="A785" s="5" t="n">
        <v>781</v>
      </c>
      <c r="B785" s="5" t="s">
        <v>792</v>
      </c>
      <c r="C785" s="6" t="n">
        <v>11</v>
      </c>
      <c r="D785" s="6" t="n">
        <v>9</v>
      </c>
      <c r="E785" s="7" t="n">
        <v>245.94</v>
      </c>
      <c r="F785" s="7" t="n">
        <v>-2.14</v>
      </c>
      <c r="G785" s="7" t="n">
        <v>-21</v>
      </c>
      <c r="H785" s="8" t="n">
        <f aca="false">E785+F785+G785</f>
        <v>222.8</v>
      </c>
      <c r="I785" s="9" t="n">
        <f aca="false">IF($H$1182=0,0,H785/$H$1182)</f>
        <v>1.84564039261602E-005</v>
      </c>
      <c r="J785" s="10" t="n">
        <f aca="false">IF(C785&lt;=0,0,H785/C785)</f>
        <v>20.2545454545455</v>
      </c>
    </row>
    <row r="786" customFormat="false" ht="15" hidden="false" customHeight="true" outlineLevel="0" collapsed="false">
      <c r="A786" s="11" t="n">
        <v>782</v>
      </c>
      <c r="B786" s="11" t="s">
        <v>793</v>
      </c>
      <c r="C786" s="12" t="n">
        <v>10</v>
      </c>
      <c r="D786" s="12" t="n">
        <v>10</v>
      </c>
      <c r="E786" s="13" t="n">
        <v>13256</v>
      </c>
      <c r="F786" s="13" t="n">
        <v>-173.96</v>
      </c>
      <c r="G786" s="13" t="n">
        <v>0</v>
      </c>
      <c r="H786" s="14" t="n">
        <f aca="false">E786+F786+G786</f>
        <v>13082.04</v>
      </c>
      <c r="I786" s="15" t="n">
        <f aca="false">IF($H$1182=0,0,H786/$H$1182)</f>
        <v>0.00108369575591645</v>
      </c>
      <c r="J786" s="16" t="n">
        <f aca="false">IF(C786&lt;=0,0,H786/C786)</f>
        <v>1308.204</v>
      </c>
    </row>
    <row r="787" customFormat="false" ht="15" hidden="false" customHeight="true" outlineLevel="0" collapsed="false">
      <c r="A787" s="5" t="n">
        <v>783</v>
      </c>
      <c r="B787" s="5" t="s">
        <v>794</v>
      </c>
      <c r="C787" s="6" t="n">
        <v>10</v>
      </c>
      <c r="D787" s="6" t="n">
        <v>10</v>
      </c>
      <c r="E787" s="7" t="n">
        <v>12987</v>
      </c>
      <c r="F787" s="7" t="n">
        <v>0</v>
      </c>
      <c r="G787" s="7" t="n">
        <v>-2997</v>
      </c>
      <c r="H787" s="8" t="n">
        <f aca="false">E787+F787+G787</f>
        <v>9990</v>
      </c>
      <c r="I787" s="9" t="n">
        <f aca="false">IF($H$1182=0,0,H787/$H$1182)</f>
        <v>0.000827555992918944</v>
      </c>
      <c r="J787" s="10" t="n">
        <f aca="false">IF(C787&lt;=0,0,H787/C787)</f>
        <v>999</v>
      </c>
    </row>
    <row r="788" customFormat="false" ht="15" hidden="false" customHeight="true" outlineLevel="0" collapsed="false">
      <c r="A788" s="11" t="n">
        <v>784</v>
      </c>
      <c r="B788" s="11" t="s">
        <v>795</v>
      </c>
      <c r="C788" s="12" t="n">
        <v>10</v>
      </c>
      <c r="D788" s="12" t="n">
        <v>8</v>
      </c>
      <c r="E788" s="13" t="n">
        <v>9947</v>
      </c>
      <c r="F788" s="13" t="n">
        <v>-110</v>
      </c>
      <c r="G788" s="13" t="n">
        <v>0</v>
      </c>
      <c r="H788" s="14" t="n">
        <f aca="false">E788+F788+G788</f>
        <v>9837</v>
      </c>
      <c r="I788" s="15" t="n">
        <f aca="false">IF($H$1182=0,0,H788/$H$1182)</f>
        <v>0.000814881711946311</v>
      </c>
      <c r="J788" s="16" t="n">
        <f aca="false">IF(C788&lt;=0,0,H788/C788)</f>
        <v>983.7</v>
      </c>
    </row>
    <row r="789" customFormat="false" ht="15" hidden="false" customHeight="true" outlineLevel="0" collapsed="false">
      <c r="A789" s="5" t="n">
        <v>785</v>
      </c>
      <c r="B789" s="5" t="s">
        <v>796</v>
      </c>
      <c r="C789" s="6" t="n">
        <v>10</v>
      </c>
      <c r="D789" s="6" t="n">
        <v>8</v>
      </c>
      <c r="E789" s="7" t="n">
        <v>6389.96</v>
      </c>
      <c r="F789" s="7" t="n">
        <v>-47.94</v>
      </c>
      <c r="G789" s="7" t="n">
        <v>-650</v>
      </c>
      <c r="H789" s="8" t="n">
        <f aca="false">E789+F789+G789</f>
        <v>5692.02</v>
      </c>
      <c r="I789" s="9" t="n">
        <f aca="false">IF($H$1182=0,0,H789/$H$1182)</f>
        <v>0.000471518044325775</v>
      </c>
      <c r="J789" s="10" t="n">
        <f aca="false">IF(C789&lt;=0,0,H789/C789)</f>
        <v>569.202</v>
      </c>
    </row>
    <row r="790" customFormat="false" ht="15" hidden="false" customHeight="true" outlineLevel="0" collapsed="false">
      <c r="A790" s="11" t="n">
        <v>786</v>
      </c>
      <c r="B790" s="11" t="s">
        <v>797</v>
      </c>
      <c r="C790" s="12" t="n">
        <v>10</v>
      </c>
      <c r="D790" s="12" t="n">
        <v>7</v>
      </c>
      <c r="E790" s="13" t="n">
        <v>3690</v>
      </c>
      <c r="F790" s="13" t="n">
        <v>0</v>
      </c>
      <c r="G790" s="13" t="n">
        <v>0</v>
      </c>
      <c r="H790" s="14" t="n">
        <f aca="false">E790+F790+G790</f>
        <v>3690</v>
      </c>
      <c r="I790" s="15" t="n">
        <f aca="false">IF($H$1182=0,0,H790/$H$1182)</f>
        <v>0.000305673835222313</v>
      </c>
      <c r="J790" s="16" t="n">
        <f aca="false">IF(C790&lt;=0,0,H790/C790)</f>
        <v>369</v>
      </c>
    </row>
    <row r="791" customFormat="false" ht="15" hidden="false" customHeight="true" outlineLevel="0" collapsed="false">
      <c r="A791" s="5" t="n">
        <v>787</v>
      </c>
      <c r="B791" s="5" t="s">
        <v>798</v>
      </c>
      <c r="C791" s="6" t="n">
        <v>10</v>
      </c>
      <c r="D791" s="6" t="n">
        <v>10</v>
      </c>
      <c r="E791" s="7" t="n">
        <v>3985.49</v>
      </c>
      <c r="F791" s="7" t="n">
        <v>-35</v>
      </c>
      <c r="G791" s="7" t="n">
        <v>-280.72</v>
      </c>
      <c r="H791" s="8" t="n">
        <f aca="false">E791+F791+G791</f>
        <v>3669.77</v>
      </c>
      <c r="I791" s="9" t="n">
        <f aca="false">IF($H$1182=0,0,H791/$H$1182)</f>
        <v>0.000303998013627042</v>
      </c>
      <c r="J791" s="10" t="n">
        <f aca="false">IF(C791&lt;=0,0,H791/C791)</f>
        <v>366.977</v>
      </c>
    </row>
    <row r="792" customFormat="false" ht="15" hidden="false" customHeight="true" outlineLevel="0" collapsed="false">
      <c r="A792" s="11" t="n">
        <v>788</v>
      </c>
      <c r="B792" s="11" t="s">
        <v>799</v>
      </c>
      <c r="C792" s="12" t="n">
        <v>10</v>
      </c>
      <c r="D792" s="12" t="n">
        <v>9</v>
      </c>
      <c r="E792" s="13" t="n">
        <v>3421.99</v>
      </c>
      <c r="F792" s="13" t="n">
        <v>-0.4</v>
      </c>
      <c r="G792" s="13" t="n">
        <v>0</v>
      </c>
      <c r="H792" s="14" t="n">
        <f aca="false">E792+F792+G792</f>
        <v>3421.59</v>
      </c>
      <c r="I792" s="15" t="n">
        <f aca="false">IF($H$1182=0,0,H792/$H$1182)</f>
        <v>0.000283439170151304</v>
      </c>
      <c r="J792" s="16" t="n">
        <f aca="false">IF(C792&lt;=0,0,H792/C792)</f>
        <v>342.159</v>
      </c>
    </row>
    <row r="793" customFormat="false" ht="15" hidden="false" customHeight="true" outlineLevel="0" collapsed="false">
      <c r="A793" s="5" t="n">
        <v>789</v>
      </c>
      <c r="B793" s="5" t="s">
        <v>800</v>
      </c>
      <c r="C793" s="6" t="n">
        <v>10</v>
      </c>
      <c r="D793" s="6" t="n">
        <v>8</v>
      </c>
      <c r="E793" s="7" t="n">
        <v>3299.9</v>
      </c>
      <c r="F793" s="7" t="n">
        <v>0</v>
      </c>
      <c r="G793" s="7" t="n">
        <v>0</v>
      </c>
      <c r="H793" s="8" t="n">
        <f aca="false">E793+F793+G793</f>
        <v>3299.9</v>
      </c>
      <c r="I793" s="9" t="n">
        <f aca="false">IF($H$1182=0,0,H793/$H$1182)</f>
        <v>0.000273358560663986</v>
      </c>
      <c r="J793" s="10" t="n">
        <f aca="false">IF(C793&lt;=0,0,H793/C793)</f>
        <v>329.99</v>
      </c>
    </row>
    <row r="794" customFormat="false" ht="15" hidden="false" customHeight="true" outlineLevel="0" collapsed="false">
      <c r="A794" s="11" t="n">
        <v>790</v>
      </c>
      <c r="B794" s="11" t="s">
        <v>801</v>
      </c>
      <c r="C794" s="12" t="n">
        <v>10</v>
      </c>
      <c r="D794" s="12" t="n">
        <v>12</v>
      </c>
      <c r="E794" s="13" t="n">
        <v>4231.75</v>
      </c>
      <c r="F794" s="13" t="n">
        <v>-23.19</v>
      </c>
      <c r="G794" s="13" t="n">
        <v>-1749.93</v>
      </c>
      <c r="H794" s="14" t="n">
        <f aca="false">E794+F794+G794</f>
        <v>2458.63</v>
      </c>
      <c r="I794" s="15" t="n">
        <f aca="false">IF($H$1182=0,0,H794/$H$1182)</f>
        <v>0.000203669068155185</v>
      </c>
      <c r="J794" s="16" t="n">
        <f aca="false">IF(C794&lt;=0,0,H794/C794)</f>
        <v>245.863</v>
      </c>
    </row>
    <row r="795" customFormat="false" ht="15" hidden="false" customHeight="true" outlineLevel="0" collapsed="false">
      <c r="A795" s="5" t="n">
        <v>791</v>
      </c>
      <c r="B795" s="5" t="s">
        <v>802</v>
      </c>
      <c r="C795" s="6" t="n">
        <v>10</v>
      </c>
      <c r="D795" s="6" t="n">
        <v>5</v>
      </c>
      <c r="E795" s="7" t="n">
        <v>2629</v>
      </c>
      <c r="F795" s="7" t="n">
        <v>-71.7</v>
      </c>
      <c r="G795" s="7" t="n">
        <v>-239</v>
      </c>
      <c r="H795" s="8" t="n">
        <f aca="false">E795+F795+G795</f>
        <v>2318.3</v>
      </c>
      <c r="I795" s="9" t="n">
        <f aca="false">IF($H$1182=0,0,H795/$H$1182)</f>
        <v>0.000192044350188587</v>
      </c>
      <c r="J795" s="10" t="n">
        <f aca="false">IF(C795&lt;=0,0,H795/C795)</f>
        <v>231.83</v>
      </c>
    </row>
    <row r="796" customFormat="false" ht="15" hidden="false" customHeight="true" outlineLevel="0" collapsed="false">
      <c r="A796" s="11" t="n">
        <v>792</v>
      </c>
      <c r="B796" s="11" t="s">
        <v>803</v>
      </c>
      <c r="C796" s="12" t="n">
        <v>10</v>
      </c>
      <c r="D796" s="12" t="n">
        <v>8</v>
      </c>
      <c r="E796" s="13" t="n">
        <v>1474.52</v>
      </c>
      <c r="F796" s="13" t="n">
        <v>-6.9</v>
      </c>
      <c r="G796" s="13" t="n">
        <v>0</v>
      </c>
      <c r="H796" s="14" t="n">
        <f aca="false">E796+F796+G796</f>
        <v>1467.62</v>
      </c>
      <c r="I796" s="15" t="n">
        <f aca="false">IF($H$1182=0,0,H796/$H$1182)</f>
        <v>0.000121575347980751</v>
      </c>
      <c r="J796" s="16" t="n">
        <f aca="false">IF(C796&lt;=0,0,H796/C796)</f>
        <v>146.762</v>
      </c>
    </row>
    <row r="797" customFormat="false" ht="15" hidden="false" customHeight="true" outlineLevel="0" collapsed="false">
      <c r="A797" s="5" t="n">
        <v>793</v>
      </c>
      <c r="B797" s="5" t="s">
        <v>804</v>
      </c>
      <c r="C797" s="6" t="n">
        <v>10</v>
      </c>
      <c r="D797" s="6" t="n">
        <v>10</v>
      </c>
      <c r="E797" s="7" t="n">
        <v>1367.35</v>
      </c>
      <c r="F797" s="7" t="n">
        <v>-19.49</v>
      </c>
      <c r="G797" s="7" t="n">
        <v>-104.5</v>
      </c>
      <c r="H797" s="8" t="n">
        <f aca="false">E797+F797+G797</f>
        <v>1243.36</v>
      </c>
      <c r="I797" s="9" t="n">
        <f aca="false">IF($H$1182=0,0,H797/$H$1182)</f>
        <v>0.000102997999935505</v>
      </c>
      <c r="J797" s="10" t="n">
        <f aca="false">IF(C797&lt;=0,0,H797/C797)</f>
        <v>124.336</v>
      </c>
    </row>
    <row r="798" customFormat="false" ht="15" hidden="false" customHeight="true" outlineLevel="0" collapsed="false">
      <c r="A798" s="11" t="n">
        <v>794</v>
      </c>
      <c r="B798" s="11" t="s">
        <v>805</v>
      </c>
      <c r="C798" s="12" t="n">
        <v>10</v>
      </c>
      <c r="D798" s="12" t="n">
        <v>2</v>
      </c>
      <c r="E798" s="13" t="n">
        <v>989.89</v>
      </c>
      <c r="F798" s="13" t="n">
        <v>0</v>
      </c>
      <c r="G798" s="13" t="n">
        <v>-89.99</v>
      </c>
      <c r="H798" s="14" t="n">
        <f aca="false">E798+F798+G798</f>
        <v>899.9</v>
      </c>
      <c r="I798" s="15" t="n">
        <f aca="false">IF($H$1182=0,0,H798/$H$1182)</f>
        <v>7.45463101128886E-005</v>
      </c>
      <c r="J798" s="16" t="n">
        <f aca="false">IF(C798&lt;=0,0,H798/C798)</f>
        <v>89.99</v>
      </c>
    </row>
    <row r="799" customFormat="false" ht="15" hidden="false" customHeight="true" outlineLevel="0" collapsed="false">
      <c r="A799" s="5" t="n">
        <v>795</v>
      </c>
      <c r="B799" s="5" t="s">
        <v>806</v>
      </c>
      <c r="C799" s="6" t="n">
        <v>10</v>
      </c>
      <c r="D799" s="6" t="n">
        <v>8</v>
      </c>
      <c r="E799" s="7" t="n">
        <v>649.9</v>
      </c>
      <c r="F799" s="7" t="n">
        <v>0</v>
      </c>
      <c r="G799" s="7" t="n">
        <v>0</v>
      </c>
      <c r="H799" s="8" t="n">
        <f aca="false">E799+F799+G799</f>
        <v>649.9</v>
      </c>
      <c r="I799" s="9" t="n">
        <f aca="false">IF($H$1182=0,0,H799/$H$1182)</f>
        <v>5.38367006804826E-005</v>
      </c>
      <c r="J799" s="10" t="n">
        <f aca="false">IF(C799&lt;=0,0,H799/C799)</f>
        <v>64.99</v>
      </c>
    </row>
    <row r="800" customFormat="false" ht="15" hidden="false" customHeight="true" outlineLevel="0" collapsed="false">
      <c r="A800" s="11" t="n">
        <v>796</v>
      </c>
      <c r="B800" s="11" t="s">
        <v>807</v>
      </c>
      <c r="C800" s="12" t="n">
        <v>10</v>
      </c>
      <c r="D800" s="12" t="n">
        <v>8</v>
      </c>
      <c r="E800" s="13" t="n">
        <v>489.9</v>
      </c>
      <c r="F800" s="13" t="n">
        <v>-4.99</v>
      </c>
      <c r="G800" s="13" t="n">
        <v>0</v>
      </c>
      <c r="H800" s="14" t="n">
        <f aca="false">E800+F800+G800</f>
        <v>484.91</v>
      </c>
      <c r="I800" s="15" t="n">
        <f aca="false">IF($H$1182=0,0,H800/$H$1182)</f>
        <v>4.0169186839472E-005</v>
      </c>
      <c r="J800" s="16" t="n">
        <f aca="false">IF(C800&lt;=0,0,H800/C800)</f>
        <v>48.491</v>
      </c>
    </row>
    <row r="801" customFormat="false" ht="15" hidden="false" customHeight="true" outlineLevel="0" collapsed="false">
      <c r="A801" s="5" t="n">
        <v>797</v>
      </c>
      <c r="B801" s="5" t="s">
        <v>808</v>
      </c>
      <c r="C801" s="6" t="n">
        <v>10</v>
      </c>
      <c r="D801" s="6" t="n">
        <v>7</v>
      </c>
      <c r="E801" s="7" t="n">
        <v>448.22</v>
      </c>
      <c r="F801" s="7" t="n">
        <v>-7.74</v>
      </c>
      <c r="G801" s="7" t="n">
        <v>0</v>
      </c>
      <c r="H801" s="8" t="n">
        <f aca="false">E801+F801+G801</f>
        <v>440.48</v>
      </c>
      <c r="I801" s="9" t="n">
        <f aca="false">IF($H$1182=0,0,H801/$H$1182)</f>
        <v>3.64886750511448E-005</v>
      </c>
      <c r="J801" s="10" t="n">
        <f aca="false">IF(C801&lt;=0,0,H801/C801)</f>
        <v>44.048</v>
      </c>
    </row>
    <row r="802" customFormat="false" ht="15" hidden="false" customHeight="true" outlineLevel="0" collapsed="false">
      <c r="A802" s="11" t="n">
        <v>798</v>
      </c>
      <c r="B802" s="11" t="s">
        <v>809</v>
      </c>
      <c r="C802" s="12" t="n">
        <v>10</v>
      </c>
      <c r="D802" s="12" t="n">
        <v>5</v>
      </c>
      <c r="E802" s="13" t="n">
        <v>254.9</v>
      </c>
      <c r="F802" s="13" t="n">
        <v>-9.99</v>
      </c>
      <c r="G802" s="13" t="n">
        <v>0</v>
      </c>
      <c r="H802" s="14" t="n">
        <f aca="false">E802+F802+G802</f>
        <v>244.91</v>
      </c>
      <c r="I802" s="15" t="n">
        <f aca="false">IF($H$1182=0,0,H802/$H$1182)</f>
        <v>2.02879617843622E-005</v>
      </c>
      <c r="J802" s="16" t="n">
        <f aca="false">IF(C802&lt;=0,0,H802/C802)</f>
        <v>24.491</v>
      </c>
    </row>
    <row r="803" customFormat="false" ht="15" hidden="false" customHeight="true" outlineLevel="0" collapsed="false">
      <c r="A803" s="5" t="n">
        <v>799</v>
      </c>
      <c r="B803" s="5" t="s">
        <v>810</v>
      </c>
      <c r="C803" s="6" t="n">
        <v>10</v>
      </c>
      <c r="D803" s="6" t="n">
        <v>7</v>
      </c>
      <c r="E803" s="7" t="n">
        <v>219.89</v>
      </c>
      <c r="F803" s="7" t="n">
        <v>-7.96</v>
      </c>
      <c r="G803" s="7" t="n">
        <v>-19.99</v>
      </c>
      <c r="H803" s="8" t="n">
        <f aca="false">E803+F803+G803</f>
        <v>191.94</v>
      </c>
      <c r="I803" s="9" t="n">
        <f aca="false">IF($H$1182=0,0,H803/$H$1182)</f>
        <v>1.5900009737824E-005</v>
      </c>
      <c r="J803" s="10" t="n">
        <f aca="false">IF(C803&lt;=0,0,H803/C803)</f>
        <v>19.194</v>
      </c>
    </row>
    <row r="804" customFormat="false" ht="15" hidden="false" customHeight="true" outlineLevel="0" collapsed="false">
      <c r="A804" s="11" t="n">
        <v>800</v>
      </c>
      <c r="B804" s="11" t="s">
        <v>811</v>
      </c>
      <c r="C804" s="12" t="n">
        <v>10</v>
      </c>
      <c r="D804" s="12" t="n">
        <v>11</v>
      </c>
      <c r="E804" s="13" t="n">
        <v>259.87</v>
      </c>
      <c r="F804" s="13" t="n">
        <v>-7.99</v>
      </c>
      <c r="G804" s="13" t="n">
        <v>-59.97</v>
      </c>
      <c r="H804" s="14" t="n">
        <f aca="false">E804+F804+G804</f>
        <v>191.91</v>
      </c>
      <c r="I804" s="15" t="n">
        <f aca="false">IF($H$1182=0,0,H804/$H$1182)</f>
        <v>1.58975245846921E-005</v>
      </c>
      <c r="J804" s="16" t="n">
        <f aca="false">IF(C804&lt;=0,0,H804/C804)</f>
        <v>19.191</v>
      </c>
    </row>
    <row r="805" customFormat="false" ht="15" hidden="false" customHeight="true" outlineLevel="0" collapsed="false">
      <c r="A805" s="5" t="n">
        <v>801</v>
      </c>
      <c r="B805" s="5" t="s">
        <v>812</v>
      </c>
      <c r="C805" s="6" t="n">
        <v>10</v>
      </c>
      <c r="D805" s="6" t="n">
        <v>11</v>
      </c>
      <c r="E805" s="7" t="n">
        <v>250.35</v>
      </c>
      <c r="F805" s="7" t="n">
        <v>-4.62</v>
      </c>
      <c r="G805" s="7" t="n">
        <v>-84.95</v>
      </c>
      <c r="H805" s="8" t="n">
        <f aca="false">E805+F805+G805</f>
        <v>160.78</v>
      </c>
      <c r="I805" s="9" t="n">
        <f aca="false">IF($H$1182=0,0,H805/$H$1182)</f>
        <v>1.33187640181689E-005</v>
      </c>
      <c r="J805" s="10" t="n">
        <f aca="false">IF(C805&lt;=0,0,H805/C805)</f>
        <v>16.078</v>
      </c>
    </row>
    <row r="806" customFormat="false" ht="15" hidden="false" customHeight="true" outlineLevel="0" collapsed="false">
      <c r="A806" s="11" t="n">
        <v>802</v>
      </c>
      <c r="B806" s="11" t="s">
        <v>813</v>
      </c>
      <c r="C806" s="12" t="n">
        <v>10</v>
      </c>
      <c r="D806" s="12" t="n">
        <v>9</v>
      </c>
      <c r="E806" s="13" t="n">
        <v>133.5</v>
      </c>
      <c r="F806" s="13" t="n">
        <v>0</v>
      </c>
      <c r="G806" s="13" t="n">
        <v>-48</v>
      </c>
      <c r="H806" s="14" t="n">
        <f aca="false">E806+F806+G806</f>
        <v>85.5</v>
      </c>
      <c r="I806" s="15" t="n">
        <f aca="false">IF($H$1182=0,0,H806/$H$1182)</f>
        <v>7.08268642588285E-006</v>
      </c>
      <c r="J806" s="16" t="n">
        <f aca="false">IF(C806&lt;=0,0,H806/C806)</f>
        <v>8.55</v>
      </c>
    </row>
    <row r="807" customFormat="false" ht="15" hidden="false" customHeight="true" outlineLevel="0" collapsed="false">
      <c r="A807" s="5" t="n">
        <v>803</v>
      </c>
      <c r="B807" s="5" t="s">
        <v>814</v>
      </c>
      <c r="C807" s="6" t="n">
        <v>10</v>
      </c>
      <c r="D807" s="6" t="n">
        <v>8</v>
      </c>
      <c r="E807" s="7" t="n">
        <v>71.82</v>
      </c>
      <c r="F807" s="7" t="n">
        <v>-2.24</v>
      </c>
      <c r="G807" s="7" t="n">
        <v>0</v>
      </c>
      <c r="H807" s="8" t="n">
        <f aca="false">E807+F807+G807</f>
        <v>69.58</v>
      </c>
      <c r="I807" s="9" t="n">
        <f aca="false">IF($H$1182=0,0,H807/$H$1182)</f>
        <v>5.76389849722724E-006</v>
      </c>
      <c r="J807" s="10" t="n">
        <f aca="false">IF(C807&lt;=0,0,H807/C807)</f>
        <v>6.958</v>
      </c>
    </row>
    <row r="808" customFormat="false" ht="15" hidden="false" customHeight="true" outlineLevel="0" collapsed="false">
      <c r="A808" s="11" t="n">
        <v>804</v>
      </c>
      <c r="B808" s="11" t="s">
        <v>815</v>
      </c>
      <c r="C808" s="12" t="n">
        <v>9</v>
      </c>
      <c r="D808" s="12" t="n">
        <v>4</v>
      </c>
      <c r="E808" s="13" t="n">
        <v>7661.98</v>
      </c>
      <c r="F808" s="13" t="n">
        <v>0</v>
      </c>
      <c r="G808" s="13" t="n">
        <v>-839</v>
      </c>
      <c r="H808" s="14" t="n">
        <f aca="false">E808+F808+G808</f>
        <v>6822.98</v>
      </c>
      <c r="I808" s="15" t="n">
        <f aca="false">IF($H$1182=0,0,H808/$H$1182)</f>
        <v>0.00056520500386047</v>
      </c>
      <c r="J808" s="16" t="n">
        <f aca="false">IF(C808&lt;=0,0,H808/C808)</f>
        <v>758.108888888889</v>
      </c>
    </row>
    <row r="809" customFormat="false" ht="15" hidden="false" customHeight="true" outlineLevel="0" collapsed="false">
      <c r="A809" s="5" t="n">
        <v>805</v>
      </c>
      <c r="B809" s="5" t="s">
        <v>816</v>
      </c>
      <c r="C809" s="6" t="n">
        <v>9</v>
      </c>
      <c r="D809" s="6" t="n">
        <v>11</v>
      </c>
      <c r="E809" s="7" t="n">
        <v>8241.6</v>
      </c>
      <c r="F809" s="7" t="n">
        <v>0</v>
      </c>
      <c r="G809" s="7" t="n">
        <v>-2080.8</v>
      </c>
      <c r="H809" s="8" t="n">
        <f aca="false">E809+F809+G809</f>
        <v>6160.8</v>
      </c>
      <c r="I809" s="9" t="n">
        <f aca="false">IF($H$1182=0,0,H809/$H$1182)</f>
        <v>0.000510351047164668</v>
      </c>
      <c r="J809" s="10" t="n">
        <f aca="false">IF(C809&lt;=0,0,H809/C809)</f>
        <v>684.533333333333</v>
      </c>
    </row>
    <row r="810" customFormat="false" ht="15" hidden="false" customHeight="true" outlineLevel="0" collapsed="false">
      <c r="A810" s="11" t="n">
        <v>806</v>
      </c>
      <c r="B810" s="11" t="s">
        <v>817</v>
      </c>
      <c r="C810" s="12" t="n">
        <v>9</v>
      </c>
      <c r="D810" s="12" t="n">
        <v>10</v>
      </c>
      <c r="E810" s="13" t="n">
        <v>7208.92</v>
      </c>
      <c r="F810" s="13" t="n">
        <v>0</v>
      </c>
      <c r="G810" s="13" t="n">
        <v>-1329.99</v>
      </c>
      <c r="H810" s="14" t="n">
        <f aca="false">E810+F810+G810</f>
        <v>5878.93</v>
      </c>
      <c r="I810" s="15" t="n">
        <f aca="false">IF($H$1182=0,0,H810/$H$1182)</f>
        <v>0.000487001376721819</v>
      </c>
      <c r="J810" s="16" t="n">
        <f aca="false">IF(C810&lt;=0,0,H810/C810)</f>
        <v>653.214444444444</v>
      </c>
    </row>
    <row r="811" customFormat="false" ht="15" hidden="false" customHeight="true" outlineLevel="0" collapsed="false">
      <c r="A811" s="5" t="n">
        <v>807</v>
      </c>
      <c r="B811" s="5" t="s">
        <v>818</v>
      </c>
      <c r="C811" s="6" t="n">
        <v>9</v>
      </c>
      <c r="D811" s="6" t="n">
        <v>9</v>
      </c>
      <c r="E811" s="7" t="n">
        <v>5399.91</v>
      </c>
      <c r="F811" s="7" t="n">
        <v>-59.99</v>
      </c>
      <c r="G811" s="7" t="n">
        <v>0</v>
      </c>
      <c r="H811" s="8" t="n">
        <f aca="false">E811+F811+G811</f>
        <v>5339.92</v>
      </c>
      <c r="I811" s="9" t="n">
        <f aca="false">IF($H$1182=0,0,H811/$H$1182)</f>
        <v>0.000442350630401174</v>
      </c>
      <c r="J811" s="10" t="n">
        <f aca="false">IF(C811&lt;=0,0,H811/C811)</f>
        <v>593.324444444445</v>
      </c>
    </row>
    <row r="812" customFormat="false" ht="15" hidden="false" customHeight="true" outlineLevel="0" collapsed="false">
      <c r="A812" s="11" t="n">
        <v>808</v>
      </c>
      <c r="B812" s="11" t="s">
        <v>819</v>
      </c>
      <c r="C812" s="12" t="n">
        <v>9</v>
      </c>
      <c r="D812" s="12" t="n">
        <v>8</v>
      </c>
      <c r="E812" s="13" t="n">
        <v>4749.87</v>
      </c>
      <c r="F812" s="13" t="n">
        <v>0</v>
      </c>
      <c r="G812" s="13" t="n">
        <v>-1749.95</v>
      </c>
      <c r="H812" s="14" t="n">
        <f aca="false">E812+F812+G812</f>
        <v>2999.92</v>
      </c>
      <c r="I812" s="15" t="n">
        <f aca="false">IF($H$1182=0,0,H812/$H$1182)</f>
        <v>0.000248508686113854</v>
      </c>
      <c r="J812" s="16" t="n">
        <f aca="false">IF(C812&lt;=0,0,H812/C812)</f>
        <v>333.324444444444</v>
      </c>
    </row>
    <row r="813" customFormat="false" ht="15" hidden="false" customHeight="true" outlineLevel="0" collapsed="false">
      <c r="A813" s="5" t="n">
        <v>809</v>
      </c>
      <c r="B813" s="5" t="s">
        <v>820</v>
      </c>
      <c r="C813" s="6" t="n">
        <v>9</v>
      </c>
      <c r="D813" s="6" t="n">
        <v>5</v>
      </c>
      <c r="E813" s="7" t="n">
        <v>2685</v>
      </c>
      <c r="F813" s="7" t="n">
        <v>0</v>
      </c>
      <c r="G813" s="7" t="n">
        <v>0</v>
      </c>
      <c r="H813" s="8" t="n">
        <f aca="false">E813+F813+G813</f>
        <v>2685</v>
      </c>
      <c r="I813" s="9" t="n">
        <f aca="false">IF($H$1182=0,0,H813/$H$1182)</f>
        <v>0.00022242120530404</v>
      </c>
      <c r="J813" s="10" t="n">
        <f aca="false">IF(C813&lt;=0,0,H813/C813)</f>
        <v>298.333333333333</v>
      </c>
    </row>
    <row r="814" customFormat="false" ht="15" hidden="false" customHeight="true" outlineLevel="0" collapsed="false">
      <c r="A814" s="11" t="n">
        <v>810</v>
      </c>
      <c r="B814" s="11" t="s">
        <v>821</v>
      </c>
      <c r="C814" s="12" t="n">
        <v>9</v>
      </c>
      <c r="D814" s="12" t="n">
        <v>9</v>
      </c>
      <c r="E814" s="13" t="n">
        <v>2320</v>
      </c>
      <c r="F814" s="13" t="n">
        <v>0</v>
      </c>
      <c r="G814" s="13" t="n">
        <v>0</v>
      </c>
      <c r="H814" s="14" t="n">
        <f aca="false">E814+F814+G814</f>
        <v>2320</v>
      </c>
      <c r="I814" s="15" t="n">
        <f aca="false">IF($H$1182=0,0,H814/$H$1182)</f>
        <v>0.000192185175532728</v>
      </c>
      <c r="J814" s="16" t="n">
        <f aca="false">IF(C814&lt;=0,0,H814/C814)</f>
        <v>257.777777777778</v>
      </c>
    </row>
    <row r="815" customFormat="false" ht="15" hidden="false" customHeight="true" outlineLevel="0" collapsed="false">
      <c r="A815" s="5" t="n">
        <v>811</v>
      </c>
      <c r="B815" s="5" t="s">
        <v>822</v>
      </c>
      <c r="C815" s="6" t="n">
        <v>9</v>
      </c>
      <c r="D815" s="6" t="n">
        <v>10</v>
      </c>
      <c r="E815" s="7" t="n">
        <v>2499.9</v>
      </c>
      <c r="F815" s="7" t="n">
        <v>0</v>
      </c>
      <c r="G815" s="7" t="n">
        <v>-249.99</v>
      </c>
      <c r="H815" s="8" t="n">
        <f aca="false">E815+F815+G815</f>
        <v>2249.91</v>
      </c>
      <c r="I815" s="9" t="n">
        <f aca="false">IF($H$1182=0,0,H815/$H$1182)</f>
        <v>0.000186379029432258</v>
      </c>
      <c r="J815" s="10" t="n">
        <f aca="false">IF(C815&lt;=0,0,H815/C815)</f>
        <v>249.99</v>
      </c>
    </row>
    <row r="816" customFormat="false" ht="15" hidden="false" customHeight="true" outlineLevel="0" collapsed="false">
      <c r="A816" s="11" t="n">
        <v>812</v>
      </c>
      <c r="B816" s="11" t="s">
        <v>823</v>
      </c>
      <c r="C816" s="12" t="n">
        <v>9</v>
      </c>
      <c r="D816" s="12" t="n">
        <v>10</v>
      </c>
      <c r="E816" s="13" t="n">
        <v>2089.89</v>
      </c>
      <c r="F816" s="13" t="n">
        <v>0</v>
      </c>
      <c r="G816" s="13" t="n">
        <v>-379.98</v>
      </c>
      <c r="H816" s="14" t="n">
        <f aca="false">E816+F816+G816</f>
        <v>1709.91</v>
      </c>
      <c r="I816" s="15" t="n">
        <f aca="false">IF($H$1182=0,0,H816/$H$1182)</f>
        <v>0.000141646273058261</v>
      </c>
      <c r="J816" s="16" t="n">
        <f aca="false">IF(C816&lt;=0,0,H816/C816)</f>
        <v>189.99</v>
      </c>
    </row>
    <row r="817" customFormat="false" ht="15" hidden="false" customHeight="true" outlineLevel="0" collapsed="false">
      <c r="A817" s="5" t="n">
        <v>813</v>
      </c>
      <c r="B817" s="5" t="s">
        <v>824</v>
      </c>
      <c r="C817" s="6" t="n">
        <v>9</v>
      </c>
      <c r="D817" s="6" t="n">
        <v>8</v>
      </c>
      <c r="E817" s="7" t="n">
        <v>1312.11</v>
      </c>
      <c r="F817" s="7" t="n">
        <v>-19.61</v>
      </c>
      <c r="G817" s="7" t="n">
        <v>0</v>
      </c>
      <c r="H817" s="8" t="n">
        <f aca="false">E817+F817+G817</f>
        <v>1292.5</v>
      </c>
      <c r="I817" s="9" t="n">
        <f aca="false">IF($H$1182=0,0,H817/$H$1182)</f>
        <v>0.000107068680765539</v>
      </c>
      <c r="J817" s="10" t="n">
        <f aca="false">IF(C817&lt;=0,0,H817/C817)</f>
        <v>143.611111111111</v>
      </c>
    </row>
    <row r="818" customFormat="false" ht="15" hidden="false" customHeight="true" outlineLevel="0" collapsed="false">
      <c r="A818" s="11" t="n">
        <v>814</v>
      </c>
      <c r="B818" s="11" t="s">
        <v>825</v>
      </c>
      <c r="C818" s="12" t="n">
        <v>9</v>
      </c>
      <c r="D818" s="12" t="n">
        <v>9</v>
      </c>
      <c r="E818" s="13" t="n">
        <v>1499.88</v>
      </c>
      <c r="F818" s="13" t="n">
        <v>-15.19</v>
      </c>
      <c r="G818" s="13" t="n">
        <v>-362.47</v>
      </c>
      <c r="H818" s="14" t="n">
        <f aca="false">E818+F818+G818</f>
        <v>1122.22</v>
      </c>
      <c r="I818" s="15" t="n">
        <f aca="false">IF($H$1182=0,0,H818/$H$1182)</f>
        <v>9.29629515889387E-005</v>
      </c>
      <c r="J818" s="16" t="n">
        <f aca="false">IF(C818&lt;=0,0,H818/C818)</f>
        <v>124.691111111111</v>
      </c>
    </row>
    <row r="819" customFormat="false" ht="15" hidden="false" customHeight="true" outlineLevel="0" collapsed="false">
      <c r="A819" s="5" t="n">
        <v>815</v>
      </c>
      <c r="B819" s="5" t="s">
        <v>826</v>
      </c>
      <c r="C819" s="6" t="n">
        <v>9</v>
      </c>
      <c r="D819" s="6" t="n">
        <v>5</v>
      </c>
      <c r="E819" s="7" t="n">
        <v>990</v>
      </c>
      <c r="F819" s="7" t="n">
        <v>0</v>
      </c>
      <c r="G819" s="7" t="n">
        <v>0</v>
      </c>
      <c r="H819" s="8" t="n">
        <f aca="false">E819+F819+G819</f>
        <v>990</v>
      </c>
      <c r="I819" s="9" t="n">
        <f aca="false">IF($H$1182=0,0,H819/$H$1182)</f>
        <v>8.20100533523278E-005</v>
      </c>
      <c r="J819" s="10" t="n">
        <f aca="false">IF(C819&lt;=0,0,H819/C819)</f>
        <v>110</v>
      </c>
    </row>
    <row r="820" customFormat="false" ht="15" hidden="false" customHeight="true" outlineLevel="0" collapsed="false">
      <c r="A820" s="11" t="n">
        <v>816</v>
      </c>
      <c r="B820" s="11" t="s">
        <v>827</v>
      </c>
      <c r="C820" s="12" t="n">
        <v>9</v>
      </c>
      <c r="D820" s="12" t="n">
        <v>4</v>
      </c>
      <c r="E820" s="13" t="n">
        <v>990</v>
      </c>
      <c r="F820" s="13" t="n">
        <v>0</v>
      </c>
      <c r="G820" s="13" t="n">
        <v>0</v>
      </c>
      <c r="H820" s="14" t="n">
        <f aca="false">E820+F820+G820</f>
        <v>990</v>
      </c>
      <c r="I820" s="15" t="n">
        <f aca="false">IF($H$1182=0,0,H820/$H$1182)</f>
        <v>8.20100533523278E-005</v>
      </c>
      <c r="J820" s="16" t="n">
        <f aca="false">IF(C820&lt;=0,0,H820/C820)</f>
        <v>110</v>
      </c>
    </row>
    <row r="821" customFormat="false" ht="15" hidden="false" customHeight="true" outlineLevel="0" collapsed="false">
      <c r="A821" s="5" t="n">
        <v>817</v>
      </c>
      <c r="B821" s="5" t="s">
        <v>828</v>
      </c>
      <c r="C821" s="6" t="n">
        <v>9</v>
      </c>
      <c r="D821" s="6" t="n">
        <v>2</v>
      </c>
      <c r="E821" s="7" t="n">
        <v>990</v>
      </c>
      <c r="F821" s="7" t="n">
        <v>0</v>
      </c>
      <c r="G821" s="7" t="n">
        <v>0</v>
      </c>
      <c r="H821" s="8" t="n">
        <f aca="false">E821+F821+G821</f>
        <v>990</v>
      </c>
      <c r="I821" s="9" t="n">
        <f aca="false">IF($H$1182=0,0,H821/$H$1182)</f>
        <v>8.20100533523278E-005</v>
      </c>
      <c r="J821" s="10" t="n">
        <f aca="false">IF(C821&lt;=0,0,H821/C821)</f>
        <v>110</v>
      </c>
    </row>
    <row r="822" customFormat="false" ht="15" hidden="false" customHeight="true" outlineLevel="0" collapsed="false">
      <c r="A822" s="11" t="n">
        <v>818</v>
      </c>
      <c r="B822" s="11" t="s">
        <v>829</v>
      </c>
      <c r="C822" s="12" t="n">
        <v>9</v>
      </c>
      <c r="D822" s="12" t="n">
        <v>9</v>
      </c>
      <c r="E822" s="13" t="n">
        <v>1099.89</v>
      </c>
      <c r="F822" s="13" t="n">
        <v>-1.23</v>
      </c>
      <c r="G822" s="13" t="n">
        <v>-199.98</v>
      </c>
      <c r="H822" s="14" t="n">
        <f aca="false">E822+F822+G822</f>
        <v>898.68</v>
      </c>
      <c r="I822" s="15" t="n">
        <f aca="false">IF($H$1182=0,0,H822/$H$1182)</f>
        <v>7.44452472188585E-005</v>
      </c>
      <c r="J822" s="16" t="n">
        <f aca="false">IF(C822&lt;=0,0,H822/C822)</f>
        <v>99.8533333333333</v>
      </c>
    </row>
    <row r="823" customFormat="false" ht="15" hidden="false" customHeight="true" outlineLevel="0" collapsed="false">
      <c r="A823" s="5" t="n">
        <v>819</v>
      </c>
      <c r="B823" s="5" t="s">
        <v>830</v>
      </c>
      <c r="C823" s="6" t="n">
        <v>9</v>
      </c>
      <c r="D823" s="6" t="n">
        <v>9</v>
      </c>
      <c r="E823" s="7" t="n">
        <v>999.9</v>
      </c>
      <c r="F823" s="7" t="n">
        <v>-20.11</v>
      </c>
      <c r="G823" s="7" t="n">
        <v>-99.99</v>
      </c>
      <c r="H823" s="8" t="n">
        <f aca="false">E823+F823+G823</f>
        <v>879.8</v>
      </c>
      <c r="I823" s="9" t="n">
        <f aca="false">IF($H$1182=0,0,H823/$H$1182)</f>
        <v>7.28812575145232E-005</v>
      </c>
      <c r="J823" s="10" t="n">
        <f aca="false">IF(C823&lt;=0,0,H823/C823)</f>
        <v>97.7555555555556</v>
      </c>
    </row>
    <row r="824" customFormat="false" ht="15" hidden="false" customHeight="true" outlineLevel="0" collapsed="false">
      <c r="A824" s="11" t="n">
        <v>820</v>
      </c>
      <c r="B824" s="11" t="s">
        <v>831</v>
      </c>
      <c r="C824" s="12" t="n">
        <v>9</v>
      </c>
      <c r="D824" s="12" t="n">
        <v>9</v>
      </c>
      <c r="E824" s="13" t="n">
        <v>775.9</v>
      </c>
      <c r="F824" s="13" t="n">
        <v>0</v>
      </c>
      <c r="G824" s="13" t="n">
        <v>-79.99</v>
      </c>
      <c r="H824" s="14" t="n">
        <f aca="false">E824+F824+G824</f>
        <v>695.91</v>
      </c>
      <c r="I824" s="15" t="n">
        <f aca="false">IF($H$1182=0,0,H824/$H$1182)</f>
        <v>5.76480972004226E-005</v>
      </c>
      <c r="J824" s="16" t="n">
        <f aca="false">IF(C824&lt;=0,0,H824/C824)</f>
        <v>77.3233333333333</v>
      </c>
    </row>
    <row r="825" customFormat="false" ht="15" hidden="false" customHeight="true" outlineLevel="0" collapsed="false">
      <c r="A825" s="5" t="n">
        <v>821</v>
      </c>
      <c r="B825" s="5" t="s">
        <v>832</v>
      </c>
      <c r="C825" s="6" t="n">
        <v>9</v>
      </c>
      <c r="D825" s="6" t="n">
        <v>7</v>
      </c>
      <c r="E825" s="7" t="n">
        <v>701.35</v>
      </c>
      <c r="F825" s="7" t="n">
        <v>-8.05</v>
      </c>
      <c r="G825" s="7" t="n">
        <v>0</v>
      </c>
      <c r="H825" s="8" t="n">
        <f aca="false">E825+F825+G825</f>
        <v>693.3</v>
      </c>
      <c r="I825" s="9" t="n">
        <f aca="false">IF($H$1182=0,0,H825/$H$1182)</f>
        <v>5.74318888779483E-005</v>
      </c>
      <c r="J825" s="10" t="n">
        <f aca="false">IF(C825&lt;=0,0,H825/C825)</f>
        <v>77.0333333333334</v>
      </c>
    </row>
    <row r="826" customFormat="false" ht="15" hidden="false" customHeight="true" outlineLevel="0" collapsed="false">
      <c r="A826" s="11" t="n">
        <v>822</v>
      </c>
      <c r="B826" s="11" t="s">
        <v>833</v>
      </c>
      <c r="C826" s="12" t="n">
        <v>9</v>
      </c>
      <c r="D826" s="12" t="n">
        <v>9</v>
      </c>
      <c r="E826" s="13" t="n">
        <v>769.89</v>
      </c>
      <c r="F826" s="13" t="n">
        <v>0</v>
      </c>
      <c r="G826" s="13" t="n">
        <v>-139.98</v>
      </c>
      <c r="H826" s="14" t="n">
        <f aca="false">E826+F826+G826</f>
        <v>629.91</v>
      </c>
      <c r="I826" s="15" t="n">
        <f aca="false">IF($H$1182=0,0,H826/$H$1182)</f>
        <v>5.21807603102675E-005</v>
      </c>
      <c r="J826" s="16" t="n">
        <f aca="false">IF(C826&lt;=0,0,H826/C826)</f>
        <v>69.99</v>
      </c>
    </row>
    <row r="827" customFormat="false" ht="15" hidden="false" customHeight="true" outlineLevel="0" collapsed="false">
      <c r="A827" s="5" t="n">
        <v>823</v>
      </c>
      <c r="B827" s="5" t="s">
        <v>834</v>
      </c>
      <c r="C827" s="6" t="n">
        <v>9</v>
      </c>
      <c r="D827" s="6" t="n">
        <v>7</v>
      </c>
      <c r="E827" s="7" t="n">
        <v>629.91</v>
      </c>
      <c r="F827" s="7" t="n">
        <v>-6.99</v>
      </c>
      <c r="G827" s="7" t="n">
        <v>0</v>
      </c>
      <c r="H827" s="8" t="n">
        <f aca="false">E827+F827+G827</f>
        <v>622.92</v>
      </c>
      <c r="I827" s="9" t="n">
        <f aca="false">IF($H$1182=0,0,H827/$H$1182)</f>
        <v>5.16017196305374E-005</v>
      </c>
      <c r="J827" s="10" t="n">
        <f aca="false">IF(C827&lt;=0,0,H827/C827)</f>
        <v>69.2133333333333</v>
      </c>
    </row>
    <row r="828" customFormat="false" ht="15" hidden="false" customHeight="true" outlineLevel="0" collapsed="false">
      <c r="A828" s="11" t="n">
        <v>824</v>
      </c>
      <c r="B828" s="11" t="s">
        <v>835</v>
      </c>
      <c r="C828" s="12" t="n">
        <v>9</v>
      </c>
      <c r="D828" s="12" t="n">
        <v>8</v>
      </c>
      <c r="E828" s="13" t="n">
        <v>611.43</v>
      </c>
      <c r="F828" s="13" t="n">
        <v>0</v>
      </c>
      <c r="G828" s="13" t="n">
        <v>0</v>
      </c>
      <c r="H828" s="14" t="n">
        <f aca="false">E828+F828+G828</f>
        <v>611.43</v>
      </c>
      <c r="I828" s="15" t="n">
        <f aca="false">IF($H$1182=0,0,H828/$H$1182)</f>
        <v>5.0649905981024E-005</v>
      </c>
      <c r="J828" s="16" t="n">
        <f aca="false">IF(C828&lt;=0,0,H828/C828)</f>
        <v>67.9366666666667</v>
      </c>
    </row>
    <row r="829" customFormat="false" ht="15" hidden="false" customHeight="true" outlineLevel="0" collapsed="false">
      <c r="A829" s="5" t="n">
        <v>825</v>
      </c>
      <c r="B829" s="5" t="s">
        <v>836</v>
      </c>
      <c r="C829" s="6" t="n">
        <v>9</v>
      </c>
      <c r="D829" s="6" t="n">
        <v>7</v>
      </c>
      <c r="E829" s="7" t="n">
        <v>198</v>
      </c>
      <c r="F829" s="7" t="n">
        <v>-2.2</v>
      </c>
      <c r="G829" s="7" t="n">
        <v>0</v>
      </c>
      <c r="H829" s="8" t="n">
        <f aca="false">E829+F829+G829</f>
        <v>195.8</v>
      </c>
      <c r="I829" s="9" t="n">
        <f aca="false">IF($H$1182=0,0,H829/$H$1182)</f>
        <v>1.62197661074604E-005</v>
      </c>
      <c r="J829" s="10" t="n">
        <f aca="false">IF(C829&lt;=0,0,H829/C829)</f>
        <v>21.7555555555556</v>
      </c>
    </row>
    <row r="830" customFormat="false" ht="15" hidden="false" customHeight="true" outlineLevel="0" collapsed="false">
      <c r="A830" s="11" t="n">
        <v>826</v>
      </c>
      <c r="B830" s="11" t="s">
        <v>837</v>
      </c>
      <c r="C830" s="12" t="n">
        <v>9</v>
      </c>
      <c r="D830" s="12" t="n">
        <v>9</v>
      </c>
      <c r="E830" s="13" t="n">
        <v>209</v>
      </c>
      <c r="F830" s="13" t="n">
        <v>0</v>
      </c>
      <c r="G830" s="13" t="n">
        <v>-38</v>
      </c>
      <c r="H830" s="14" t="n">
        <f aca="false">E830+F830+G830</f>
        <v>171</v>
      </c>
      <c r="I830" s="15" t="n">
        <f aca="false">IF($H$1182=0,0,H830/$H$1182)</f>
        <v>1.41653728517657E-005</v>
      </c>
      <c r="J830" s="16" t="n">
        <f aca="false">IF(C830&lt;=0,0,H830/C830)</f>
        <v>19</v>
      </c>
    </row>
    <row r="831" customFormat="false" ht="15" hidden="false" customHeight="true" outlineLevel="0" collapsed="false">
      <c r="A831" s="5" t="n">
        <v>827</v>
      </c>
      <c r="B831" s="5" t="s">
        <v>838</v>
      </c>
      <c r="C831" s="6" t="n">
        <v>9</v>
      </c>
      <c r="D831" s="6" t="n">
        <v>7</v>
      </c>
      <c r="E831" s="7" t="n">
        <v>158.56</v>
      </c>
      <c r="F831" s="7" t="n">
        <v>0</v>
      </c>
      <c r="G831" s="7" t="n">
        <v>-15.07</v>
      </c>
      <c r="H831" s="8" t="n">
        <f aca="false">E831+F831+G831</f>
        <v>143.49</v>
      </c>
      <c r="I831" s="9" t="n">
        <f aca="false">IF($H$1182=0,0,H831/$H$1182)</f>
        <v>1.18864874298237E-005</v>
      </c>
      <c r="J831" s="10" t="n">
        <f aca="false">IF(C831&lt;=0,0,H831/C831)</f>
        <v>15.9433333333333</v>
      </c>
    </row>
    <row r="832" customFormat="false" ht="15" hidden="false" customHeight="true" outlineLevel="0" collapsed="false">
      <c r="A832" s="11" t="n">
        <v>828</v>
      </c>
      <c r="B832" s="11" t="s">
        <v>839</v>
      </c>
      <c r="C832" s="12" t="n">
        <v>8</v>
      </c>
      <c r="D832" s="12" t="n">
        <v>8</v>
      </c>
      <c r="E832" s="13" t="n">
        <v>45102.5</v>
      </c>
      <c r="F832" s="13" t="n">
        <v>-970</v>
      </c>
      <c r="G832" s="13" t="n">
        <v>-4850</v>
      </c>
      <c r="H832" s="14" t="n">
        <f aca="false">E832+F832+G832</f>
        <v>39282.5</v>
      </c>
      <c r="I832" s="15" t="n">
        <f aca="false">IF($H$1182=0,0,H832/$H$1182)</f>
        <v>0.00325410093011396</v>
      </c>
      <c r="J832" s="16" t="n">
        <f aca="false">IF(C832&lt;=0,0,H832/C832)</f>
        <v>4910.3125</v>
      </c>
    </row>
    <row r="833" customFormat="false" ht="15" hidden="false" customHeight="true" outlineLevel="0" collapsed="false">
      <c r="A833" s="5" t="n">
        <v>829</v>
      </c>
      <c r="B833" s="5" t="s">
        <v>840</v>
      </c>
      <c r="C833" s="6" t="n">
        <v>8</v>
      </c>
      <c r="D833" s="6" t="n">
        <v>9</v>
      </c>
      <c r="E833" s="7" t="n">
        <v>12720</v>
      </c>
      <c r="F833" s="7" t="n">
        <v>-151.24</v>
      </c>
      <c r="G833" s="7" t="n">
        <v>-1495</v>
      </c>
      <c r="H833" s="8" t="n">
        <f aca="false">E833+F833+G833</f>
        <v>11073.76</v>
      </c>
      <c r="I833" s="9" t="n">
        <f aca="false">IF($H$1182=0,0,H833/$H$1182)</f>
        <v>0.000917332978192801</v>
      </c>
      <c r="J833" s="10" t="n">
        <f aca="false">IF(C833&lt;=0,0,H833/C833)</f>
        <v>1384.22</v>
      </c>
    </row>
    <row r="834" customFormat="false" ht="15" hidden="false" customHeight="true" outlineLevel="0" collapsed="false">
      <c r="A834" s="11" t="n">
        <v>830</v>
      </c>
      <c r="B834" s="11" t="s">
        <v>841</v>
      </c>
      <c r="C834" s="12" t="n">
        <v>8</v>
      </c>
      <c r="D834" s="12" t="n">
        <v>8</v>
      </c>
      <c r="E834" s="13" t="n">
        <v>11685</v>
      </c>
      <c r="F834" s="13" t="n">
        <v>0</v>
      </c>
      <c r="G834" s="13" t="n">
        <v>-1200</v>
      </c>
      <c r="H834" s="14" t="n">
        <f aca="false">E834+F834+G834</f>
        <v>10485</v>
      </c>
      <c r="I834" s="15" t="n">
        <f aca="false">IF($H$1182=0,0,H834/$H$1182)</f>
        <v>0.000868561019595108</v>
      </c>
      <c r="J834" s="16" t="n">
        <f aca="false">IF(C834&lt;=0,0,H834/C834)</f>
        <v>1310.625</v>
      </c>
    </row>
    <row r="835" customFormat="false" ht="15" hidden="false" customHeight="true" outlineLevel="0" collapsed="false">
      <c r="A835" s="5" t="n">
        <v>831</v>
      </c>
      <c r="B835" s="5" t="s">
        <v>842</v>
      </c>
      <c r="C835" s="6" t="n">
        <v>8</v>
      </c>
      <c r="D835" s="6" t="n">
        <v>7</v>
      </c>
      <c r="E835" s="7" t="n">
        <v>5370</v>
      </c>
      <c r="F835" s="7" t="n">
        <v>-132</v>
      </c>
      <c r="G835" s="7" t="n">
        <v>0</v>
      </c>
      <c r="H835" s="8" t="n">
        <f aca="false">E835+F835+G835</f>
        <v>5238</v>
      </c>
      <c r="I835" s="9" t="n">
        <f aca="false">IF($H$1182=0,0,H835/$H$1182)</f>
        <v>0.000433907736827771</v>
      </c>
      <c r="J835" s="10" t="n">
        <f aca="false">IF(C835&lt;=0,0,H835/C835)</f>
        <v>654.75</v>
      </c>
    </row>
    <row r="836" customFormat="false" ht="15" hidden="false" customHeight="true" outlineLevel="0" collapsed="false">
      <c r="A836" s="11" t="n">
        <v>832</v>
      </c>
      <c r="B836" s="11" t="s">
        <v>843</v>
      </c>
      <c r="C836" s="12" t="n">
        <v>8</v>
      </c>
      <c r="D836" s="12" t="n">
        <v>4</v>
      </c>
      <c r="E836" s="13" t="n">
        <v>4374.92</v>
      </c>
      <c r="F836" s="13" t="n">
        <v>-354.94</v>
      </c>
      <c r="G836" s="13" t="n">
        <v>0</v>
      </c>
      <c r="H836" s="14" t="n">
        <f aca="false">E836+F836+G836</f>
        <v>4019.98</v>
      </c>
      <c r="I836" s="15" t="n">
        <f aca="false">IF($H$1182=0,0,H836/$H$1182)</f>
        <v>0.000333008862904334</v>
      </c>
      <c r="J836" s="16" t="n">
        <f aca="false">IF(C836&lt;=0,0,H836/C836)</f>
        <v>502.4975</v>
      </c>
    </row>
    <row r="837" customFormat="false" ht="15" hidden="false" customHeight="true" outlineLevel="0" collapsed="false">
      <c r="A837" s="5" t="n">
        <v>833</v>
      </c>
      <c r="B837" s="5" t="s">
        <v>844</v>
      </c>
      <c r="C837" s="6" t="n">
        <v>8</v>
      </c>
      <c r="D837" s="6" t="n">
        <v>8</v>
      </c>
      <c r="E837" s="7" t="n">
        <v>3200</v>
      </c>
      <c r="F837" s="7" t="n">
        <v>0</v>
      </c>
      <c r="G837" s="7" t="n">
        <v>0</v>
      </c>
      <c r="H837" s="8" t="n">
        <f aca="false">E837+F837+G837</f>
        <v>3200</v>
      </c>
      <c r="I837" s="9" t="n">
        <f aca="false">IF($H$1182=0,0,H837/$H$1182)</f>
        <v>0.000265083000734797</v>
      </c>
      <c r="J837" s="10" t="n">
        <f aca="false">IF(C837&lt;=0,0,H837/C837)</f>
        <v>400</v>
      </c>
    </row>
    <row r="838" customFormat="false" ht="15" hidden="false" customHeight="true" outlineLevel="0" collapsed="false">
      <c r="A838" s="11" t="n">
        <v>834</v>
      </c>
      <c r="B838" s="11" t="s">
        <v>845</v>
      </c>
      <c r="C838" s="12" t="n">
        <v>8</v>
      </c>
      <c r="D838" s="12" t="n">
        <v>10</v>
      </c>
      <c r="E838" s="13" t="n">
        <v>3919.94</v>
      </c>
      <c r="F838" s="13" t="n">
        <v>0</v>
      </c>
      <c r="G838" s="13" t="n">
        <v>-809.99</v>
      </c>
      <c r="H838" s="14" t="n">
        <f aca="false">E838+F838+G838</f>
        <v>3109.95</v>
      </c>
      <c r="I838" s="15" t="n">
        <f aca="false">IF($H$1182=0,0,H838/$H$1182)</f>
        <v>0.000257623399417244</v>
      </c>
      <c r="J838" s="16" t="n">
        <f aca="false">IF(C838&lt;=0,0,H838/C838)</f>
        <v>388.74375</v>
      </c>
    </row>
    <row r="839" customFormat="false" ht="15" hidden="false" customHeight="true" outlineLevel="0" collapsed="false">
      <c r="A839" s="5" t="n">
        <v>835</v>
      </c>
      <c r="B839" s="5" t="s">
        <v>846</v>
      </c>
      <c r="C839" s="6" t="n">
        <v>8</v>
      </c>
      <c r="D839" s="6" t="n">
        <v>9</v>
      </c>
      <c r="E839" s="7" t="n">
        <v>3419.91</v>
      </c>
      <c r="F839" s="7" t="n">
        <v>-38</v>
      </c>
      <c r="G839" s="7" t="n">
        <v>-379.99</v>
      </c>
      <c r="H839" s="8" t="n">
        <f aca="false">E839+F839+G839</f>
        <v>3001.92</v>
      </c>
      <c r="I839" s="9" t="n">
        <f aca="false">IF($H$1182=0,0,H839/$H$1182)</f>
        <v>0.000248674362989313</v>
      </c>
      <c r="J839" s="10" t="n">
        <f aca="false">IF(C839&lt;=0,0,H839/C839)</f>
        <v>375.24</v>
      </c>
    </row>
    <row r="840" customFormat="false" ht="15" hidden="false" customHeight="true" outlineLevel="0" collapsed="false">
      <c r="A840" s="11" t="n">
        <v>836</v>
      </c>
      <c r="B840" s="11" t="s">
        <v>847</v>
      </c>
      <c r="C840" s="12" t="n">
        <v>8</v>
      </c>
      <c r="D840" s="12" t="n">
        <v>8</v>
      </c>
      <c r="E840" s="13" t="n">
        <v>2880</v>
      </c>
      <c r="F840" s="13" t="n">
        <v>-96</v>
      </c>
      <c r="G840" s="13" t="n">
        <v>-320</v>
      </c>
      <c r="H840" s="14" t="n">
        <f aca="false">E840+F840+G840</f>
        <v>2464</v>
      </c>
      <c r="I840" s="15" t="n">
        <f aca="false">IF($H$1182=0,0,H840/$H$1182)</f>
        <v>0.000204113910565794</v>
      </c>
      <c r="J840" s="16" t="n">
        <f aca="false">IF(C840&lt;=0,0,H840/C840)</f>
        <v>308</v>
      </c>
    </row>
    <row r="841" customFormat="false" ht="15" hidden="false" customHeight="true" outlineLevel="0" collapsed="false">
      <c r="A841" s="5" t="n">
        <v>837</v>
      </c>
      <c r="B841" s="5" t="s">
        <v>848</v>
      </c>
      <c r="C841" s="6" t="n">
        <v>8</v>
      </c>
      <c r="D841" s="6" t="n">
        <v>7</v>
      </c>
      <c r="E841" s="7" t="n">
        <v>2320</v>
      </c>
      <c r="F841" s="7" t="n">
        <v>-6.71</v>
      </c>
      <c r="G841" s="7" t="n">
        <v>0</v>
      </c>
      <c r="H841" s="8" t="n">
        <f aca="false">E841+F841+G841</f>
        <v>2313.29</v>
      </c>
      <c r="I841" s="9" t="n">
        <f aca="false">IF($H$1182=0,0,H841/$H$1182)</f>
        <v>0.000191629329615562</v>
      </c>
      <c r="J841" s="10" t="n">
        <f aca="false">IF(C841&lt;=0,0,H841/C841)</f>
        <v>289.16125</v>
      </c>
    </row>
    <row r="842" customFormat="false" ht="15" hidden="false" customHeight="true" outlineLevel="0" collapsed="false">
      <c r="A842" s="11" t="n">
        <v>838</v>
      </c>
      <c r="B842" s="11" t="s">
        <v>849</v>
      </c>
      <c r="C842" s="12" t="n">
        <v>8</v>
      </c>
      <c r="D842" s="12" t="n">
        <v>10</v>
      </c>
      <c r="E842" s="13" t="n">
        <v>2498.48</v>
      </c>
      <c r="F842" s="13" t="n">
        <v>-32.71</v>
      </c>
      <c r="G842" s="13" t="n">
        <v>-399.98</v>
      </c>
      <c r="H842" s="14" t="n">
        <f aca="false">E842+F842+G842</f>
        <v>2065.79</v>
      </c>
      <c r="I842" s="15" t="n">
        <f aca="false">IF($H$1182=0,0,H842/$H$1182)</f>
        <v>0.00017112681627748</v>
      </c>
      <c r="J842" s="16" t="n">
        <f aca="false">IF(C842&lt;=0,0,H842/C842)</f>
        <v>258.22375</v>
      </c>
    </row>
    <row r="843" customFormat="false" ht="15" hidden="false" customHeight="true" outlineLevel="0" collapsed="false">
      <c r="A843" s="5" t="n">
        <v>839</v>
      </c>
      <c r="B843" s="5" t="s">
        <v>850</v>
      </c>
      <c r="C843" s="6" t="n">
        <v>8</v>
      </c>
      <c r="D843" s="6" t="n">
        <v>9</v>
      </c>
      <c r="E843" s="7" t="n">
        <v>2249.91</v>
      </c>
      <c r="F843" s="7" t="n">
        <v>-7.2</v>
      </c>
      <c r="G843" s="7" t="n">
        <v>-249.99</v>
      </c>
      <c r="H843" s="8" t="n">
        <f aca="false">E843+F843+G843</f>
        <v>1992.72</v>
      </c>
      <c r="I843" s="9" t="n">
        <f aca="false">IF($H$1182=0,0,H843/$H$1182)</f>
        <v>0.000165073811632576</v>
      </c>
      <c r="J843" s="10" t="n">
        <f aca="false">IF(C843&lt;=0,0,H843/C843)</f>
        <v>249.09</v>
      </c>
    </row>
    <row r="844" customFormat="false" ht="15" hidden="false" customHeight="true" outlineLevel="0" collapsed="false">
      <c r="A844" s="11" t="n">
        <v>840</v>
      </c>
      <c r="B844" s="11" t="s">
        <v>851</v>
      </c>
      <c r="C844" s="12" t="n">
        <v>8</v>
      </c>
      <c r="D844" s="12" t="n">
        <v>11</v>
      </c>
      <c r="E844" s="13" t="n">
        <v>2712.39</v>
      </c>
      <c r="F844" s="13" t="n">
        <v>0</v>
      </c>
      <c r="G844" s="13" t="n">
        <v>-749.97</v>
      </c>
      <c r="H844" s="14" t="n">
        <f aca="false">E844+F844+G844</f>
        <v>1962.42</v>
      </c>
      <c r="I844" s="15" t="n">
        <f aca="false">IF($H$1182=0,0,H844/$H$1182)</f>
        <v>0.000162563806969369</v>
      </c>
      <c r="J844" s="16" t="n">
        <f aca="false">IF(C844&lt;=0,0,H844/C844)</f>
        <v>245.3025</v>
      </c>
    </row>
    <row r="845" customFormat="false" ht="15" hidden="false" customHeight="true" outlineLevel="0" collapsed="false">
      <c r="A845" s="5" t="n">
        <v>841</v>
      </c>
      <c r="B845" s="5" t="s">
        <v>852</v>
      </c>
      <c r="C845" s="6" t="n">
        <v>8</v>
      </c>
      <c r="D845" s="6" t="n">
        <v>6</v>
      </c>
      <c r="E845" s="7" t="n">
        <v>2097</v>
      </c>
      <c r="F845" s="7" t="n">
        <v>0</v>
      </c>
      <c r="G845" s="7" t="n">
        <v>-233</v>
      </c>
      <c r="H845" s="8" t="n">
        <f aca="false">E845+F845+G845</f>
        <v>1864</v>
      </c>
      <c r="I845" s="9" t="n">
        <f aca="false">IF($H$1182=0,0,H845/$H$1182)</f>
        <v>0.000154410847928019</v>
      </c>
      <c r="J845" s="10" t="n">
        <f aca="false">IF(C845&lt;=0,0,H845/C845)</f>
        <v>233</v>
      </c>
    </row>
    <row r="846" customFormat="false" ht="15" hidden="false" customHeight="true" outlineLevel="0" collapsed="false">
      <c r="A846" s="11" t="n">
        <v>842</v>
      </c>
      <c r="B846" s="11" t="s">
        <v>853</v>
      </c>
      <c r="C846" s="12" t="n">
        <v>8</v>
      </c>
      <c r="D846" s="12" t="n">
        <v>8</v>
      </c>
      <c r="E846" s="13" t="n">
        <v>1989.95</v>
      </c>
      <c r="F846" s="13" t="n">
        <v>0</v>
      </c>
      <c r="G846" s="13" t="n">
        <v>-210</v>
      </c>
      <c r="H846" s="14" t="n">
        <f aca="false">E846+F846+G846</f>
        <v>1779.95</v>
      </c>
      <c r="I846" s="15" t="n">
        <f aca="false">IF($H$1182=0,0,H846/$H$1182)</f>
        <v>0.000147448277236844</v>
      </c>
      <c r="J846" s="16" t="n">
        <f aca="false">IF(C846&lt;=0,0,H846/C846)</f>
        <v>222.49375</v>
      </c>
    </row>
    <row r="847" customFormat="false" ht="15" hidden="false" customHeight="true" outlineLevel="0" collapsed="false">
      <c r="A847" s="5" t="n">
        <v>843</v>
      </c>
      <c r="B847" s="5" t="s">
        <v>854</v>
      </c>
      <c r="C847" s="6" t="n">
        <v>8</v>
      </c>
      <c r="D847" s="6" t="n">
        <v>9</v>
      </c>
      <c r="E847" s="7" t="n">
        <v>2274.87</v>
      </c>
      <c r="F847" s="7" t="n">
        <v>0</v>
      </c>
      <c r="G847" s="7" t="n">
        <v>-874.95</v>
      </c>
      <c r="H847" s="8" t="n">
        <f aca="false">E847+F847+G847</f>
        <v>1399.92</v>
      </c>
      <c r="I847" s="9" t="n">
        <f aca="false">IF($H$1182=0,0,H847/$H$1182)</f>
        <v>0.000115967185746455</v>
      </c>
      <c r="J847" s="10" t="n">
        <f aca="false">IF(C847&lt;=0,0,H847/C847)</f>
        <v>174.99</v>
      </c>
    </row>
    <row r="848" customFormat="false" ht="15" hidden="false" customHeight="true" outlineLevel="0" collapsed="false">
      <c r="A848" s="11" t="n">
        <v>844</v>
      </c>
      <c r="B848" s="11" t="s">
        <v>855</v>
      </c>
      <c r="C848" s="12" t="n">
        <v>8</v>
      </c>
      <c r="D848" s="12" t="n">
        <v>7</v>
      </c>
      <c r="E848" s="13" t="n">
        <v>1527.23</v>
      </c>
      <c r="F848" s="13" t="n">
        <v>-23.86</v>
      </c>
      <c r="G848" s="13" t="n">
        <v>-119.32</v>
      </c>
      <c r="H848" s="14" t="n">
        <f aca="false">E848+F848+G848</f>
        <v>1384.05</v>
      </c>
      <c r="I848" s="15" t="n">
        <f aca="false">IF($H$1182=0,0,H848/$H$1182)</f>
        <v>0.000114652539739686</v>
      </c>
      <c r="J848" s="16" t="n">
        <f aca="false">IF(C848&lt;=0,0,H848/C848)</f>
        <v>173.00625</v>
      </c>
    </row>
    <row r="849" customFormat="false" ht="15" hidden="false" customHeight="true" outlineLevel="0" collapsed="false">
      <c r="A849" s="5" t="n">
        <v>845</v>
      </c>
      <c r="B849" s="5" t="s">
        <v>856</v>
      </c>
      <c r="C849" s="6" t="n">
        <v>8</v>
      </c>
      <c r="D849" s="6" t="n">
        <v>8</v>
      </c>
      <c r="E849" s="7" t="n">
        <v>1465.95</v>
      </c>
      <c r="F849" s="7" t="n">
        <v>-14.99</v>
      </c>
      <c r="G849" s="7" t="n">
        <v>-149.99</v>
      </c>
      <c r="H849" s="8" t="n">
        <f aca="false">E849+F849+G849</f>
        <v>1300.97</v>
      </c>
      <c r="I849" s="9" t="n">
        <f aca="false">IF($H$1182=0,0,H849/$H$1182)</f>
        <v>0.000107770322333109</v>
      </c>
      <c r="J849" s="10" t="n">
        <f aca="false">IF(C849&lt;=0,0,H849/C849)</f>
        <v>162.62125</v>
      </c>
    </row>
    <row r="850" customFormat="false" ht="15" hidden="false" customHeight="true" outlineLevel="0" collapsed="false">
      <c r="A850" s="11" t="n">
        <v>846</v>
      </c>
      <c r="B850" s="11" t="s">
        <v>857</v>
      </c>
      <c r="C850" s="12" t="n">
        <v>8</v>
      </c>
      <c r="D850" s="12" t="n">
        <v>4</v>
      </c>
      <c r="E850" s="13" t="n">
        <v>1199.92</v>
      </c>
      <c r="F850" s="13" t="n">
        <v>0</v>
      </c>
      <c r="G850" s="13" t="n">
        <v>0</v>
      </c>
      <c r="H850" s="14" t="n">
        <f aca="false">E850+F850+G850</f>
        <v>1199.92</v>
      </c>
      <c r="I850" s="15" t="n">
        <f aca="false">IF($H$1182=0,0,H850/$H$1182)</f>
        <v>9.93994982005305E-005</v>
      </c>
      <c r="J850" s="16" t="n">
        <f aca="false">IF(C850&lt;=0,0,H850/C850)</f>
        <v>149.99</v>
      </c>
    </row>
    <row r="851" customFormat="false" ht="15" hidden="false" customHeight="true" outlineLevel="0" collapsed="false">
      <c r="A851" s="5" t="n">
        <v>847</v>
      </c>
      <c r="B851" s="5" t="s">
        <v>858</v>
      </c>
      <c r="C851" s="6" t="n">
        <v>8</v>
      </c>
      <c r="D851" s="6" t="n">
        <v>6</v>
      </c>
      <c r="E851" s="7" t="n">
        <v>916.47</v>
      </c>
      <c r="F851" s="7" t="n">
        <v>-6.28</v>
      </c>
      <c r="G851" s="7" t="n">
        <v>0</v>
      </c>
      <c r="H851" s="8" t="n">
        <f aca="false">E851+F851+G851</f>
        <v>910.19</v>
      </c>
      <c r="I851" s="9" t="n">
        <f aca="false">IF($H$1182=0,0,H851/$H$1182)</f>
        <v>7.53987176371265E-005</v>
      </c>
      <c r="J851" s="10" t="n">
        <f aca="false">IF(C851&lt;=0,0,H851/C851)</f>
        <v>113.77375</v>
      </c>
    </row>
    <row r="852" customFormat="false" ht="15" hidden="false" customHeight="true" outlineLevel="0" collapsed="false">
      <c r="A852" s="11" t="n">
        <v>848</v>
      </c>
      <c r="B852" s="11" t="s">
        <v>859</v>
      </c>
      <c r="C852" s="12" t="n">
        <v>8</v>
      </c>
      <c r="D852" s="12" t="n">
        <v>8</v>
      </c>
      <c r="E852" s="13" t="n">
        <v>877.23</v>
      </c>
      <c r="F852" s="13" t="n">
        <v>0</v>
      </c>
      <c r="G852" s="13" t="n">
        <v>-83.71</v>
      </c>
      <c r="H852" s="14" t="n">
        <f aca="false">E852+F852+G852</f>
        <v>793.52</v>
      </c>
      <c r="I852" s="15" t="n">
        <f aca="false">IF($H$1182=0,0,H852/$H$1182)</f>
        <v>6.57339571072112E-005</v>
      </c>
      <c r="J852" s="16" t="n">
        <f aca="false">IF(C852&lt;=0,0,H852/C852)</f>
        <v>99.19</v>
      </c>
    </row>
    <row r="853" customFormat="false" ht="15" hidden="false" customHeight="true" outlineLevel="0" collapsed="false">
      <c r="A853" s="5" t="n">
        <v>849</v>
      </c>
      <c r="B853" s="5" t="s">
        <v>860</v>
      </c>
      <c r="C853" s="6" t="n">
        <v>8</v>
      </c>
      <c r="D853" s="6" t="n">
        <v>10</v>
      </c>
      <c r="E853" s="7" t="n">
        <v>999.9</v>
      </c>
      <c r="F853" s="7" t="n">
        <v>-9.99</v>
      </c>
      <c r="G853" s="7" t="n">
        <v>-199.98</v>
      </c>
      <c r="H853" s="8" t="n">
        <f aca="false">E853+F853+G853</f>
        <v>789.93</v>
      </c>
      <c r="I853" s="9" t="n">
        <f aca="false">IF($H$1182=0,0,H853/$H$1182)</f>
        <v>6.54365671157619E-005</v>
      </c>
      <c r="J853" s="10" t="n">
        <f aca="false">IF(C853&lt;=0,0,H853/C853)</f>
        <v>98.74125</v>
      </c>
    </row>
    <row r="854" customFormat="false" ht="15" hidden="false" customHeight="true" outlineLevel="0" collapsed="false">
      <c r="A854" s="11" t="n">
        <v>850</v>
      </c>
      <c r="B854" s="11" t="s">
        <v>861</v>
      </c>
      <c r="C854" s="12" t="n">
        <v>8</v>
      </c>
      <c r="D854" s="12" t="n">
        <v>4</v>
      </c>
      <c r="E854" s="13" t="n">
        <v>799.92</v>
      </c>
      <c r="F854" s="13" t="n">
        <v>-19.98</v>
      </c>
      <c r="G854" s="13" t="n">
        <v>0</v>
      </c>
      <c r="H854" s="14" t="n">
        <f aca="false">E854+F854+G854</f>
        <v>779.94</v>
      </c>
      <c r="I854" s="15" t="n">
        <f aca="false">IF($H$1182=0,0,H854/$H$1182)</f>
        <v>6.46090111228429E-005</v>
      </c>
      <c r="J854" s="16" t="n">
        <f aca="false">IF(C854&lt;=0,0,H854/C854)</f>
        <v>97.4925</v>
      </c>
    </row>
    <row r="855" customFormat="false" ht="15" hidden="false" customHeight="true" outlineLevel="0" collapsed="false">
      <c r="A855" s="5" t="n">
        <v>851</v>
      </c>
      <c r="B855" s="5" t="s">
        <v>862</v>
      </c>
      <c r="C855" s="6" t="n">
        <v>8</v>
      </c>
      <c r="D855" s="6" t="n">
        <v>10</v>
      </c>
      <c r="E855" s="7" t="n">
        <v>999.9</v>
      </c>
      <c r="F855" s="7" t="n">
        <v>-41.69</v>
      </c>
      <c r="G855" s="7" t="n">
        <v>-199.98</v>
      </c>
      <c r="H855" s="8" t="n">
        <f aca="false">E855+F855+G855</f>
        <v>758.23</v>
      </c>
      <c r="I855" s="9" t="n">
        <f aca="false">IF($H$1182=0,0,H855/$H$1182)</f>
        <v>6.28105886397328E-005</v>
      </c>
      <c r="J855" s="10" t="n">
        <f aca="false">IF(C855&lt;=0,0,H855/C855)</f>
        <v>94.77875</v>
      </c>
    </row>
    <row r="856" customFormat="false" ht="15" hidden="false" customHeight="true" outlineLevel="0" collapsed="false">
      <c r="A856" s="11" t="n">
        <v>852</v>
      </c>
      <c r="B856" s="11" t="s">
        <v>863</v>
      </c>
      <c r="C856" s="12" t="n">
        <v>8</v>
      </c>
      <c r="D856" s="12" t="n">
        <v>3</v>
      </c>
      <c r="E856" s="13" t="n">
        <v>700</v>
      </c>
      <c r="F856" s="13" t="n">
        <v>-10.5</v>
      </c>
      <c r="G856" s="13" t="n">
        <v>0</v>
      </c>
      <c r="H856" s="14" t="n">
        <f aca="false">E856+F856+G856</f>
        <v>689.5</v>
      </c>
      <c r="I856" s="15" t="n">
        <f aca="false">IF($H$1182=0,0,H856/$H$1182)</f>
        <v>5.71171028145758E-005</v>
      </c>
      <c r="J856" s="16" t="n">
        <f aca="false">IF(C856&lt;=0,0,H856/C856)</f>
        <v>86.1875</v>
      </c>
    </row>
    <row r="857" customFormat="false" ht="15" hidden="false" customHeight="true" outlineLevel="0" collapsed="false">
      <c r="A857" s="5" t="n">
        <v>853</v>
      </c>
      <c r="B857" s="5" t="s">
        <v>864</v>
      </c>
      <c r="C857" s="6" t="n">
        <v>8</v>
      </c>
      <c r="D857" s="6" t="n">
        <v>3</v>
      </c>
      <c r="E857" s="7" t="n">
        <v>680</v>
      </c>
      <c r="F857" s="7" t="n">
        <v>0</v>
      </c>
      <c r="G857" s="7" t="n">
        <v>0</v>
      </c>
      <c r="H857" s="8" t="n">
        <f aca="false">E857+F857+G857</f>
        <v>680</v>
      </c>
      <c r="I857" s="9" t="n">
        <f aca="false">IF($H$1182=0,0,H857/$H$1182)</f>
        <v>5.63301376561443E-005</v>
      </c>
      <c r="J857" s="10" t="n">
        <f aca="false">IF(C857&lt;=0,0,H857/C857)</f>
        <v>85</v>
      </c>
    </row>
    <row r="858" customFormat="false" ht="15" hidden="false" customHeight="true" outlineLevel="0" collapsed="false">
      <c r="A858" s="11" t="n">
        <v>854</v>
      </c>
      <c r="B858" s="11" t="s">
        <v>865</v>
      </c>
      <c r="C858" s="12" t="n">
        <v>8</v>
      </c>
      <c r="D858" s="12" t="n">
        <v>7</v>
      </c>
      <c r="E858" s="13" t="n">
        <v>621</v>
      </c>
      <c r="F858" s="13" t="n">
        <v>0</v>
      </c>
      <c r="G858" s="13" t="n">
        <v>-69</v>
      </c>
      <c r="H858" s="14" t="n">
        <f aca="false">E858+F858+G858</f>
        <v>552</v>
      </c>
      <c r="I858" s="15" t="n">
        <f aca="false">IF($H$1182=0,0,H858/$H$1182)</f>
        <v>4.57268176267525E-005</v>
      </c>
      <c r="J858" s="16" t="n">
        <f aca="false">IF(C858&lt;=0,0,H858/C858)</f>
        <v>69</v>
      </c>
    </row>
    <row r="859" customFormat="false" ht="15" hidden="false" customHeight="true" outlineLevel="0" collapsed="false">
      <c r="A859" s="5" t="n">
        <v>855</v>
      </c>
      <c r="B859" s="5" t="s">
        <v>866</v>
      </c>
      <c r="C859" s="6" t="n">
        <v>8</v>
      </c>
      <c r="D859" s="6" t="n">
        <v>7</v>
      </c>
      <c r="E859" s="7" t="n">
        <v>503.67</v>
      </c>
      <c r="F859" s="7" t="n">
        <v>0</v>
      </c>
      <c r="G859" s="7" t="n">
        <v>0</v>
      </c>
      <c r="H859" s="8" t="n">
        <f aca="false">E859+F859+G859</f>
        <v>503.67</v>
      </c>
      <c r="I859" s="9" t="n">
        <f aca="false">IF($H$1182=0,0,H859/$H$1182)</f>
        <v>4.17232359312797E-005</v>
      </c>
      <c r="J859" s="10" t="n">
        <f aca="false">IF(C859&lt;=0,0,H859/C859)</f>
        <v>62.95875</v>
      </c>
    </row>
    <row r="860" customFormat="false" ht="15" hidden="false" customHeight="true" outlineLevel="0" collapsed="false">
      <c r="A860" s="11" t="n">
        <v>856</v>
      </c>
      <c r="B860" s="11" t="s">
        <v>867</v>
      </c>
      <c r="C860" s="12" t="n">
        <v>8</v>
      </c>
      <c r="D860" s="12" t="n">
        <v>5</v>
      </c>
      <c r="E860" s="13" t="n">
        <v>799.92</v>
      </c>
      <c r="F860" s="13" t="n">
        <v>-299.97</v>
      </c>
      <c r="G860" s="13" t="n">
        <v>0</v>
      </c>
      <c r="H860" s="14" t="n">
        <f aca="false">E860+F860+G860</f>
        <v>499.95</v>
      </c>
      <c r="I860" s="15" t="n">
        <f aca="false">IF($H$1182=0,0,H860/$H$1182)</f>
        <v>4.14150769429255E-005</v>
      </c>
      <c r="J860" s="16" t="n">
        <f aca="false">IF(C860&lt;=0,0,H860/C860)</f>
        <v>62.49375</v>
      </c>
    </row>
    <row r="861" customFormat="false" ht="15" hidden="false" customHeight="true" outlineLevel="0" collapsed="false">
      <c r="A861" s="5" t="n">
        <v>857</v>
      </c>
      <c r="B861" s="5" t="s">
        <v>868</v>
      </c>
      <c r="C861" s="6" t="n">
        <v>8</v>
      </c>
      <c r="D861" s="6" t="n">
        <v>8</v>
      </c>
      <c r="E861" s="7" t="n">
        <v>359.92</v>
      </c>
      <c r="F861" s="7" t="n">
        <v>-13.47</v>
      </c>
      <c r="G861" s="7" t="n">
        <v>0</v>
      </c>
      <c r="H861" s="8" t="n">
        <f aca="false">E861+F861+G861</f>
        <v>346.45</v>
      </c>
      <c r="I861" s="9" t="n">
        <f aca="false">IF($H$1182=0,0,H861/$H$1182)</f>
        <v>2.86993767514282E-005</v>
      </c>
      <c r="J861" s="10" t="n">
        <f aca="false">IF(C861&lt;=0,0,H861/C861)</f>
        <v>43.30625</v>
      </c>
    </row>
    <row r="862" customFormat="false" ht="15" hidden="false" customHeight="true" outlineLevel="0" collapsed="false">
      <c r="A862" s="11" t="n">
        <v>858</v>
      </c>
      <c r="B862" s="11" t="s">
        <v>869</v>
      </c>
      <c r="C862" s="12" t="n">
        <v>8</v>
      </c>
      <c r="D862" s="12" t="n">
        <v>7</v>
      </c>
      <c r="E862" s="13" t="n">
        <v>325.63</v>
      </c>
      <c r="F862" s="13" t="n">
        <v>-5.2</v>
      </c>
      <c r="G862" s="13" t="n">
        <v>-39.99</v>
      </c>
      <c r="H862" s="14" t="n">
        <f aca="false">E862+F862+G862</f>
        <v>280.44</v>
      </c>
      <c r="I862" s="15" t="n">
        <f aca="false">IF($H$1182=0,0,H862/$H$1182)</f>
        <v>2.32312114768958E-005</v>
      </c>
      <c r="J862" s="16" t="n">
        <f aca="false">IF(C862&lt;=0,0,H862/C862)</f>
        <v>35.055</v>
      </c>
    </row>
    <row r="863" customFormat="false" ht="15" hidden="false" customHeight="true" outlineLevel="0" collapsed="false">
      <c r="A863" s="5" t="n">
        <v>859</v>
      </c>
      <c r="B863" s="5" t="s">
        <v>870</v>
      </c>
      <c r="C863" s="6" t="n">
        <v>8</v>
      </c>
      <c r="D863" s="6" t="n">
        <v>4</v>
      </c>
      <c r="E863" s="7" t="n">
        <v>349.9</v>
      </c>
      <c r="F863" s="7" t="n">
        <v>-13.96</v>
      </c>
      <c r="G863" s="7" t="n">
        <v>-69.98</v>
      </c>
      <c r="H863" s="8" t="n">
        <f aca="false">E863+F863+G863</f>
        <v>265.96</v>
      </c>
      <c r="I863" s="9" t="n">
        <f aca="false">IF($H$1182=0,0,H863/$H$1182)</f>
        <v>2.20317108985708E-005</v>
      </c>
      <c r="J863" s="10" t="n">
        <f aca="false">IF(C863&lt;=0,0,H863/C863)</f>
        <v>33.245</v>
      </c>
    </row>
    <row r="864" customFormat="false" ht="15" hidden="false" customHeight="true" outlineLevel="0" collapsed="false">
      <c r="A864" s="11" t="n">
        <v>860</v>
      </c>
      <c r="B864" s="11" t="s">
        <v>871</v>
      </c>
      <c r="C864" s="12" t="n">
        <v>8</v>
      </c>
      <c r="D864" s="12" t="n">
        <v>9</v>
      </c>
      <c r="E864" s="13" t="n">
        <v>269.91</v>
      </c>
      <c r="F864" s="13" t="n">
        <v>0</v>
      </c>
      <c r="G864" s="13" t="n">
        <v>-29.99</v>
      </c>
      <c r="H864" s="14" t="n">
        <f aca="false">E864+F864+G864</f>
        <v>239.92</v>
      </c>
      <c r="I864" s="15" t="n">
        <f aca="false">IF($H$1182=0,0,H864/$H$1182)</f>
        <v>1.98745979800914E-005</v>
      </c>
      <c r="J864" s="16" t="n">
        <f aca="false">IF(C864&lt;=0,0,H864/C864)</f>
        <v>29.99</v>
      </c>
    </row>
    <row r="865" customFormat="false" ht="15" hidden="false" customHeight="true" outlineLevel="0" collapsed="false">
      <c r="A865" s="5" t="n">
        <v>861</v>
      </c>
      <c r="B865" s="5" t="s">
        <v>872</v>
      </c>
      <c r="C865" s="6" t="n">
        <v>8</v>
      </c>
      <c r="D865" s="6" t="n">
        <v>7</v>
      </c>
      <c r="E865" s="7" t="n">
        <v>176</v>
      </c>
      <c r="F865" s="7" t="n">
        <v>0</v>
      </c>
      <c r="G865" s="7" t="n">
        <v>0</v>
      </c>
      <c r="H865" s="8" t="n">
        <f aca="false">E865+F865+G865</f>
        <v>176</v>
      </c>
      <c r="I865" s="9" t="n">
        <f aca="false">IF($H$1182=0,0,H865/$H$1182)</f>
        <v>1.45795650404138E-005</v>
      </c>
      <c r="J865" s="10" t="n">
        <f aca="false">IF(C865&lt;=0,0,H865/C865)</f>
        <v>22</v>
      </c>
    </row>
    <row r="866" customFormat="false" ht="15" hidden="false" customHeight="true" outlineLevel="0" collapsed="false">
      <c r="A866" s="11" t="n">
        <v>862</v>
      </c>
      <c r="B866" s="11" t="s">
        <v>873</v>
      </c>
      <c r="C866" s="12" t="n">
        <v>8</v>
      </c>
      <c r="D866" s="12" t="n">
        <v>3</v>
      </c>
      <c r="E866" s="13" t="n">
        <v>120</v>
      </c>
      <c r="F866" s="13" t="n">
        <v>0</v>
      </c>
      <c r="G866" s="13" t="n">
        <v>0</v>
      </c>
      <c r="H866" s="14" t="n">
        <f aca="false">E866+F866+G866</f>
        <v>120</v>
      </c>
      <c r="I866" s="15" t="n">
        <f aca="false">IF($H$1182=0,0,H866/$H$1182)</f>
        <v>9.94061252755488E-006</v>
      </c>
      <c r="J866" s="16" t="n">
        <f aca="false">IF(C866&lt;=0,0,H866/C866)</f>
        <v>15</v>
      </c>
    </row>
    <row r="867" customFormat="false" ht="15" hidden="false" customHeight="true" outlineLevel="0" collapsed="false">
      <c r="A867" s="5" t="n">
        <v>863</v>
      </c>
      <c r="B867" s="5" t="s">
        <v>874</v>
      </c>
      <c r="C867" s="6" t="n">
        <v>7</v>
      </c>
      <c r="D867" s="6" t="n">
        <v>6</v>
      </c>
      <c r="E867" s="7" t="n">
        <v>38400</v>
      </c>
      <c r="F867" s="7" t="n">
        <v>0</v>
      </c>
      <c r="G867" s="7" t="n">
        <v>-4800</v>
      </c>
      <c r="H867" s="8" t="n">
        <f aca="false">E867+F867+G867</f>
        <v>33600</v>
      </c>
      <c r="I867" s="9" t="n">
        <f aca="false">IF($H$1182=0,0,H867/$H$1182)</f>
        <v>0.00278337150771537</v>
      </c>
      <c r="J867" s="10" t="n">
        <f aca="false">IF(C867&lt;=0,0,H867/C867)</f>
        <v>4800</v>
      </c>
    </row>
    <row r="868" customFormat="false" ht="15" hidden="false" customHeight="true" outlineLevel="0" collapsed="false">
      <c r="A868" s="11" t="n">
        <v>864</v>
      </c>
      <c r="B868" s="11" t="s">
        <v>875</v>
      </c>
      <c r="C868" s="12" t="n">
        <v>7</v>
      </c>
      <c r="D868" s="12" t="n">
        <v>8</v>
      </c>
      <c r="E868" s="13" t="n">
        <v>5878.98</v>
      </c>
      <c r="F868" s="13" t="n">
        <v>-72.34</v>
      </c>
      <c r="G868" s="13" t="n">
        <v>-764.99</v>
      </c>
      <c r="H868" s="14" t="n">
        <f aca="false">E868+F868+G868</f>
        <v>5041.65</v>
      </c>
      <c r="I868" s="15" t="n">
        <f aca="false">IF($H$1182=0,0,H868/$H$1182)</f>
        <v>0.000417642409579559</v>
      </c>
      <c r="J868" s="16" t="n">
        <f aca="false">IF(C868&lt;=0,0,H868/C868)</f>
        <v>720.235714285714</v>
      </c>
    </row>
    <row r="869" customFormat="false" ht="15" hidden="false" customHeight="true" outlineLevel="0" collapsed="false">
      <c r="A869" s="5" t="n">
        <v>865</v>
      </c>
      <c r="B869" s="5" t="s">
        <v>876</v>
      </c>
      <c r="C869" s="6" t="n">
        <v>7</v>
      </c>
      <c r="D869" s="6" t="n">
        <v>6</v>
      </c>
      <c r="E869" s="7" t="n">
        <v>5318.99</v>
      </c>
      <c r="F869" s="7" t="n">
        <v>-156.9</v>
      </c>
      <c r="G869" s="7" t="n">
        <v>-899.99</v>
      </c>
      <c r="H869" s="8" t="n">
        <f aca="false">E869+F869+G869</f>
        <v>4262.1</v>
      </c>
      <c r="I869" s="9" t="n">
        <f aca="false">IF($H$1182=0,0,H869/$H$1182)</f>
        <v>0.000353065705447431</v>
      </c>
      <c r="J869" s="10" t="n">
        <f aca="false">IF(C869&lt;=0,0,H869/C869)</f>
        <v>608.871428571429</v>
      </c>
    </row>
    <row r="870" customFormat="false" ht="15" hidden="false" customHeight="true" outlineLevel="0" collapsed="false">
      <c r="A870" s="11" t="n">
        <v>866</v>
      </c>
      <c r="B870" s="11" t="s">
        <v>877</v>
      </c>
      <c r="C870" s="12" t="n">
        <v>7</v>
      </c>
      <c r="D870" s="12" t="n">
        <v>2</v>
      </c>
      <c r="E870" s="13" t="n">
        <v>4249.93</v>
      </c>
      <c r="F870" s="13" t="n">
        <v>0</v>
      </c>
      <c r="G870" s="13" t="n">
        <v>0</v>
      </c>
      <c r="H870" s="14" t="n">
        <f aca="false">E870+F870+G870</f>
        <v>4249.93</v>
      </c>
      <c r="I870" s="15" t="n">
        <f aca="false">IF($H$1182=0,0,H870/$H$1182)</f>
        <v>0.000352057561660261</v>
      </c>
      <c r="J870" s="16" t="n">
        <f aca="false">IF(C870&lt;=0,0,H870/C870)</f>
        <v>607.132857142857</v>
      </c>
    </row>
    <row r="871" customFormat="false" ht="15" hidden="false" customHeight="true" outlineLevel="0" collapsed="false">
      <c r="A871" s="5" t="n">
        <v>867</v>
      </c>
      <c r="B871" s="5" t="s">
        <v>878</v>
      </c>
      <c r="C871" s="6" t="n">
        <v>7</v>
      </c>
      <c r="D871" s="6" t="n">
        <v>7</v>
      </c>
      <c r="E871" s="7" t="n">
        <v>3825.3</v>
      </c>
      <c r="F871" s="7" t="n">
        <v>-54.3</v>
      </c>
      <c r="G871" s="7" t="n">
        <v>0</v>
      </c>
      <c r="H871" s="8" t="n">
        <f aca="false">E871+F871+G871</f>
        <v>3771</v>
      </c>
      <c r="I871" s="9" t="n">
        <f aca="false">IF($H$1182=0,0,H871/$H$1182)</f>
        <v>0.000312383748678412</v>
      </c>
      <c r="J871" s="10" t="n">
        <f aca="false">IF(C871&lt;=0,0,H871/C871)</f>
        <v>538.714285714286</v>
      </c>
    </row>
    <row r="872" customFormat="false" ht="15" hidden="false" customHeight="true" outlineLevel="0" collapsed="false">
      <c r="A872" s="11" t="n">
        <v>868</v>
      </c>
      <c r="B872" s="11" t="s">
        <v>879</v>
      </c>
      <c r="C872" s="12" t="n">
        <v>7</v>
      </c>
      <c r="D872" s="12" t="n">
        <v>9</v>
      </c>
      <c r="E872" s="13" t="n">
        <v>4800</v>
      </c>
      <c r="F872" s="13" t="n">
        <v>0</v>
      </c>
      <c r="G872" s="13" t="n">
        <v>-1050</v>
      </c>
      <c r="H872" s="14" t="n">
        <f aca="false">E872+F872+G872</f>
        <v>3750</v>
      </c>
      <c r="I872" s="15" t="n">
        <f aca="false">IF($H$1182=0,0,H872/$H$1182)</f>
        <v>0.00031064414148609</v>
      </c>
      <c r="J872" s="16" t="n">
        <f aca="false">IF(C872&lt;=0,0,H872/C872)</f>
        <v>535.714285714286</v>
      </c>
    </row>
    <row r="873" customFormat="false" ht="15" hidden="false" customHeight="true" outlineLevel="0" collapsed="false">
      <c r="A873" s="5" t="n">
        <v>869</v>
      </c>
      <c r="B873" s="5" t="s">
        <v>880</v>
      </c>
      <c r="C873" s="6" t="n">
        <v>7</v>
      </c>
      <c r="D873" s="6" t="n">
        <v>7</v>
      </c>
      <c r="E873" s="7" t="n">
        <v>3592</v>
      </c>
      <c r="F873" s="7" t="n">
        <v>0</v>
      </c>
      <c r="G873" s="7" t="n">
        <v>-449</v>
      </c>
      <c r="H873" s="8" t="n">
        <f aca="false">E873+F873+G873</f>
        <v>3143</v>
      </c>
      <c r="I873" s="9" t="n">
        <f aca="false">IF($H$1182=0,0,H873/$H$1182)</f>
        <v>0.000260361209784208</v>
      </c>
      <c r="J873" s="10" t="n">
        <f aca="false">IF(C873&lt;=0,0,H873/C873)</f>
        <v>449</v>
      </c>
    </row>
    <row r="874" customFormat="false" ht="15" hidden="false" customHeight="true" outlineLevel="0" collapsed="false">
      <c r="A874" s="11" t="n">
        <v>870</v>
      </c>
      <c r="B874" s="11" t="s">
        <v>881</v>
      </c>
      <c r="C874" s="12" t="n">
        <v>7</v>
      </c>
      <c r="D874" s="12" t="n">
        <v>7</v>
      </c>
      <c r="E874" s="13" t="n">
        <v>3599.92</v>
      </c>
      <c r="F874" s="13" t="n">
        <v>-134.97</v>
      </c>
      <c r="G874" s="13" t="n">
        <v>-449.99</v>
      </c>
      <c r="H874" s="14" t="n">
        <f aca="false">E874+F874+G874</f>
        <v>3014.96</v>
      </c>
      <c r="I874" s="15" t="n">
        <f aca="false">IF($H$1182=0,0,H874/$H$1182)</f>
        <v>0.000249754576217307</v>
      </c>
      <c r="J874" s="16" t="n">
        <f aca="false">IF(C874&lt;=0,0,H874/C874)</f>
        <v>430.708571428571</v>
      </c>
    </row>
    <row r="875" customFormat="false" ht="15" hidden="false" customHeight="true" outlineLevel="0" collapsed="false">
      <c r="A875" s="5" t="n">
        <v>871</v>
      </c>
      <c r="B875" s="5" t="s">
        <v>882</v>
      </c>
      <c r="C875" s="6" t="n">
        <v>7</v>
      </c>
      <c r="D875" s="6" t="n">
        <v>8</v>
      </c>
      <c r="E875" s="7" t="n">
        <v>2997</v>
      </c>
      <c r="F875" s="7" t="n">
        <v>0</v>
      </c>
      <c r="G875" s="7" t="n">
        <v>-666</v>
      </c>
      <c r="H875" s="8" t="n">
        <f aca="false">E875+F875+G875</f>
        <v>2331</v>
      </c>
      <c r="I875" s="9" t="n">
        <f aca="false">IF($H$1182=0,0,H875/$H$1182)</f>
        <v>0.000193096398347754</v>
      </c>
      <c r="J875" s="10" t="n">
        <f aca="false">IF(C875&lt;=0,0,H875/C875)</f>
        <v>333</v>
      </c>
    </row>
    <row r="876" customFormat="false" ht="15" hidden="false" customHeight="true" outlineLevel="0" collapsed="false">
      <c r="A876" s="11" t="n">
        <v>872</v>
      </c>
      <c r="B876" s="11" t="s">
        <v>883</v>
      </c>
      <c r="C876" s="12" t="n">
        <v>7</v>
      </c>
      <c r="D876" s="12" t="n">
        <v>9</v>
      </c>
      <c r="E876" s="13" t="n">
        <v>2997</v>
      </c>
      <c r="F876" s="13" t="n">
        <v>-2.09</v>
      </c>
      <c r="G876" s="13" t="n">
        <v>-666</v>
      </c>
      <c r="H876" s="14" t="n">
        <f aca="false">E876+F876+G876</f>
        <v>2328.91</v>
      </c>
      <c r="I876" s="15" t="n">
        <f aca="false">IF($H$1182=0,0,H876/$H$1182)</f>
        <v>0.000192923266012899</v>
      </c>
      <c r="J876" s="16" t="n">
        <f aca="false">IF(C876&lt;=0,0,H876/C876)</f>
        <v>332.701428571429</v>
      </c>
    </row>
    <row r="877" customFormat="false" ht="15" hidden="false" customHeight="true" outlineLevel="0" collapsed="false">
      <c r="A877" s="5" t="n">
        <v>873</v>
      </c>
      <c r="B877" s="5" t="s">
        <v>884</v>
      </c>
      <c r="C877" s="6" t="n">
        <v>7</v>
      </c>
      <c r="D877" s="6" t="n">
        <v>6</v>
      </c>
      <c r="E877" s="7" t="n">
        <v>2195.26</v>
      </c>
      <c r="F877" s="7" t="n">
        <v>-22.5</v>
      </c>
      <c r="G877" s="7" t="n">
        <v>-142.5</v>
      </c>
      <c r="H877" s="8" t="n">
        <f aca="false">E877+F877+G877</f>
        <v>2030.26</v>
      </c>
      <c r="I877" s="9" t="n">
        <f aca="false">IF($H$1182=0,0,H877/$H$1182)</f>
        <v>0.000168183566584946</v>
      </c>
      <c r="J877" s="10" t="n">
        <f aca="false">IF(C877&lt;=0,0,H877/C877)</f>
        <v>290.037142857143</v>
      </c>
    </row>
    <row r="878" customFormat="false" ht="15" hidden="false" customHeight="true" outlineLevel="0" collapsed="false">
      <c r="A878" s="11" t="n">
        <v>874</v>
      </c>
      <c r="B878" s="11" t="s">
        <v>885</v>
      </c>
      <c r="C878" s="12" t="n">
        <v>7</v>
      </c>
      <c r="D878" s="12" t="n">
        <v>12</v>
      </c>
      <c r="E878" s="13" t="n">
        <v>3374.8</v>
      </c>
      <c r="F878" s="13" t="n">
        <v>0</v>
      </c>
      <c r="G878" s="13" t="n">
        <v>-1589.2</v>
      </c>
      <c r="H878" s="14" t="n">
        <f aca="false">E878+F878+G878</f>
        <v>1785.6</v>
      </c>
      <c r="I878" s="15" t="n">
        <f aca="false">IF($H$1182=0,0,H878/$H$1182)</f>
        <v>0.000147916314410017</v>
      </c>
      <c r="J878" s="16" t="n">
        <f aca="false">IF(C878&lt;=0,0,H878/C878)</f>
        <v>255.085714285714</v>
      </c>
    </row>
    <row r="879" customFormat="false" ht="15" hidden="false" customHeight="true" outlineLevel="0" collapsed="false">
      <c r="A879" s="5" t="n">
        <v>875</v>
      </c>
      <c r="B879" s="5" t="s">
        <v>886</v>
      </c>
      <c r="C879" s="6" t="n">
        <v>7</v>
      </c>
      <c r="D879" s="6" t="n">
        <v>9</v>
      </c>
      <c r="E879" s="7" t="n">
        <v>3249.87</v>
      </c>
      <c r="F879" s="7" t="n">
        <v>0</v>
      </c>
      <c r="G879" s="7" t="n">
        <v>-1499.94</v>
      </c>
      <c r="H879" s="8" t="n">
        <f aca="false">E879+F879+G879</f>
        <v>1749.93</v>
      </c>
      <c r="I879" s="9" t="n">
        <f aca="false">IF($H$1182=0,0,H879/$H$1182)</f>
        <v>0.000144961467336201</v>
      </c>
      <c r="J879" s="10" t="n">
        <f aca="false">IF(C879&lt;=0,0,H879/C879)</f>
        <v>249.99</v>
      </c>
    </row>
    <row r="880" customFormat="false" ht="15" hidden="false" customHeight="true" outlineLevel="0" collapsed="false">
      <c r="A880" s="11" t="n">
        <v>876</v>
      </c>
      <c r="B880" s="11" t="s">
        <v>887</v>
      </c>
      <c r="C880" s="12" t="n">
        <v>7</v>
      </c>
      <c r="D880" s="12" t="n">
        <v>9</v>
      </c>
      <c r="E880" s="13" t="n">
        <v>2400</v>
      </c>
      <c r="F880" s="13" t="n">
        <v>-24</v>
      </c>
      <c r="G880" s="13" t="n">
        <v>-720</v>
      </c>
      <c r="H880" s="14" t="n">
        <f aca="false">E880+F880+G880</f>
        <v>1656</v>
      </c>
      <c r="I880" s="15" t="n">
        <f aca="false">IF($H$1182=0,0,H880/$H$1182)</f>
        <v>0.000137180452880257</v>
      </c>
      <c r="J880" s="16" t="n">
        <f aca="false">IF(C880&lt;=0,0,H880/C880)</f>
        <v>236.571428571429</v>
      </c>
    </row>
    <row r="881" customFormat="false" ht="15" hidden="false" customHeight="true" outlineLevel="0" collapsed="false">
      <c r="A881" s="5" t="n">
        <v>877</v>
      </c>
      <c r="B881" s="5" t="s">
        <v>888</v>
      </c>
      <c r="C881" s="6" t="n">
        <v>7</v>
      </c>
      <c r="D881" s="6" t="n">
        <v>5</v>
      </c>
      <c r="E881" s="7" t="n">
        <v>2749.89</v>
      </c>
      <c r="F881" s="7" t="n">
        <v>-99.96</v>
      </c>
      <c r="G881" s="7" t="n">
        <v>-999.96</v>
      </c>
      <c r="H881" s="8" t="n">
        <f aca="false">E881+F881+G881</f>
        <v>1649.97</v>
      </c>
      <c r="I881" s="9" t="n">
        <f aca="false">IF($H$1182=0,0,H881/$H$1182)</f>
        <v>0.000136680937100748</v>
      </c>
      <c r="J881" s="10" t="n">
        <f aca="false">IF(C881&lt;=0,0,H881/C881)</f>
        <v>235.71</v>
      </c>
    </row>
    <row r="882" customFormat="false" ht="15" hidden="false" customHeight="true" outlineLevel="0" collapsed="false">
      <c r="A882" s="11" t="n">
        <v>878</v>
      </c>
      <c r="B882" s="11" t="s">
        <v>889</v>
      </c>
      <c r="C882" s="12" t="n">
        <v>7</v>
      </c>
      <c r="D882" s="12" t="n">
        <v>7</v>
      </c>
      <c r="E882" s="13" t="n">
        <v>1559.91</v>
      </c>
      <c r="F882" s="13" t="n">
        <v>0</v>
      </c>
      <c r="G882" s="13" t="n">
        <v>-349.98</v>
      </c>
      <c r="H882" s="14" t="n">
        <f aca="false">E882+F882+G882</f>
        <v>1209.93</v>
      </c>
      <c r="I882" s="15" t="n">
        <f aca="false">IF($H$1182=0,0,H882/$H$1182)</f>
        <v>0.000100228710962204</v>
      </c>
      <c r="J882" s="16" t="n">
        <f aca="false">IF(C882&lt;=0,0,H882/C882)</f>
        <v>172.847142857143</v>
      </c>
    </row>
    <row r="883" customFormat="false" ht="15" hidden="false" customHeight="true" outlineLevel="0" collapsed="false">
      <c r="A883" s="5" t="n">
        <v>879</v>
      </c>
      <c r="B883" s="5" t="s">
        <v>890</v>
      </c>
      <c r="C883" s="6" t="n">
        <v>7</v>
      </c>
      <c r="D883" s="6" t="n">
        <v>6</v>
      </c>
      <c r="E883" s="7" t="n">
        <v>1168.75</v>
      </c>
      <c r="F883" s="7" t="n">
        <v>-38.98</v>
      </c>
      <c r="G883" s="7" t="n">
        <v>0</v>
      </c>
      <c r="H883" s="8" t="n">
        <f aca="false">E883+F883+G883</f>
        <v>1129.77</v>
      </c>
      <c r="I883" s="9" t="n">
        <f aca="false">IF($H$1182=0,0,H883/$H$1182)</f>
        <v>9.35883817937973E-005</v>
      </c>
      <c r="J883" s="10" t="n">
        <f aca="false">IF(C883&lt;=0,0,H883/C883)</f>
        <v>161.395714285714</v>
      </c>
    </row>
    <row r="884" customFormat="false" ht="15" hidden="false" customHeight="true" outlineLevel="0" collapsed="false">
      <c r="A884" s="11" t="n">
        <v>880</v>
      </c>
      <c r="B884" s="11" t="s">
        <v>891</v>
      </c>
      <c r="C884" s="12" t="n">
        <v>7</v>
      </c>
      <c r="D884" s="12" t="n">
        <v>8</v>
      </c>
      <c r="E884" s="13" t="n">
        <v>1439.91</v>
      </c>
      <c r="F884" s="13" t="n">
        <v>0</v>
      </c>
      <c r="G884" s="13" t="n">
        <v>-319.98</v>
      </c>
      <c r="H884" s="14" t="n">
        <f aca="false">E884+F884+G884</f>
        <v>1119.93</v>
      </c>
      <c r="I884" s="15" t="n">
        <f aca="false">IF($H$1182=0,0,H884/$H$1182)</f>
        <v>9.27732515665378E-005</v>
      </c>
      <c r="J884" s="16" t="n">
        <f aca="false">IF(C884&lt;=0,0,H884/C884)</f>
        <v>159.99</v>
      </c>
    </row>
    <row r="885" customFormat="false" ht="15" hidden="false" customHeight="true" outlineLevel="0" collapsed="false">
      <c r="A885" s="5" t="n">
        <v>881</v>
      </c>
      <c r="B885" s="5" t="s">
        <v>892</v>
      </c>
      <c r="C885" s="6" t="n">
        <v>7</v>
      </c>
      <c r="D885" s="6" t="n">
        <v>6</v>
      </c>
      <c r="E885" s="7" t="n">
        <v>1049.93</v>
      </c>
      <c r="F885" s="7" t="n">
        <v>0</v>
      </c>
      <c r="G885" s="7" t="n">
        <v>0</v>
      </c>
      <c r="H885" s="8" t="n">
        <f aca="false">E885+F885+G885</f>
        <v>1049.93</v>
      </c>
      <c r="I885" s="9" t="n">
        <f aca="false">IF($H$1182=0,0,H885/$H$1182)</f>
        <v>8.69745609254641E-005</v>
      </c>
      <c r="J885" s="10" t="n">
        <f aca="false">IF(C885&lt;=0,0,H885/C885)</f>
        <v>149.99</v>
      </c>
    </row>
    <row r="886" customFormat="false" ht="15" hidden="false" customHeight="true" outlineLevel="0" collapsed="false">
      <c r="A886" s="11" t="n">
        <v>882</v>
      </c>
      <c r="B886" s="11" t="s">
        <v>893</v>
      </c>
      <c r="C886" s="12" t="n">
        <v>7</v>
      </c>
      <c r="D886" s="12" t="n">
        <v>6</v>
      </c>
      <c r="E886" s="13" t="n">
        <v>949.93</v>
      </c>
      <c r="F886" s="13" t="n">
        <v>-3.45</v>
      </c>
      <c r="G886" s="13" t="n">
        <v>0</v>
      </c>
      <c r="H886" s="14" t="n">
        <f aca="false">E886+F886+G886</f>
        <v>946.48</v>
      </c>
      <c r="I886" s="15" t="n">
        <f aca="false">IF($H$1182=0,0,H886/$H$1182)</f>
        <v>7.84049245423345E-005</v>
      </c>
      <c r="J886" s="16" t="n">
        <f aca="false">IF(C886&lt;=0,0,H886/C886)</f>
        <v>135.211428571429</v>
      </c>
    </row>
    <row r="887" customFormat="false" ht="15" hidden="false" customHeight="true" outlineLevel="0" collapsed="false">
      <c r="A887" s="5" t="n">
        <v>883</v>
      </c>
      <c r="B887" s="5" t="s">
        <v>894</v>
      </c>
      <c r="C887" s="6" t="n">
        <v>7</v>
      </c>
      <c r="D887" s="6" t="n">
        <v>5</v>
      </c>
      <c r="E887" s="7" t="n">
        <v>880</v>
      </c>
      <c r="F887" s="7" t="n">
        <v>0</v>
      </c>
      <c r="G887" s="7" t="n">
        <v>-110</v>
      </c>
      <c r="H887" s="8" t="n">
        <f aca="false">E887+F887+G887</f>
        <v>770</v>
      </c>
      <c r="I887" s="9" t="n">
        <f aca="false">IF($H$1182=0,0,H887/$H$1182)</f>
        <v>6.37855970518105E-005</v>
      </c>
      <c r="J887" s="10" t="n">
        <f aca="false">IF(C887&lt;=0,0,H887/C887)</f>
        <v>110</v>
      </c>
    </row>
    <row r="888" customFormat="false" ht="15" hidden="false" customHeight="true" outlineLevel="0" collapsed="false">
      <c r="A888" s="11" t="n">
        <v>884</v>
      </c>
      <c r="B888" s="11" t="s">
        <v>895</v>
      </c>
      <c r="C888" s="12" t="n">
        <v>7</v>
      </c>
      <c r="D888" s="12" t="n">
        <v>5</v>
      </c>
      <c r="E888" s="13" t="n">
        <v>799.92</v>
      </c>
      <c r="F888" s="13" t="n">
        <v>-9.99</v>
      </c>
      <c r="G888" s="13" t="n">
        <v>-99.99</v>
      </c>
      <c r="H888" s="14" t="n">
        <f aca="false">E888+F888+G888</f>
        <v>689.94</v>
      </c>
      <c r="I888" s="15" t="n">
        <f aca="false">IF($H$1182=0,0,H888/$H$1182)</f>
        <v>5.71535517271768E-005</v>
      </c>
      <c r="J888" s="16" t="n">
        <f aca="false">IF(C888&lt;=0,0,H888/C888)</f>
        <v>98.5628571428571</v>
      </c>
    </row>
    <row r="889" customFormat="false" ht="15" hidden="false" customHeight="true" outlineLevel="0" collapsed="false">
      <c r="A889" s="5" t="n">
        <v>885</v>
      </c>
      <c r="B889" s="5" t="s">
        <v>896</v>
      </c>
      <c r="C889" s="6" t="n">
        <v>7</v>
      </c>
      <c r="D889" s="6" t="n">
        <v>5</v>
      </c>
      <c r="E889" s="7" t="n">
        <v>699.93</v>
      </c>
      <c r="F889" s="7" t="n">
        <v>-14.98</v>
      </c>
      <c r="G889" s="7" t="n">
        <v>0</v>
      </c>
      <c r="H889" s="8" t="n">
        <f aca="false">E889+F889+G889</f>
        <v>684.95</v>
      </c>
      <c r="I889" s="9" t="n">
        <f aca="false">IF($H$1182=0,0,H889/$H$1182)</f>
        <v>5.6740187922906E-005</v>
      </c>
      <c r="J889" s="10" t="n">
        <f aca="false">IF(C889&lt;=0,0,H889/C889)</f>
        <v>97.85</v>
      </c>
    </row>
    <row r="890" customFormat="false" ht="15" hidden="false" customHeight="true" outlineLevel="0" collapsed="false">
      <c r="A890" s="11" t="n">
        <v>886</v>
      </c>
      <c r="B890" s="11" t="s">
        <v>897</v>
      </c>
      <c r="C890" s="12" t="n">
        <v>7</v>
      </c>
      <c r="D890" s="12" t="n">
        <v>8</v>
      </c>
      <c r="E890" s="13" t="n">
        <v>799.92</v>
      </c>
      <c r="F890" s="13" t="n">
        <v>-19.98</v>
      </c>
      <c r="G890" s="13" t="n">
        <v>-99.99</v>
      </c>
      <c r="H890" s="14" t="n">
        <f aca="false">E890+F890+G890</f>
        <v>679.95</v>
      </c>
      <c r="I890" s="15" t="n">
        <f aca="false">IF($H$1182=0,0,H890/$H$1182)</f>
        <v>5.63259957342578E-005</v>
      </c>
      <c r="J890" s="16" t="n">
        <f aca="false">IF(C890&lt;=0,0,H890/C890)</f>
        <v>97.1357142857143</v>
      </c>
    </row>
    <row r="891" customFormat="false" ht="15" hidden="false" customHeight="true" outlineLevel="0" collapsed="false">
      <c r="A891" s="5" t="n">
        <v>887</v>
      </c>
      <c r="B891" s="5" t="s">
        <v>898</v>
      </c>
      <c r="C891" s="6" t="n">
        <v>7</v>
      </c>
      <c r="D891" s="6" t="n">
        <v>5</v>
      </c>
      <c r="E891" s="7" t="n">
        <v>594.93</v>
      </c>
      <c r="F891" s="7" t="n">
        <v>0</v>
      </c>
      <c r="G891" s="7" t="n">
        <v>0</v>
      </c>
      <c r="H891" s="8" t="n">
        <f aca="false">E891+F891+G891</f>
        <v>594.93</v>
      </c>
      <c r="I891" s="9" t="n">
        <f aca="false">IF($H$1182=0,0,H891/$H$1182)</f>
        <v>4.92830717584852E-005</v>
      </c>
      <c r="J891" s="10" t="n">
        <f aca="false">IF(C891&lt;=0,0,H891/C891)</f>
        <v>84.99</v>
      </c>
    </row>
    <row r="892" customFormat="false" ht="15" hidden="false" customHeight="true" outlineLevel="0" collapsed="false">
      <c r="A892" s="11" t="n">
        <v>888</v>
      </c>
      <c r="B892" s="11" t="s">
        <v>899</v>
      </c>
      <c r="C892" s="12" t="n">
        <v>7</v>
      </c>
      <c r="D892" s="12" t="n">
        <v>5</v>
      </c>
      <c r="E892" s="13" t="n">
        <v>548.29</v>
      </c>
      <c r="F892" s="13" t="n">
        <v>-6.2</v>
      </c>
      <c r="G892" s="13" t="n">
        <v>0</v>
      </c>
      <c r="H892" s="14" t="n">
        <f aca="false">E892+F892+G892</f>
        <v>542.09</v>
      </c>
      <c r="I892" s="15" t="n">
        <f aca="false">IF($H$1182=0,0,H892/$H$1182)</f>
        <v>4.49058887088519E-005</v>
      </c>
      <c r="J892" s="16" t="n">
        <f aca="false">IF(C892&lt;=0,0,H892/C892)</f>
        <v>77.4414285714286</v>
      </c>
    </row>
    <row r="893" customFormat="false" ht="15" hidden="false" customHeight="true" outlineLevel="0" collapsed="false">
      <c r="A893" s="5" t="n">
        <v>889</v>
      </c>
      <c r="B893" s="5" t="s">
        <v>900</v>
      </c>
      <c r="C893" s="6" t="n">
        <v>7</v>
      </c>
      <c r="D893" s="6" t="n">
        <v>5</v>
      </c>
      <c r="E893" s="7" t="n">
        <v>529.93</v>
      </c>
      <c r="F893" s="7" t="n">
        <v>-7.49</v>
      </c>
      <c r="G893" s="7" t="n">
        <v>0</v>
      </c>
      <c r="H893" s="8" t="n">
        <f aca="false">E893+F893+G893</f>
        <v>522.44</v>
      </c>
      <c r="I893" s="9" t="n">
        <f aca="false">IF($H$1182=0,0,H893/$H$1182)</f>
        <v>4.32781134074648E-005</v>
      </c>
      <c r="J893" s="10" t="n">
        <f aca="false">IF(C893&lt;=0,0,H893/C893)</f>
        <v>74.6342857142857</v>
      </c>
    </row>
    <row r="894" customFormat="false" ht="15" hidden="false" customHeight="true" outlineLevel="0" collapsed="false">
      <c r="A894" s="11" t="n">
        <v>890</v>
      </c>
      <c r="B894" s="11" t="s">
        <v>901</v>
      </c>
      <c r="C894" s="12" t="n">
        <v>7</v>
      </c>
      <c r="D894" s="12" t="n">
        <v>6</v>
      </c>
      <c r="E894" s="13" t="n">
        <v>479.92</v>
      </c>
      <c r="F894" s="13" t="n">
        <v>0</v>
      </c>
      <c r="G894" s="13" t="n">
        <v>-59.99</v>
      </c>
      <c r="H894" s="14" t="n">
        <f aca="false">E894+F894+G894</f>
        <v>419.93</v>
      </c>
      <c r="I894" s="15" t="n">
        <f aca="false">IF($H$1182=0,0,H894/$H$1182)</f>
        <v>3.4786345155801E-005</v>
      </c>
      <c r="J894" s="16" t="n">
        <f aca="false">IF(C894&lt;=0,0,H894/C894)</f>
        <v>59.99</v>
      </c>
    </row>
    <row r="895" customFormat="false" ht="15" hidden="false" customHeight="true" outlineLevel="0" collapsed="false">
      <c r="A895" s="5" t="n">
        <v>891</v>
      </c>
      <c r="B895" s="5" t="s">
        <v>902</v>
      </c>
      <c r="C895" s="6" t="n">
        <v>7</v>
      </c>
      <c r="D895" s="6" t="n">
        <v>6</v>
      </c>
      <c r="E895" s="7" t="n">
        <v>315</v>
      </c>
      <c r="F895" s="7" t="n">
        <v>0</v>
      </c>
      <c r="G895" s="7" t="n">
        <v>0</v>
      </c>
      <c r="H895" s="8" t="n">
        <f aca="false">E895+F895+G895</f>
        <v>315</v>
      </c>
      <c r="I895" s="9" t="n">
        <f aca="false">IF($H$1182=0,0,H895/$H$1182)</f>
        <v>2.60941078848316E-005</v>
      </c>
      <c r="J895" s="10" t="n">
        <f aca="false">IF(C895&lt;=0,0,H895/C895)</f>
        <v>45</v>
      </c>
    </row>
    <row r="896" customFormat="false" ht="15" hidden="false" customHeight="true" outlineLevel="0" collapsed="false">
      <c r="A896" s="11" t="n">
        <v>892</v>
      </c>
      <c r="B896" s="11" t="s">
        <v>903</v>
      </c>
      <c r="C896" s="12" t="n">
        <v>7</v>
      </c>
      <c r="D896" s="12" t="n">
        <v>7</v>
      </c>
      <c r="E896" s="13" t="n">
        <v>315</v>
      </c>
      <c r="F896" s="13" t="n">
        <v>0</v>
      </c>
      <c r="G896" s="13" t="n">
        <v>0</v>
      </c>
      <c r="H896" s="14" t="n">
        <f aca="false">E896+F896+G896</f>
        <v>315</v>
      </c>
      <c r="I896" s="15" t="n">
        <f aca="false">IF($H$1182=0,0,H896/$H$1182)</f>
        <v>2.60941078848316E-005</v>
      </c>
      <c r="J896" s="16" t="n">
        <f aca="false">IF(C896&lt;=0,0,H896/C896)</f>
        <v>45</v>
      </c>
    </row>
    <row r="897" customFormat="false" ht="15" hidden="false" customHeight="true" outlineLevel="0" collapsed="false">
      <c r="A897" s="5" t="n">
        <v>893</v>
      </c>
      <c r="B897" s="5" t="s">
        <v>904</v>
      </c>
      <c r="C897" s="6" t="n">
        <v>7</v>
      </c>
      <c r="D897" s="6" t="n">
        <v>6</v>
      </c>
      <c r="E897" s="7" t="n">
        <v>301.5</v>
      </c>
      <c r="F897" s="7" t="n">
        <v>-4.9</v>
      </c>
      <c r="G897" s="7" t="n">
        <v>0</v>
      </c>
      <c r="H897" s="8" t="n">
        <f aca="false">E897+F897+G897</f>
        <v>296.6</v>
      </c>
      <c r="I897" s="9" t="n">
        <f aca="false">IF($H$1182=0,0,H897/$H$1182)</f>
        <v>2.45698806306065E-005</v>
      </c>
      <c r="J897" s="10" t="n">
        <f aca="false">IF(C897&lt;=0,0,H897/C897)</f>
        <v>42.3714285714286</v>
      </c>
    </row>
    <row r="898" customFormat="false" ht="15" hidden="false" customHeight="true" outlineLevel="0" collapsed="false">
      <c r="A898" s="11" t="n">
        <v>894</v>
      </c>
      <c r="B898" s="11" t="s">
        <v>905</v>
      </c>
      <c r="C898" s="12" t="n">
        <v>7</v>
      </c>
      <c r="D898" s="12" t="n">
        <v>4</v>
      </c>
      <c r="E898" s="13" t="n">
        <v>221.88</v>
      </c>
      <c r="F898" s="13" t="n">
        <v>0</v>
      </c>
      <c r="G898" s="13" t="n">
        <v>0</v>
      </c>
      <c r="H898" s="14" t="n">
        <f aca="false">E898+F898+G898</f>
        <v>221.88</v>
      </c>
      <c r="I898" s="15" t="n">
        <f aca="false">IF($H$1182=0,0,H898/$H$1182)</f>
        <v>1.8380192563449E-005</v>
      </c>
      <c r="J898" s="16" t="n">
        <f aca="false">IF(C898&lt;=0,0,H898/C898)</f>
        <v>31.6971428571429</v>
      </c>
    </row>
    <row r="899" customFormat="false" ht="15" hidden="false" customHeight="true" outlineLevel="0" collapsed="false">
      <c r="A899" s="5" t="n">
        <v>895</v>
      </c>
      <c r="B899" s="5" t="s">
        <v>906</v>
      </c>
      <c r="C899" s="6" t="n">
        <v>7</v>
      </c>
      <c r="D899" s="6" t="n">
        <v>1</v>
      </c>
      <c r="E899" s="7" t="n">
        <v>875</v>
      </c>
      <c r="F899" s="7" t="n">
        <v>-875</v>
      </c>
      <c r="G899" s="7" t="n">
        <v>0</v>
      </c>
      <c r="H899" s="8" t="n">
        <f aca="false">E899+F899+G899</f>
        <v>0</v>
      </c>
      <c r="I899" s="9" t="n">
        <f aca="false">IF($H$1182=0,0,H899/$H$1182)</f>
        <v>0</v>
      </c>
      <c r="J899" s="10" t="n">
        <f aca="false">IF(C899&lt;=0,0,H899/C899)</f>
        <v>0</v>
      </c>
    </row>
    <row r="900" customFormat="false" ht="15" hidden="false" customHeight="true" outlineLevel="0" collapsed="false">
      <c r="A900" s="11" t="n">
        <v>896</v>
      </c>
      <c r="B900" s="11" t="s">
        <v>907</v>
      </c>
      <c r="C900" s="12" t="n">
        <v>6</v>
      </c>
      <c r="D900" s="12" t="n">
        <v>6</v>
      </c>
      <c r="E900" s="13" t="n">
        <v>20400</v>
      </c>
      <c r="F900" s="13" t="n">
        <v>-955.49</v>
      </c>
      <c r="G900" s="13" t="n">
        <v>0</v>
      </c>
      <c r="H900" s="14" t="n">
        <f aca="false">E900+F900+G900</f>
        <v>19444.51</v>
      </c>
      <c r="I900" s="15" t="n">
        <f aca="false">IF($H$1182=0,0,H900/$H$1182)</f>
        <v>0.00161075283081805</v>
      </c>
      <c r="J900" s="16" t="n">
        <f aca="false">IF(C900&lt;=0,0,H900/C900)</f>
        <v>3240.75166666667</v>
      </c>
    </row>
    <row r="901" customFormat="false" ht="15" hidden="false" customHeight="true" outlineLevel="0" collapsed="false">
      <c r="A901" s="5" t="n">
        <v>897</v>
      </c>
      <c r="B901" s="5" t="s">
        <v>908</v>
      </c>
      <c r="C901" s="6" t="n">
        <v>6</v>
      </c>
      <c r="D901" s="6" t="n">
        <v>6</v>
      </c>
      <c r="E901" s="7" t="n">
        <v>5414.95</v>
      </c>
      <c r="F901" s="7" t="n">
        <v>-103.5</v>
      </c>
      <c r="G901" s="7" t="n">
        <v>0</v>
      </c>
      <c r="H901" s="8" t="n">
        <f aca="false">E901+F901+G901</f>
        <v>5311.45</v>
      </c>
      <c r="I901" s="9" t="n">
        <f aca="false">IF($H$1182=0,0,H901/$H$1182)</f>
        <v>0.000439992220079011</v>
      </c>
      <c r="J901" s="10" t="n">
        <f aca="false">IF(C901&lt;=0,0,H901/C901)</f>
        <v>885.241666666667</v>
      </c>
    </row>
    <row r="902" customFormat="false" ht="15" hidden="false" customHeight="true" outlineLevel="0" collapsed="false">
      <c r="A902" s="11" t="n">
        <v>898</v>
      </c>
      <c r="B902" s="11" t="s">
        <v>909</v>
      </c>
      <c r="C902" s="12" t="n">
        <v>6</v>
      </c>
      <c r="D902" s="12" t="n">
        <v>7</v>
      </c>
      <c r="E902" s="13" t="n">
        <v>8499.9</v>
      </c>
      <c r="F902" s="13" t="n">
        <v>-84.99</v>
      </c>
      <c r="G902" s="13" t="n">
        <v>-3399.96</v>
      </c>
      <c r="H902" s="14" t="n">
        <f aca="false">E902+F902+G902</f>
        <v>5014.95</v>
      </c>
      <c r="I902" s="15" t="n">
        <f aca="false">IF($H$1182=0,0,H902/$H$1182)</f>
        <v>0.000415430623292178</v>
      </c>
      <c r="J902" s="16" t="n">
        <f aca="false">IF(C902&lt;=0,0,H902/C902)</f>
        <v>835.825</v>
      </c>
    </row>
    <row r="903" customFormat="false" ht="15" hidden="false" customHeight="true" outlineLevel="0" collapsed="false">
      <c r="A903" s="5" t="n">
        <v>899</v>
      </c>
      <c r="B903" s="5" t="s">
        <v>910</v>
      </c>
      <c r="C903" s="6" t="n">
        <v>6</v>
      </c>
      <c r="D903" s="6" t="n">
        <v>7</v>
      </c>
      <c r="E903" s="7" t="n">
        <v>5319.93</v>
      </c>
      <c r="F903" s="7" t="n">
        <v>0</v>
      </c>
      <c r="G903" s="7" t="n">
        <v>-774.99</v>
      </c>
      <c r="H903" s="8" t="n">
        <f aca="false">E903+F903+G903</f>
        <v>4544.94</v>
      </c>
      <c r="I903" s="9" t="n">
        <f aca="false">IF($H$1182=0,0,H903/$H$1182)</f>
        <v>0.000376495729174877</v>
      </c>
      <c r="J903" s="10" t="n">
        <f aca="false">IF(C903&lt;=0,0,H903/C903)</f>
        <v>757.49</v>
      </c>
    </row>
    <row r="904" customFormat="false" ht="15" hidden="false" customHeight="true" outlineLevel="0" collapsed="false">
      <c r="A904" s="11" t="n">
        <v>900</v>
      </c>
      <c r="B904" s="11" t="s">
        <v>911</v>
      </c>
      <c r="C904" s="12" t="n">
        <v>6</v>
      </c>
      <c r="D904" s="12" t="n">
        <v>6</v>
      </c>
      <c r="E904" s="13" t="n">
        <v>4422</v>
      </c>
      <c r="F904" s="13" t="n">
        <v>0</v>
      </c>
      <c r="G904" s="13" t="n">
        <v>0</v>
      </c>
      <c r="H904" s="14" t="n">
        <f aca="false">E904+F904+G904</f>
        <v>4422</v>
      </c>
      <c r="I904" s="15" t="n">
        <f aca="false">IF($H$1182=0,0,H904/$H$1182)</f>
        <v>0.000366311571640397</v>
      </c>
      <c r="J904" s="16" t="n">
        <f aca="false">IF(C904&lt;=0,0,H904/C904)</f>
        <v>737</v>
      </c>
    </row>
    <row r="905" customFormat="false" ht="15" hidden="false" customHeight="true" outlineLevel="0" collapsed="false">
      <c r="A905" s="5" t="n">
        <v>901</v>
      </c>
      <c r="B905" s="5" t="s">
        <v>912</v>
      </c>
      <c r="C905" s="6" t="n">
        <v>6</v>
      </c>
      <c r="D905" s="6" t="n">
        <v>5</v>
      </c>
      <c r="E905" s="7" t="n">
        <v>3249.94</v>
      </c>
      <c r="F905" s="7" t="n">
        <v>-64.99</v>
      </c>
      <c r="G905" s="7" t="n">
        <v>0</v>
      </c>
      <c r="H905" s="8" t="n">
        <f aca="false">E905+F905+G905</f>
        <v>3184.95</v>
      </c>
      <c r="I905" s="9" t="n">
        <f aca="false">IF($H$1182=0,0,H905/$H$1182)</f>
        <v>0.000263836282246966</v>
      </c>
      <c r="J905" s="10" t="n">
        <f aca="false">IF(C905&lt;=0,0,H905/C905)</f>
        <v>530.825</v>
      </c>
    </row>
    <row r="906" customFormat="false" ht="15" hidden="false" customHeight="true" outlineLevel="0" collapsed="false">
      <c r="A906" s="11" t="n">
        <v>902</v>
      </c>
      <c r="B906" s="11" t="s">
        <v>913</v>
      </c>
      <c r="C906" s="12" t="n">
        <v>6</v>
      </c>
      <c r="D906" s="12" t="n">
        <v>6</v>
      </c>
      <c r="E906" s="13" t="n">
        <v>2952</v>
      </c>
      <c r="F906" s="13" t="n">
        <v>0</v>
      </c>
      <c r="G906" s="13" t="n">
        <v>-738</v>
      </c>
      <c r="H906" s="14" t="n">
        <f aca="false">E906+F906+G906</f>
        <v>2214</v>
      </c>
      <c r="I906" s="15" t="n">
        <f aca="false">IF($H$1182=0,0,H906/$H$1182)</f>
        <v>0.000183404301133388</v>
      </c>
      <c r="J906" s="16" t="n">
        <f aca="false">IF(C906&lt;=0,0,H906/C906)</f>
        <v>369</v>
      </c>
    </row>
    <row r="907" customFormat="false" ht="15" hidden="false" customHeight="true" outlineLevel="0" collapsed="false">
      <c r="A907" s="5" t="n">
        <v>903</v>
      </c>
      <c r="B907" s="5" t="s">
        <v>914</v>
      </c>
      <c r="C907" s="6" t="n">
        <v>6</v>
      </c>
      <c r="D907" s="6" t="n">
        <v>6</v>
      </c>
      <c r="E907" s="7" t="n">
        <v>1722.95</v>
      </c>
      <c r="F907" s="7" t="n">
        <v>0</v>
      </c>
      <c r="G907" s="7" t="n">
        <v>0</v>
      </c>
      <c r="H907" s="8" t="n">
        <f aca="false">E907+F907+G907</f>
        <v>1722.95</v>
      </c>
      <c r="I907" s="9" t="n">
        <f aca="false">IF($H$1182=0,0,H907/$H$1182)</f>
        <v>0.000142726486286256</v>
      </c>
      <c r="J907" s="10" t="n">
        <f aca="false">IF(C907&lt;=0,0,H907/C907)</f>
        <v>287.158333333333</v>
      </c>
    </row>
    <row r="908" customFormat="false" ht="15" hidden="false" customHeight="true" outlineLevel="0" collapsed="false">
      <c r="A908" s="11" t="n">
        <v>904</v>
      </c>
      <c r="B908" s="11" t="s">
        <v>915</v>
      </c>
      <c r="C908" s="12" t="n">
        <v>6</v>
      </c>
      <c r="D908" s="12" t="n">
        <v>6</v>
      </c>
      <c r="E908" s="13" t="n">
        <v>1819.93</v>
      </c>
      <c r="F908" s="13" t="n">
        <v>0</v>
      </c>
      <c r="G908" s="13" t="n">
        <v>-259.99</v>
      </c>
      <c r="H908" s="14" t="n">
        <f aca="false">E908+F908+G908</f>
        <v>1559.94</v>
      </c>
      <c r="I908" s="15" t="n">
        <f aca="false">IF($H$1182=0,0,H908/$H$1182)</f>
        <v>0.00012922299255195</v>
      </c>
      <c r="J908" s="16" t="n">
        <f aca="false">IF(C908&lt;=0,0,H908/C908)</f>
        <v>259.99</v>
      </c>
    </row>
    <row r="909" customFormat="false" ht="15" hidden="false" customHeight="true" outlineLevel="0" collapsed="false">
      <c r="A909" s="5" t="n">
        <v>905</v>
      </c>
      <c r="B909" s="5" t="s">
        <v>916</v>
      </c>
      <c r="C909" s="6" t="n">
        <v>6</v>
      </c>
      <c r="D909" s="6" t="n">
        <v>7</v>
      </c>
      <c r="E909" s="7" t="n">
        <v>3229.86</v>
      </c>
      <c r="F909" s="7" t="n">
        <v>0</v>
      </c>
      <c r="G909" s="7" t="n">
        <v>-1759.92</v>
      </c>
      <c r="H909" s="8" t="n">
        <f aca="false">E909+F909+G909</f>
        <v>1469.94</v>
      </c>
      <c r="I909" s="9" t="n">
        <f aca="false">IF($H$1182=0,0,H909/$H$1182)</f>
        <v>0.000121767533156284</v>
      </c>
      <c r="J909" s="10" t="n">
        <f aca="false">IF(C909&lt;=0,0,H909/C909)</f>
        <v>244.99</v>
      </c>
    </row>
    <row r="910" customFormat="false" ht="15" hidden="false" customHeight="true" outlineLevel="0" collapsed="false">
      <c r="A910" s="11" t="n">
        <v>906</v>
      </c>
      <c r="B910" s="11" t="s">
        <v>917</v>
      </c>
      <c r="C910" s="12" t="n">
        <v>6</v>
      </c>
      <c r="D910" s="12" t="n">
        <v>7</v>
      </c>
      <c r="E910" s="13" t="n">
        <v>4099.82</v>
      </c>
      <c r="F910" s="13" t="n">
        <v>0</v>
      </c>
      <c r="G910" s="13" t="n">
        <v>-2699.88</v>
      </c>
      <c r="H910" s="14" t="n">
        <f aca="false">E910+F910+G910</f>
        <v>1399.94</v>
      </c>
      <c r="I910" s="15" t="n">
        <f aca="false">IF($H$1182=0,0,H910/$H$1182)</f>
        <v>0.00011596884251521</v>
      </c>
      <c r="J910" s="16" t="n">
        <f aca="false">IF(C910&lt;=0,0,H910/C910)</f>
        <v>233.323333333333</v>
      </c>
    </row>
    <row r="911" customFormat="false" ht="15" hidden="false" customHeight="true" outlineLevel="0" collapsed="false">
      <c r="A911" s="5" t="n">
        <v>907</v>
      </c>
      <c r="B911" s="5" t="s">
        <v>918</v>
      </c>
      <c r="C911" s="6" t="n">
        <v>6</v>
      </c>
      <c r="D911" s="6" t="n">
        <v>7</v>
      </c>
      <c r="E911" s="7" t="n">
        <v>1612.45</v>
      </c>
      <c r="F911" s="7" t="n">
        <v>0</v>
      </c>
      <c r="G911" s="7" t="n">
        <v>-237.49</v>
      </c>
      <c r="H911" s="8" t="n">
        <f aca="false">E911+F911+G911</f>
        <v>1374.96</v>
      </c>
      <c r="I911" s="9" t="n">
        <f aca="false">IF($H$1182=0,0,H911/$H$1182)</f>
        <v>0.000113899538340724</v>
      </c>
      <c r="J911" s="10" t="n">
        <f aca="false">IF(C911&lt;=0,0,H911/C911)</f>
        <v>229.16</v>
      </c>
    </row>
    <row r="912" customFormat="false" ht="15" hidden="false" customHeight="true" outlineLevel="0" collapsed="false">
      <c r="A912" s="11" t="n">
        <v>908</v>
      </c>
      <c r="B912" s="11" t="s">
        <v>919</v>
      </c>
      <c r="C912" s="12" t="n">
        <v>6</v>
      </c>
      <c r="D912" s="12" t="n">
        <v>6</v>
      </c>
      <c r="E912" s="13" t="n">
        <v>1259.94</v>
      </c>
      <c r="F912" s="13" t="n">
        <v>-20.99</v>
      </c>
      <c r="G912" s="13" t="n">
        <v>0</v>
      </c>
      <c r="H912" s="14" t="n">
        <f aca="false">E912+F912+G912</f>
        <v>1238.95</v>
      </c>
      <c r="I912" s="15" t="n">
        <f aca="false">IF($H$1182=0,0,H912/$H$1182)</f>
        <v>0.000102632682425118</v>
      </c>
      <c r="J912" s="16" t="n">
        <f aca="false">IF(C912&lt;=0,0,H912/C912)</f>
        <v>206.491666666667</v>
      </c>
    </row>
    <row r="913" customFormat="false" ht="15" hidden="false" customHeight="true" outlineLevel="0" collapsed="false">
      <c r="A913" s="5" t="n">
        <v>909</v>
      </c>
      <c r="B913" s="5" t="s">
        <v>920</v>
      </c>
      <c r="C913" s="6" t="n">
        <v>6</v>
      </c>
      <c r="D913" s="6" t="n">
        <v>7</v>
      </c>
      <c r="E913" s="7" t="n">
        <v>1519.92</v>
      </c>
      <c r="F913" s="7" t="n">
        <v>-18.99</v>
      </c>
      <c r="G913" s="7" t="n">
        <v>-379.98</v>
      </c>
      <c r="H913" s="8" t="n">
        <f aca="false">E913+F913+G913</f>
        <v>1120.95</v>
      </c>
      <c r="I913" s="9" t="n">
        <f aca="false">IF($H$1182=0,0,H913/$H$1182)</f>
        <v>9.2857746773022E-005</v>
      </c>
      <c r="J913" s="10" t="n">
        <f aca="false">IF(C913&lt;=0,0,H913/C913)</f>
        <v>186.825</v>
      </c>
    </row>
    <row r="914" customFormat="false" ht="15" hidden="false" customHeight="true" outlineLevel="0" collapsed="false">
      <c r="A914" s="11" t="n">
        <v>910</v>
      </c>
      <c r="B914" s="11" t="s">
        <v>921</v>
      </c>
      <c r="C914" s="12" t="n">
        <v>6</v>
      </c>
      <c r="D914" s="12" t="n">
        <v>5</v>
      </c>
      <c r="E914" s="13" t="n">
        <v>1139.94</v>
      </c>
      <c r="F914" s="13" t="n">
        <v>-19</v>
      </c>
      <c r="G914" s="13" t="n">
        <v>0</v>
      </c>
      <c r="H914" s="14" t="n">
        <f aca="false">E914+F914+G914</f>
        <v>1120.94</v>
      </c>
      <c r="I914" s="15" t="n">
        <f aca="false">IF($H$1182=0,0,H914/$H$1182)</f>
        <v>9.28569183886447E-005</v>
      </c>
      <c r="J914" s="16" t="n">
        <f aca="false">IF(C914&lt;=0,0,H914/C914)</f>
        <v>186.823333333333</v>
      </c>
    </row>
    <row r="915" customFormat="false" ht="15" hidden="false" customHeight="true" outlineLevel="0" collapsed="false">
      <c r="A915" s="5" t="n">
        <v>911</v>
      </c>
      <c r="B915" s="5" t="s">
        <v>922</v>
      </c>
      <c r="C915" s="6" t="n">
        <v>6</v>
      </c>
      <c r="D915" s="6" t="n">
        <v>8</v>
      </c>
      <c r="E915" s="7" t="n">
        <v>1709.91</v>
      </c>
      <c r="F915" s="7" t="n">
        <v>-28.49</v>
      </c>
      <c r="G915" s="7" t="n">
        <v>-569.97</v>
      </c>
      <c r="H915" s="8" t="n">
        <f aca="false">E915+F915+G915</f>
        <v>1111.45</v>
      </c>
      <c r="I915" s="9" t="n">
        <f aca="false">IF($H$1182=0,0,H915/$H$1182)</f>
        <v>9.20707816145906E-005</v>
      </c>
      <c r="J915" s="10" t="n">
        <f aca="false">IF(C915&lt;=0,0,H915/C915)</f>
        <v>185.241666666667</v>
      </c>
    </row>
    <row r="916" customFormat="false" ht="15" hidden="false" customHeight="true" outlineLevel="0" collapsed="false">
      <c r="A916" s="11" t="n">
        <v>912</v>
      </c>
      <c r="B916" s="11" t="s">
        <v>923</v>
      </c>
      <c r="C916" s="12" t="n">
        <v>6</v>
      </c>
      <c r="D916" s="12" t="n">
        <v>6</v>
      </c>
      <c r="E916" s="13" t="n">
        <v>1259.93</v>
      </c>
      <c r="F916" s="13" t="n">
        <v>0</v>
      </c>
      <c r="G916" s="13" t="n">
        <v>-179.99</v>
      </c>
      <c r="H916" s="14" t="n">
        <f aca="false">E916+F916+G916</f>
        <v>1079.94</v>
      </c>
      <c r="I916" s="15" t="n">
        <f aca="false">IF($H$1182=0,0,H916/$H$1182)</f>
        <v>8.94605424417302E-005</v>
      </c>
      <c r="J916" s="16" t="n">
        <f aca="false">IF(C916&lt;=0,0,H916/C916)</f>
        <v>179.99</v>
      </c>
    </row>
    <row r="917" customFormat="false" ht="15" hidden="false" customHeight="true" outlineLevel="0" collapsed="false">
      <c r="A917" s="5" t="n">
        <v>913</v>
      </c>
      <c r="B917" s="5" t="s">
        <v>924</v>
      </c>
      <c r="C917" s="6" t="n">
        <v>6</v>
      </c>
      <c r="D917" s="6" t="n">
        <v>5</v>
      </c>
      <c r="E917" s="7" t="n">
        <v>1074</v>
      </c>
      <c r="F917" s="7" t="n">
        <v>0</v>
      </c>
      <c r="G917" s="7" t="n">
        <v>0</v>
      </c>
      <c r="H917" s="8" t="n">
        <f aca="false">E917+F917+G917</f>
        <v>1074</v>
      </c>
      <c r="I917" s="9" t="n">
        <f aca="false">IF($H$1182=0,0,H917/$H$1182)</f>
        <v>8.89684821216162E-005</v>
      </c>
      <c r="J917" s="10" t="n">
        <f aca="false">IF(C917&lt;=0,0,H917/C917)</f>
        <v>179</v>
      </c>
    </row>
    <row r="918" customFormat="false" ht="15" hidden="false" customHeight="true" outlineLevel="0" collapsed="false">
      <c r="A918" s="11" t="n">
        <v>914</v>
      </c>
      <c r="B918" s="11" t="s">
        <v>925</v>
      </c>
      <c r="C918" s="12" t="n">
        <v>6</v>
      </c>
      <c r="D918" s="12" t="n">
        <v>6</v>
      </c>
      <c r="E918" s="13" t="n">
        <v>1224.93</v>
      </c>
      <c r="F918" s="13" t="n">
        <v>0</v>
      </c>
      <c r="G918" s="13" t="n">
        <v>-174.99</v>
      </c>
      <c r="H918" s="14" t="n">
        <f aca="false">E918+F918+G918</f>
        <v>1049.94</v>
      </c>
      <c r="I918" s="15" t="n">
        <f aca="false">IF($H$1182=0,0,H918/$H$1182)</f>
        <v>8.69753893098414E-005</v>
      </c>
      <c r="J918" s="16" t="n">
        <f aca="false">IF(C918&lt;=0,0,H918/C918)</f>
        <v>174.99</v>
      </c>
    </row>
    <row r="919" customFormat="false" ht="15" hidden="false" customHeight="true" outlineLevel="0" collapsed="false">
      <c r="A919" s="5" t="n">
        <v>915</v>
      </c>
      <c r="B919" s="5" t="s">
        <v>926</v>
      </c>
      <c r="C919" s="6" t="n">
        <v>6</v>
      </c>
      <c r="D919" s="6" t="n">
        <v>8</v>
      </c>
      <c r="E919" s="7" t="n">
        <v>1359.92</v>
      </c>
      <c r="F919" s="7" t="n">
        <v>0</v>
      </c>
      <c r="G919" s="7" t="n">
        <v>-339.98</v>
      </c>
      <c r="H919" s="8" t="n">
        <f aca="false">E919+F919+G919</f>
        <v>1019.94</v>
      </c>
      <c r="I919" s="9" t="n">
        <f aca="false">IF($H$1182=0,0,H919/$H$1182)</f>
        <v>8.44902361779527E-005</v>
      </c>
      <c r="J919" s="10" t="n">
        <f aca="false">IF(C919&lt;=0,0,H919/C919)</f>
        <v>169.99</v>
      </c>
    </row>
    <row r="920" customFormat="false" ht="15" hidden="false" customHeight="true" outlineLevel="0" collapsed="false">
      <c r="A920" s="11" t="n">
        <v>916</v>
      </c>
      <c r="B920" s="11" t="s">
        <v>927</v>
      </c>
      <c r="C920" s="12" t="n">
        <v>6</v>
      </c>
      <c r="D920" s="12" t="n">
        <v>5</v>
      </c>
      <c r="E920" s="13" t="n">
        <v>1190</v>
      </c>
      <c r="F920" s="13" t="n">
        <v>-8.5</v>
      </c>
      <c r="G920" s="13" t="n">
        <v>-170</v>
      </c>
      <c r="H920" s="14" t="n">
        <f aca="false">E920+F920+G920</f>
        <v>1011.5</v>
      </c>
      <c r="I920" s="15" t="n">
        <f aca="false">IF($H$1182=0,0,H920/$H$1182)</f>
        <v>8.37910797635147E-005</v>
      </c>
      <c r="J920" s="16" t="n">
        <f aca="false">IF(C920&lt;=0,0,H920/C920)</f>
        <v>168.583333333333</v>
      </c>
    </row>
    <row r="921" customFormat="false" ht="15" hidden="false" customHeight="true" outlineLevel="0" collapsed="false">
      <c r="A921" s="5" t="n">
        <v>917</v>
      </c>
      <c r="B921" s="5" t="s">
        <v>928</v>
      </c>
      <c r="C921" s="6" t="n">
        <v>6</v>
      </c>
      <c r="D921" s="6" t="n">
        <v>5</v>
      </c>
      <c r="E921" s="7" t="n">
        <v>989.94</v>
      </c>
      <c r="F921" s="7" t="n">
        <v>0</v>
      </c>
      <c r="G921" s="7" t="n">
        <v>0</v>
      </c>
      <c r="H921" s="8" t="n">
        <f aca="false">E921+F921+G921</f>
        <v>989.94</v>
      </c>
      <c r="I921" s="9" t="n">
        <f aca="false">IF($H$1182=0,0,H921/$H$1182)</f>
        <v>8.2005083046064E-005</v>
      </c>
      <c r="J921" s="10" t="n">
        <f aca="false">IF(C921&lt;=0,0,H921/C921)</f>
        <v>164.99</v>
      </c>
    </row>
    <row r="922" customFormat="false" ht="15" hidden="false" customHeight="true" outlineLevel="0" collapsed="false">
      <c r="A922" s="11" t="n">
        <v>918</v>
      </c>
      <c r="B922" s="11" t="s">
        <v>929</v>
      </c>
      <c r="C922" s="12" t="n">
        <v>6</v>
      </c>
      <c r="D922" s="12" t="n">
        <v>6</v>
      </c>
      <c r="E922" s="13" t="n">
        <v>933.94</v>
      </c>
      <c r="F922" s="13" t="n">
        <v>0</v>
      </c>
      <c r="G922" s="13" t="n">
        <v>0</v>
      </c>
      <c r="H922" s="14" t="n">
        <f aca="false">E922+F922+G922</f>
        <v>933.94</v>
      </c>
      <c r="I922" s="15" t="n">
        <f aca="false">IF($H$1182=0,0,H922/$H$1182)</f>
        <v>7.7366130533205E-005</v>
      </c>
      <c r="J922" s="16" t="n">
        <f aca="false">IF(C922&lt;=0,0,H922/C922)</f>
        <v>155.656666666667</v>
      </c>
    </row>
    <row r="923" customFormat="false" ht="15" hidden="false" customHeight="true" outlineLevel="0" collapsed="false">
      <c r="A923" s="5" t="n">
        <v>919</v>
      </c>
      <c r="B923" s="5" t="s">
        <v>930</v>
      </c>
      <c r="C923" s="6" t="n">
        <v>6</v>
      </c>
      <c r="D923" s="6" t="n">
        <v>5</v>
      </c>
      <c r="E923" s="7" t="n">
        <v>1075.93</v>
      </c>
      <c r="F923" s="7" t="n">
        <v>0</v>
      </c>
      <c r="G923" s="7" t="n">
        <v>-159.99</v>
      </c>
      <c r="H923" s="8" t="n">
        <f aca="false">E923+F923+G923</f>
        <v>915.94</v>
      </c>
      <c r="I923" s="9" t="n">
        <f aca="false">IF($H$1182=0,0,H923/$H$1182)</f>
        <v>7.58750386540718E-005</v>
      </c>
      <c r="J923" s="10" t="n">
        <f aca="false">IF(C923&lt;=0,0,H923/C923)</f>
        <v>152.656666666667</v>
      </c>
    </row>
    <row r="924" customFormat="false" ht="15" hidden="false" customHeight="true" outlineLevel="0" collapsed="false">
      <c r="A924" s="11" t="n">
        <v>920</v>
      </c>
      <c r="B924" s="11" t="s">
        <v>931</v>
      </c>
      <c r="C924" s="12" t="n">
        <v>6</v>
      </c>
      <c r="D924" s="12" t="n">
        <v>7</v>
      </c>
      <c r="E924" s="13" t="n">
        <v>1205.56</v>
      </c>
      <c r="F924" s="13" t="n">
        <v>0</v>
      </c>
      <c r="G924" s="13" t="n">
        <v>-291.86</v>
      </c>
      <c r="H924" s="14" t="n">
        <f aca="false">E924+F924+G924</f>
        <v>913.7</v>
      </c>
      <c r="I924" s="15" t="n">
        <f aca="false">IF($H$1182=0,0,H924/$H$1182)</f>
        <v>7.56894805535575E-005</v>
      </c>
      <c r="J924" s="16" t="n">
        <f aca="false">IF(C924&lt;=0,0,H924/C924)</f>
        <v>152.283333333333</v>
      </c>
    </row>
    <row r="925" customFormat="false" ht="15" hidden="false" customHeight="true" outlineLevel="0" collapsed="false">
      <c r="A925" s="5" t="n">
        <v>921</v>
      </c>
      <c r="B925" s="5" t="s">
        <v>932</v>
      </c>
      <c r="C925" s="6" t="n">
        <v>6</v>
      </c>
      <c r="D925" s="6" t="n">
        <v>4</v>
      </c>
      <c r="E925" s="7" t="n">
        <v>899.94</v>
      </c>
      <c r="F925" s="7" t="n">
        <v>-44.97</v>
      </c>
      <c r="G925" s="7" t="n">
        <v>0</v>
      </c>
      <c r="H925" s="8" t="n">
        <f aca="false">E925+F925+G925</f>
        <v>854.97</v>
      </c>
      <c r="I925" s="9" t="n">
        <f aca="false">IF($H$1182=0,0,H925/$H$1182)</f>
        <v>7.08243791056966E-005</v>
      </c>
      <c r="J925" s="10" t="n">
        <f aca="false">IF(C925&lt;=0,0,H925/C925)</f>
        <v>142.495</v>
      </c>
    </row>
    <row r="926" customFormat="false" ht="15" hidden="false" customHeight="true" outlineLevel="0" collapsed="false">
      <c r="A926" s="11" t="n">
        <v>922</v>
      </c>
      <c r="B926" s="11" t="s">
        <v>933</v>
      </c>
      <c r="C926" s="12" t="n">
        <v>6</v>
      </c>
      <c r="D926" s="12" t="n">
        <v>6</v>
      </c>
      <c r="E926" s="13" t="n">
        <v>1098.4</v>
      </c>
      <c r="F926" s="13" t="n">
        <v>0</v>
      </c>
      <c r="G926" s="13" t="n">
        <v>-274.6</v>
      </c>
      <c r="H926" s="14" t="n">
        <f aca="false">E926+F926+G926</f>
        <v>823.8</v>
      </c>
      <c r="I926" s="15" t="n">
        <f aca="false">IF($H$1182=0,0,H926/$H$1182)</f>
        <v>6.82423050016643E-005</v>
      </c>
      <c r="J926" s="16" t="n">
        <f aca="false">IF(C926&lt;=0,0,H926/C926)</f>
        <v>137.3</v>
      </c>
    </row>
    <row r="927" customFormat="false" ht="15" hidden="false" customHeight="true" outlineLevel="0" collapsed="false">
      <c r="A927" s="5" t="n">
        <v>923</v>
      </c>
      <c r="B927" s="5" t="s">
        <v>934</v>
      </c>
      <c r="C927" s="6" t="n">
        <v>6</v>
      </c>
      <c r="D927" s="6" t="n">
        <v>4</v>
      </c>
      <c r="E927" s="7" t="n">
        <v>909.93</v>
      </c>
      <c r="F927" s="7" t="n">
        <v>-38.97</v>
      </c>
      <c r="G927" s="7" t="n">
        <v>-129.99</v>
      </c>
      <c r="H927" s="8" t="n">
        <f aca="false">E927+F927+G927</f>
        <v>740.97</v>
      </c>
      <c r="I927" s="9" t="n">
        <f aca="false">IF($H$1182=0,0,H927/$H$1182)</f>
        <v>6.13807972045195E-005</v>
      </c>
      <c r="J927" s="10" t="n">
        <f aca="false">IF(C927&lt;=0,0,H927/C927)</f>
        <v>123.495</v>
      </c>
    </row>
    <row r="928" customFormat="false" ht="15" hidden="false" customHeight="true" outlineLevel="0" collapsed="false">
      <c r="A928" s="11" t="n">
        <v>924</v>
      </c>
      <c r="B928" s="11" t="s">
        <v>935</v>
      </c>
      <c r="C928" s="12" t="n">
        <v>6</v>
      </c>
      <c r="D928" s="12" t="n">
        <v>5</v>
      </c>
      <c r="E928" s="13" t="n">
        <v>739.94</v>
      </c>
      <c r="F928" s="13" t="n">
        <v>0</v>
      </c>
      <c r="G928" s="13" t="n">
        <v>0</v>
      </c>
      <c r="H928" s="14" t="n">
        <f aca="false">E928+F928+G928</f>
        <v>739.94</v>
      </c>
      <c r="I928" s="15" t="n">
        <f aca="false">IF($H$1182=0,0,H928/$H$1182)</f>
        <v>6.1295473613658E-005</v>
      </c>
      <c r="J928" s="16" t="n">
        <f aca="false">IF(C928&lt;=0,0,H928/C928)</f>
        <v>123.323333333333</v>
      </c>
    </row>
    <row r="929" customFormat="false" ht="15" hidden="false" customHeight="true" outlineLevel="0" collapsed="false">
      <c r="A929" s="5" t="n">
        <v>925</v>
      </c>
      <c r="B929" s="5" t="s">
        <v>936</v>
      </c>
      <c r="C929" s="6" t="n">
        <v>6</v>
      </c>
      <c r="D929" s="6" t="n">
        <v>6</v>
      </c>
      <c r="E929" s="7" t="n">
        <v>660</v>
      </c>
      <c r="F929" s="7" t="n">
        <v>0</v>
      </c>
      <c r="G929" s="7" t="n">
        <v>0</v>
      </c>
      <c r="H929" s="8" t="n">
        <f aca="false">E929+F929+G929</f>
        <v>660</v>
      </c>
      <c r="I929" s="9" t="n">
        <f aca="false">IF($H$1182=0,0,H929/$H$1182)</f>
        <v>5.46733689015518E-005</v>
      </c>
      <c r="J929" s="10" t="n">
        <f aca="false">IF(C929&lt;=0,0,H929/C929)</f>
        <v>110</v>
      </c>
    </row>
    <row r="930" customFormat="false" ht="15" hidden="false" customHeight="true" outlineLevel="0" collapsed="false">
      <c r="A930" s="11" t="n">
        <v>926</v>
      </c>
      <c r="B930" s="11" t="s">
        <v>937</v>
      </c>
      <c r="C930" s="12" t="n">
        <v>6</v>
      </c>
      <c r="D930" s="12" t="n">
        <v>8</v>
      </c>
      <c r="E930" s="13" t="n">
        <v>923.63</v>
      </c>
      <c r="F930" s="13" t="n">
        <v>0</v>
      </c>
      <c r="G930" s="13" t="n">
        <v>-269.97</v>
      </c>
      <c r="H930" s="14" t="n">
        <f aca="false">E930+F930+G930</f>
        <v>653.66</v>
      </c>
      <c r="I930" s="15" t="n">
        <f aca="false">IF($H$1182=0,0,H930/$H$1182)</f>
        <v>5.4148173206346E-005</v>
      </c>
      <c r="J930" s="16" t="n">
        <f aca="false">IF(C930&lt;=0,0,H930/C930)</f>
        <v>108.943333333333</v>
      </c>
    </row>
    <row r="931" customFormat="false" ht="15" hidden="false" customHeight="true" outlineLevel="0" collapsed="false">
      <c r="A931" s="5" t="n">
        <v>927</v>
      </c>
      <c r="B931" s="5" t="s">
        <v>938</v>
      </c>
      <c r="C931" s="6" t="n">
        <v>6</v>
      </c>
      <c r="D931" s="6" t="n">
        <v>5</v>
      </c>
      <c r="E931" s="7" t="n">
        <v>599.94</v>
      </c>
      <c r="F931" s="7" t="n">
        <v>0</v>
      </c>
      <c r="G931" s="7" t="n">
        <v>0</v>
      </c>
      <c r="H931" s="8" t="n">
        <f aca="false">E931+F931+G931</f>
        <v>599.94</v>
      </c>
      <c r="I931" s="9" t="n">
        <f aca="false">IF($H$1182=0,0,H931/$H$1182)</f>
        <v>4.96980923315106E-005</v>
      </c>
      <c r="J931" s="10" t="n">
        <f aca="false">IF(C931&lt;=0,0,H931/C931)</f>
        <v>99.99</v>
      </c>
    </row>
    <row r="932" customFormat="false" ht="15" hidden="false" customHeight="true" outlineLevel="0" collapsed="false">
      <c r="A932" s="11" t="n">
        <v>928</v>
      </c>
      <c r="B932" s="11" t="s">
        <v>939</v>
      </c>
      <c r="C932" s="12" t="n">
        <v>6</v>
      </c>
      <c r="D932" s="12" t="n">
        <v>6</v>
      </c>
      <c r="E932" s="13" t="n">
        <v>699.93</v>
      </c>
      <c r="F932" s="13" t="n">
        <v>0</v>
      </c>
      <c r="G932" s="13" t="n">
        <v>-99.99</v>
      </c>
      <c r="H932" s="14" t="n">
        <f aca="false">E932+F932+G932</f>
        <v>599.94</v>
      </c>
      <c r="I932" s="15" t="n">
        <f aca="false">IF($H$1182=0,0,H932/$H$1182)</f>
        <v>4.96980923315106E-005</v>
      </c>
      <c r="J932" s="16" t="n">
        <f aca="false">IF(C932&lt;=0,0,H932/C932)</f>
        <v>99.99</v>
      </c>
    </row>
    <row r="933" customFormat="false" ht="15" hidden="false" customHeight="true" outlineLevel="0" collapsed="false">
      <c r="A933" s="5" t="n">
        <v>929</v>
      </c>
      <c r="B933" s="5" t="s">
        <v>940</v>
      </c>
      <c r="C933" s="6" t="n">
        <v>6</v>
      </c>
      <c r="D933" s="6" t="n">
        <v>6</v>
      </c>
      <c r="E933" s="7" t="n">
        <v>599.94</v>
      </c>
      <c r="F933" s="7" t="n">
        <v>-10</v>
      </c>
      <c r="G933" s="7" t="n">
        <v>0</v>
      </c>
      <c r="H933" s="8" t="n">
        <f aca="false">E933+F933+G933</f>
        <v>589.94</v>
      </c>
      <c r="I933" s="9" t="n">
        <f aca="false">IF($H$1182=0,0,H933/$H$1182)</f>
        <v>4.88697079542144E-005</v>
      </c>
      <c r="J933" s="10" t="n">
        <f aca="false">IF(C933&lt;=0,0,H933/C933)</f>
        <v>98.3233333333333</v>
      </c>
    </row>
    <row r="934" customFormat="false" ht="15" hidden="false" customHeight="true" outlineLevel="0" collapsed="false">
      <c r="A934" s="11" t="n">
        <v>930</v>
      </c>
      <c r="B934" s="11" t="s">
        <v>941</v>
      </c>
      <c r="C934" s="12" t="n">
        <v>6</v>
      </c>
      <c r="D934" s="12" t="n">
        <v>6</v>
      </c>
      <c r="E934" s="13" t="n">
        <v>389.97</v>
      </c>
      <c r="F934" s="13" t="n">
        <v>0</v>
      </c>
      <c r="G934" s="13" t="n">
        <v>0</v>
      </c>
      <c r="H934" s="14" t="n">
        <f aca="false">E934+F934+G934</f>
        <v>389.97</v>
      </c>
      <c r="I934" s="15" t="n">
        <f aca="false">IF($H$1182=0,0,H934/$H$1182)</f>
        <v>3.23045055614215E-005</v>
      </c>
      <c r="J934" s="16" t="n">
        <f aca="false">IF(C934&lt;=0,0,H934/C934)</f>
        <v>64.995</v>
      </c>
    </row>
    <row r="935" customFormat="false" ht="15" hidden="false" customHeight="true" outlineLevel="0" collapsed="false">
      <c r="A935" s="5" t="n">
        <v>931</v>
      </c>
      <c r="B935" s="5" t="s">
        <v>942</v>
      </c>
      <c r="C935" s="6" t="n">
        <v>6</v>
      </c>
      <c r="D935" s="6" t="n">
        <v>6</v>
      </c>
      <c r="E935" s="7" t="n">
        <v>327.39</v>
      </c>
      <c r="F935" s="7" t="n">
        <v>-2.25</v>
      </c>
      <c r="G935" s="7" t="n">
        <v>-46.77</v>
      </c>
      <c r="H935" s="8" t="n">
        <f aca="false">E935+F935+G935</f>
        <v>278.37</v>
      </c>
      <c r="I935" s="9" t="n">
        <f aca="false">IF($H$1182=0,0,H935/$H$1182)</f>
        <v>2.30597359107954E-005</v>
      </c>
      <c r="J935" s="10" t="n">
        <f aca="false">IF(C935&lt;=0,0,H935/C935)</f>
        <v>46.395</v>
      </c>
    </row>
    <row r="936" customFormat="false" ht="15" hidden="false" customHeight="true" outlineLevel="0" collapsed="false">
      <c r="A936" s="11" t="n">
        <v>932</v>
      </c>
      <c r="B936" s="11" t="s">
        <v>943</v>
      </c>
      <c r="C936" s="12" t="n">
        <v>6</v>
      </c>
      <c r="D936" s="12" t="n">
        <v>4</v>
      </c>
      <c r="E936" s="13" t="n">
        <v>390</v>
      </c>
      <c r="F936" s="13" t="n">
        <v>0</v>
      </c>
      <c r="G936" s="13" t="n">
        <v>-156</v>
      </c>
      <c r="H936" s="14" t="n">
        <f aca="false">E936+F936+G936</f>
        <v>234</v>
      </c>
      <c r="I936" s="15" t="n">
        <f aca="false">IF($H$1182=0,0,H936/$H$1182)</f>
        <v>1.9384194428732E-005</v>
      </c>
      <c r="J936" s="16" t="n">
        <f aca="false">IF(C936&lt;=0,0,H936/C936)</f>
        <v>39</v>
      </c>
    </row>
    <row r="937" customFormat="false" ht="15" hidden="false" customHeight="true" outlineLevel="0" collapsed="false">
      <c r="A937" s="5" t="n">
        <v>933</v>
      </c>
      <c r="B937" s="5" t="s">
        <v>944</v>
      </c>
      <c r="C937" s="6" t="n">
        <v>6</v>
      </c>
      <c r="D937" s="6" t="n">
        <v>4</v>
      </c>
      <c r="E937" s="7" t="n">
        <v>464.94</v>
      </c>
      <c r="F937" s="7" t="n">
        <v>-239.97</v>
      </c>
      <c r="G937" s="7" t="n">
        <v>0</v>
      </c>
      <c r="H937" s="8" t="n">
        <f aca="false">E937+F937+G937</f>
        <v>224.97</v>
      </c>
      <c r="I937" s="9" t="n">
        <f aca="false">IF($H$1182=0,0,H937/$H$1182)</f>
        <v>1.86361633360335E-005</v>
      </c>
      <c r="J937" s="10" t="n">
        <f aca="false">IF(C937&lt;=0,0,H937/C937)</f>
        <v>37.495</v>
      </c>
    </row>
    <row r="938" customFormat="false" ht="15" hidden="false" customHeight="true" outlineLevel="0" collapsed="false">
      <c r="A938" s="11" t="n">
        <v>934</v>
      </c>
      <c r="B938" s="11" t="s">
        <v>945</v>
      </c>
      <c r="C938" s="12" t="n">
        <v>6</v>
      </c>
      <c r="D938" s="12" t="n">
        <v>4</v>
      </c>
      <c r="E938" s="13" t="n">
        <v>179.94</v>
      </c>
      <c r="F938" s="13" t="n">
        <v>-2.99</v>
      </c>
      <c r="G938" s="13" t="n">
        <v>0</v>
      </c>
      <c r="H938" s="14" t="n">
        <f aca="false">E938+F938+G938</f>
        <v>176.95</v>
      </c>
      <c r="I938" s="15" t="n">
        <f aca="false">IF($H$1182=0,0,H938/$H$1182)</f>
        <v>1.4658261556257E-005</v>
      </c>
      <c r="J938" s="16" t="n">
        <f aca="false">IF(C938&lt;=0,0,H938/C938)</f>
        <v>29.4916666666667</v>
      </c>
    </row>
    <row r="939" customFormat="false" ht="15" hidden="false" customHeight="true" outlineLevel="0" collapsed="false">
      <c r="A939" s="5" t="n">
        <v>935</v>
      </c>
      <c r="B939" s="5" t="s">
        <v>946</v>
      </c>
      <c r="C939" s="6" t="n">
        <v>6</v>
      </c>
      <c r="D939" s="6" t="n">
        <v>6</v>
      </c>
      <c r="E939" s="7" t="n">
        <v>119.94</v>
      </c>
      <c r="F939" s="7" t="n">
        <v>-1.99</v>
      </c>
      <c r="G939" s="7" t="n">
        <v>0</v>
      </c>
      <c r="H939" s="8" t="n">
        <f aca="false">E939+F939+G939</f>
        <v>117.95</v>
      </c>
      <c r="I939" s="9" t="n">
        <f aca="false">IF($H$1182=0,0,H939/$H$1182)</f>
        <v>9.77079373020915E-006</v>
      </c>
      <c r="J939" s="10" t="n">
        <f aca="false">IF(C939&lt;=0,0,H939/C939)</f>
        <v>19.6583333333333</v>
      </c>
    </row>
    <row r="940" customFormat="false" ht="15" hidden="false" customHeight="true" outlineLevel="0" collapsed="false">
      <c r="A940" s="11" t="n">
        <v>936</v>
      </c>
      <c r="B940" s="11" t="s">
        <v>947</v>
      </c>
      <c r="C940" s="12" t="n">
        <v>6</v>
      </c>
      <c r="D940" s="12" t="n">
        <v>6</v>
      </c>
      <c r="E940" s="13" t="n">
        <v>59.88</v>
      </c>
      <c r="F940" s="13" t="n">
        <v>-1.1</v>
      </c>
      <c r="G940" s="13" t="n">
        <v>0</v>
      </c>
      <c r="H940" s="14" t="n">
        <f aca="false">E940+F940+G940</f>
        <v>58.78</v>
      </c>
      <c r="I940" s="15" t="n">
        <f aca="false">IF($H$1182=0,0,H940/$H$1182)</f>
        <v>4.8692433697473E-006</v>
      </c>
      <c r="J940" s="16" t="n">
        <f aca="false">IF(C940&lt;=0,0,H940/C940)</f>
        <v>9.79666666666667</v>
      </c>
    </row>
    <row r="941" customFormat="false" ht="15" hidden="false" customHeight="true" outlineLevel="0" collapsed="false">
      <c r="A941" s="5" t="n">
        <v>937</v>
      </c>
      <c r="B941" s="5" t="s">
        <v>948</v>
      </c>
      <c r="C941" s="6" t="n">
        <v>5</v>
      </c>
      <c r="D941" s="6" t="n">
        <v>6</v>
      </c>
      <c r="E941" s="7" t="n">
        <v>22275.25</v>
      </c>
      <c r="F941" s="7" t="n">
        <v>0</v>
      </c>
      <c r="G941" s="7" t="n">
        <v>-6398</v>
      </c>
      <c r="H941" s="8" t="n">
        <f aca="false">E941+F941+G941</f>
        <v>15877.25</v>
      </c>
      <c r="I941" s="9" t="n">
        <f aca="false">IF($H$1182=0,0,H941/$H$1182)</f>
        <v>0.00131524658544267</v>
      </c>
      <c r="J941" s="10" t="n">
        <f aca="false">IF(C941&lt;=0,0,H941/C941)</f>
        <v>3175.45</v>
      </c>
    </row>
    <row r="942" customFormat="false" ht="15" hidden="false" customHeight="true" outlineLevel="0" collapsed="false">
      <c r="A942" s="11" t="n">
        <v>938</v>
      </c>
      <c r="B942" s="11" t="s">
        <v>949</v>
      </c>
      <c r="C942" s="12" t="n">
        <v>5</v>
      </c>
      <c r="D942" s="12" t="n">
        <v>8</v>
      </c>
      <c r="E942" s="13" t="n">
        <v>20046.25</v>
      </c>
      <c r="F942" s="13" t="n">
        <v>0</v>
      </c>
      <c r="G942" s="13" t="n">
        <v>-8397</v>
      </c>
      <c r="H942" s="14" t="n">
        <f aca="false">E942+F942+G942</f>
        <v>11649.25</v>
      </c>
      <c r="I942" s="15" t="n">
        <f aca="false">IF($H$1182=0,0,H942/$H$1182)</f>
        <v>0.000965005670721822</v>
      </c>
      <c r="J942" s="16" t="n">
        <f aca="false">IF(C942&lt;=0,0,H942/C942)</f>
        <v>2329.85</v>
      </c>
    </row>
    <row r="943" customFormat="false" ht="15" hidden="false" customHeight="true" outlineLevel="0" collapsed="false">
      <c r="A943" s="5" t="n">
        <v>939</v>
      </c>
      <c r="B943" s="5" t="s">
        <v>950</v>
      </c>
      <c r="C943" s="6" t="n">
        <v>5</v>
      </c>
      <c r="D943" s="6" t="n">
        <v>5</v>
      </c>
      <c r="E943" s="7" t="n">
        <v>4200</v>
      </c>
      <c r="F943" s="7" t="n">
        <v>0</v>
      </c>
      <c r="G943" s="7" t="n">
        <v>0</v>
      </c>
      <c r="H943" s="8" t="n">
        <f aca="false">E943+F943+G943</f>
        <v>4200</v>
      </c>
      <c r="I943" s="9" t="n">
        <f aca="false">IF($H$1182=0,0,H943/$H$1182)</f>
        <v>0.000347921438464421</v>
      </c>
      <c r="J943" s="10" t="n">
        <f aca="false">IF(C943&lt;=0,0,H943/C943)</f>
        <v>840</v>
      </c>
    </row>
    <row r="944" customFormat="false" ht="15" hidden="false" customHeight="true" outlineLevel="0" collapsed="false">
      <c r="A944" s="11" t="n">
        <v>940</v>
      </c>
      <c r="B944" s="11" t="s">
        <v>951</v>
      </c>
      <c r="C944" s="12" t="n">
        <v>5</v>
      </c>
      <c r="D944" s="12" t="n">
        <v>7</v>
      </c>
      <c r="E944" s="13" t="n">
        <v>4200</v>
      </c>
      <c r="F944" s="13" t="n">
        <v>0</v>
      </c>
      <c r="G944" s="13" t="n">
        <v>-1200</v>
      </c>
      <c r="H944" s="14" t="n">
        <f aca="false">E944+F944+G944</f>
        <v>3000</v>
      </c>
      <c r="I944" s="15" t="n">
        <f aca="false">IF($H$1182=0,0,H944/$H$1182)</f>
        <v>0.000248515313188872</v>
      </c>
      <c r="J944" s="16" t="n">
        <f aca="false">IF(C944&lt;=0,0,H944/C944)</f>
        <v>600</v>
      </c>
    </row>
    <row r="945" customFormat="false" ht="15" hidden="false" customHeight="true" outlineLevel="0" collapsed="false">
      <c r="A945" s="5" t="n">
        <v>941</v>
      </c>
      <c r="B945" s="5" t="s">
        <v>952</v>
      </c>
      <c r="C945" s="6" t="n">
        <v>5</v>
      </c>
      <c r="D945" s="6" t="n">
        <v>5</v>
      </c>
      <c r="E945" s="7" t="n">
        <v>3599.94</v>
      </c>
      <c r="F945" s="7" t="n">
        <v>0</v>
      </c>
      <c r="G945" s="7" t="n">
        <v>-599.99</v>
      </c>
      <c r="H945" s="8" t="n">
        <f aca="false">E945+F945+G945</f>
        <v>2999.95</v>
      </c>
      <c r="I945" s="9" t="n">
        <f aca="false">IF($H$1182=0,0,H945/$H$1182)</f>
        <v>0.000248511171266986</v>
      </c>
      <c r="J945" s="10" t="n">
        <f aca="false">IF(C945&lt;=0,0,H945/C945)</f>
        <v>599.99</v>
      </c>
    </row>
    <row r="946" customFormat="false" ht="15" hidden="false" customHeight="true" outlineLevel="0" collapsed="false">
      <c r="A946" s="11" t="n">
        <v>942</v>
      </c>
      <c r="B946" s="11" t="s">
        <v>953</v>
      </c>
      <c r="C946" s="12" t="n">
        <v>5</v>
      </c>
      <c r="D946" s="12" t="n">
        <v>5</v>
      </c>
      <c r="E946" s="13" t="n">
        <v>2900</v>
      </c>
      <c r="F946" s="13" t="n">
        <v>0</v>
      </c>
      <c r="G946" s="13" t="n">
        <v>0</v>
      </c>
      <c r="H946" s="14" t="n">
        <f aca="false">E946+F946+G946</f>
        <v>2900</v>
      </c>
      <c r="I946" s="15" t="n">
        <f aca="false">IF($H$1182=0,0,H946/$H$1182)</f>
        <v>0.00024023146941591</v>
      </c>
      <c r="J946" s="16" t="n">
        <f aca="false">IF(C946&lt;=0,0,H946/C946)</f>
        <v>580</v>
      </c>
    </row>
    <row r="947" customFormat="false" ht="15" hidden="false" customHeight="true" outlineLevel="0" collapsed="false">
      <c r="A947" s="5" t="n">
        <v>943</v>
      </c>
      <c r="B947" s="5" t="s">
        <v>954</v>
      </c>
      <c r="C947" s="6" t="n">
        <v>5</v>
      </c>
      <c r="D947" s="6" t="n">
        <v>3</v>
      </c>
      <c r="E947" s="7" t="n">
        <v>2200</v>
      </c>
      <c r="F947" s="7" t="n">
        <v>0</v>
      </c>
      <c r="G947" s="7" t="n">
        <v>0</v>
      </c>
      <c r="H947" s="8" t="n">
        <f aca="false">E947+F947+G947</f>
        <v>2200</v>
      </c>
      <c r="I947" s="9" t="n">
        <f aca="false">IF($H$1182=0,0,H947/$H$1182)</f>
        <v>0.000182244563005173</v>
      </c>
      <c r="J947" s="10" t="n">
        <f aca="false">IF(C947&lt;=0,0,H947/C947)</f>
        <v>440</v>
      </c>
    </row>
    <row r="948" customFormat="false" ht="15" hidden="false" customHeight="true" outlineLevel="0" collapsed="false">
      <c r="A948" s="11" t="n">
        <v>944</v>
      </c>
      <c r="B948" s="11" t="s">
        <v>955</v>
      </c>
      <c r="C948" s="12" t="n">
        <v>5</v>
      </c>
      <c r="D948" s="12" t="n">
        <v>7</v>
      </c>
      <c r="E948" s="13" t="n">
        <v>2799.92</v>
      </c>
      <c r="F948" s="13" t="n">
        <v>-17.5</v>
      </c>
      <c r="G948" s="13" t="n">
        <v>-1049.97</v>
      </c>
      <c r="H948" s="14" t="n">
        <f aca="false">E948+F948+G948</f>
        <v>1732.45</v>
      </c>
      <c r="I948" s="15" t="n">
        <f aca="false">IF($H$1182=0,0,H948/$H$1182)</f>
        <v>0.000143513451444687</v>
      </c>
      <c r="J948" s="16" t="n">
        <f aca="false">IF(C948&lt;=0,0,H948/C948)</f>
        <v>346.49</v>
      </c>
    </row>
    <row r="949" customFormat="false" ht="15" hidden="false" customHeight="true" outlineLevel="0" collapsed="false">
      <c r="A949" s="5" t="n">
        <v>945</v>
      </c>
      <c r="B949" s="5" t="s">
        <v>956</v>
      </c>
      <c r="C949" s="6" t="n">
        <v>5</v>
      </c>
      <c r="D949" s="6" t="n">
        <v>4</v>
      </c>
      <c r="E949" s="7" t="n">
        <v>1499.95</v>
      </c>
      <c r="F949" s="7" t="n">
        <v>-29.99</v>
      </c>
      <c r="G949" s="7" t="n">
        <v>0</v>
      </c>
      <c r="H949" s="8" t="n">
        <f aca="false">E949+F949+G949</f>
        <v>1469.96</v>
      </c>
      <c r="I949" s="9" t="n">
        <f aca="false">IF($H$1182=0,0,H949/$H$1182)</f>
        <v>0.000121769189925038</v>
      </c>
      <c r="J949" s="10" t="n">
        <f aca="false">IF(C949&lt;=0,0,H949/C949)</f>
        <v>293.992</v>
      </c>
    </row>
    <row r="950" customFormat="false" ht="15" hidden="false" customHeight="true" outlineLevel="0" collapsed="false">
      <c r="A950" s="11" t="n">
        <v>946</v>
      </c>
      <c r="B950" s="11" t="s">
        <v>957</v>
      </c>
      <c r="C950" s="12" t="n">
        <v>5</v>
      </c>
      <c r="D950" s="12" t="n">
        <v>5</v>
      </c>
      <c r="E950" s="13" t="n">
        <v>1487.96</v>
      </c>
      <c r="F950" s="13" t="n">
        <v>-28.49</v>
      </c>
      <c r="G950" s="13" t="n">
        <v>0</v>
      </c>
      <c r="H950" s="14" t="n">
        <f aca="false">E950+F950+G950</f>
        <v>1459.47</v>
      </c>
      <c r="I950" s="15" t="n">
        <f aca="false">IF($H$1182=0,0,H950/$H$1182)</f>
        <v>0.000120900214713254</v>
      </c>
      <c r="J950" s="16" t="n">
        <f aca="false">IF(C950&lt;=0,0,H950/C950)</f>
        <v>291.894</v>
      </c>
    </row>
    <row r="951" customFormat="false" ht="15" hidden="false" customHeight="true" outlineLevel="0" collapsed="false">
      <c r="A951" s="5" t="n">
        <v>947</v>
      </c>
      <c r="B951" s="5" t="s">
        <v>958</v>
      </c>
      <c r="C951" s="6" t="n">
        <v>5</v>
      </c>
      <c r="D951" s="6" t="n">
        <v>9</v>
      </c>
      <c r="E951" s="7" t="n">
        <v>2381.67</v>
      </c>
      <c r="F951" s="7" t="n">
        <v>-0.39</v>
      </c>
      <c r="G951" s="7" t="n">
        <v>-951.68</v>
      </c>
      <c r="H951" s="8" t="n">
        <f aca="false">E951+F951+G951</f>
        <v>1429.6</v>
      </c>
      <c r="I951" s="9" t="n">
        <f aca="false">IF($H$1182=0,0,H951/$H$1182)</f>
        <v>0.000118425830578271</v>
      </c>
      <c r="J951" s="10" t="n">
        <f aca="false">IF(C951&lt;=0,0,H951/C951)</f>
        <v>285.92</v>
      </c>
    </row>
    <row r="952" customFormat="false" ht="15" hidden="false" customHeight="true" outlineLevel="0" collapsed="false">
      <c r="A952" s="11" t="n">
        <v>948</v>
      </c>
      <c r="B952" s="11" t="s">
        <v>959</v>
      </c>
      <c r="C952" s="12" t="n">
        <v>5</v>
      </c>
      <c r="D952" s="12" t="n">
        <v>5</v>
      </c>
      <c r="E952" s="13" t="n">
        <v>1679.94</v>
      </c>
      <c r="F952" s="13" t="n">
        <v>0</v>
      </c>
      <c r="G952" s="13" t="n">
        <v>-279.99</v>
      </c>
      <c r="H952" s="14" t="n">
        <f aca="false">E952+F952+G952</f>
        <v>1399.95</v>
      </c>
      <c r="I952" s="15" t="n">
        <f aca="false">IF($H$1182=0,0,H952/$H$1182)</f>
        <v>0.000115969670899587</v>
      </c>
      <c r="J952" s="16" t="n">
        <f aca="false">IF(C952&lt;=0,0,H952/C952)</f>
        <v>279.99</v>
      </c>
    </row>
    <row r="953" customFormat="false" ht="15" hidden="false" customHeight="true" outlineLevel="0" collapsed="false">
      <c r="A953" s="5" t="n">
        <v>949</v>
      </c>
      <c r="B953" s="5" t="s">
        <v>960</v>
      </c>
      <c r="C953" s="6" t="n">
        <v>5</v>
      </c>
      <c r="D953" s="6" t="n">
        <v>5</v>
      </c>
      <c r="E953" s="7" t="n">
        <v>1299.95</v>
      </c>
      <c r="F953" s="7" t="n">
        <v>-7.72</v>
      </c>
      <c r="G953" s="7" t="n">
        <v>0</v>
      </c>
      <c r="H953" s="8" t="n">
        <f aca="false">E953+F953+G953</f>
        <v>1292.23</v>
      </c>
      <c r="I953" s="9" t="n">
        <f aca="false">IF($H$1182=0,0,H953/$H$1182)</f>
        <v>0.000107046314387352</v>
      </c>
      <c r="J953" s="10" t="n">
        <f aca="false">IF(C953&lt;=0,0,H953/C953)</f>
        <v>258.446</v>
      </c>
    </row>
    <row r="954" customFormat="false" ht="15" hidden="false" customHeight="true" outlineLevel="0" collapsed="false">
      <c r="A954" s="11" t="n">
        <v>950</v>
      </c>
      <c r="B954" s="11" t="s">
        <v>961</v>
      </c>
      <c r="C954" s="12" t="n">
        <v>5</v>
      </c>
      <c r="D954" s="12" t="n">
        <v>6</v>
      </c>
      <c r="E954" s="13" t="n">
        <v>1749.93</v>
      </c>
      <c r="F954" s="13" t="n">
        <v>0</v>
      </c>
      <c r="G954" s="13" t="n">
        <v>-499.98</v>
      </c>
      <c r="H954" s="14" t="n">
        <f aca="false">E954+F954+G954</f>
        <v>1249.95</v>
      </c>
      <c r="I954" s="15" t="n">
        <f aca="false">IF($H$1182=0,0,H954/$H$1182)</f>
        <v>0.000103543905240144</v>
      </c>
      <c r="J954" s="16" t="n">
        <f aca="false">IF(C954&lt;=0,0,H954/C954)</f>
        <v>249.99</v>
      </c>
    </row>
    <row r="955" customFormat="false" ht="15" hidden="false" customHeight="true" outlineLevel="0" collapsed="false">
      <c r="A955" s="5" t="n">
        <v>951</v>
      </c>
      <c r="B955" s="5" t="s">
        <v>962</v>
      </c>
      <c r="C955" s="6" t="n">
        <v>5</v>
      </c>
      <c r="D955" s="6" t="n">
        <v>6</v>
      </c>
      <c r="E955" s="7" t="n">
        <v>1559.94</v>
      </c>
      <c r="F955" s="7" t="n">
        <v>-53.07</v>
      </c>
      <c r="G955" s="7" t="n">
        <v>-259.99</v>
      </c>
      <c r="H955" s="8" t="n">
        <f aca="false">E955+F955+G955</f>
        <v>1246.88</v>
      </c>
      <c r="I955" s="9" t="n">
        <f aca="false">IF($H$1182=0,0,H955/$H$1182)</f>
        <v>0.000103289591236314</v>
      </c>
      <c r="J955" s="10" t="n">
        <f aca="false">IF(C955&lt;=0,0,H955/C955)</f>
        <v>249.376</v>
      </c>
    </row>
    <row r="956" customFormat="false" ht="15" hidden="false" customHeight="true" outlineLevel="0" collapsed="false">
      <c r="A956" s="11" t="n">
        <v>952</v>
      </c>
      <c r="B956" s="11" t="s">
        <v>963</v>
      </c>
      <c r="C956" s="12" t="n">
        <v>5</v>
      </c>
      <c r="D956" s="12" t="n">
        <v>3</v>
      </c>
      <c r="E956" s="13" t="n">
        <v>1129.96</v>
      </c>
      <c r="F956" s="13" t="n">
        <v>0</v>
      </c>
      <c r="G956" s="13" t="n">
        <v>0</v>
      </c>
      <c r="H956" s="14" t="n">
        <f aca="false">E956+F956+G956</f>
        <v>1129.96</v>
      </c>
      <c r="I956" s="15" t="n">
        <f aca="false">IF($H$1182=0,0,H956/$H$1182)</f>
        <v>9.36041210969659E-005</v>
      </c>
      <c r="J956" s="16" t="n">
        <f aca="false">IF(C956&lt;=0,0,H956/C956)</f>
        <v>225.992</v>
      </c>
    </row>
    <row r="957" customFormat="false" ht="15" hidden="false" customHeight="true" outlineLevel="0" collapsed="false">
      <c r="A957" s="5" t="n">
        <v>953</v>
      </c>
      <c r="B957" s="5" t="s">
        <v>964</v>
      </c>
      <c r="C957" s="6" t="n">
        <v>5</v>
      </c>
      <c r="D957" s="6" t="n">
        <v>7</v>
      </c>
      <c r="E957" s="7" t="n">
        <v>1575</v>
      </c>
      <c r="F957" s="7" t="n">
        <v>0</v>
      </c>
      <c r="G957" s="7" t="n">
        <v>-450</v>
      </c>
      <c r="H957" s="8" t="n">
        <f aca="false">E957+F957+G957</f>
        <v>1125</v>
      </c>
      <c r="I957" s="9" t="n">
        <f aca="false">IF($H$1182=0,0,H957/$H$1182)</f>
        <v>9.3193242445827E-005</v>
      </c>
      <c r="J957" s="10" t="n">
        <f aca="false">IF(C957&lt;=0,0,H957/C957)</f>
        <v>225</v>
      </c>
    </row>
    <row r="958" customFormat="false" ht="15" hidden="false" customHeight="true" outlineLevel="0" collapsed="false">
      <c r="A958" s="11" t="n">
        <v>954</v>
      </c>
      <c r="B958" s="11" t="s">
        <v>965</v>
      </c>
      <c r="C958" s="12" t="n">
        <v>5</v>
      </c>
      <c r="D958" s="12" t="n">
        <v>3</v>
      </c>
      <c r="E958" s="13" t="n">
        <v>995</v>
      </c>
      <c r="F958" s="13" t="n">
        <v>0</v>
      </c>
      <c r="G958" s="13" t="n">
        <v>0</v>
      </c>
      <c r="H958" s="14" t="n">
        <f aca="false">E958+F958+G958</f>
        <v>995</v>
      </c>
      <c r="I958" s="15" t="n">
        <f aca="false">IF($H$1182=0,0,H958/$H$1182)</f>
        <v>8.24242455409759E-005</v>
      </c>
      <c r="J958" s="16" t="n">
        <f aca="false">IF(C958&lt;=0,0,H958/C958)</f>
        <v>199</v>
      </c>
    </row>
    <row r="959" customFormat="false" ht="15" hidden="false" customHeight="true" outlineLevel="0" collapsed="false">
      <c r="A959" s="5" t="n">
        <v>955</v>
      </c>
      <c r="B959" s="5" t="s">
        <v>966</v>
      </c>
      <c r="C959" s="6" t="n">
        <v>5</v>
      </c>
      <c r="D959" s="6" t="n">
        <v>5</v>
      </c>
      <c r="E959" s="7" t="n">
        <v>1519.92</v>
      </c>
      <c r="F959" s="7" t="n">
        <v>0</v>
      </c>
      <c r="G959" s="7" t="n">
        <v>-569.97</v>
      </c>
      <c r="H959" s="8" t="n">
        <f aca="false">E959+F959+G959</f>
        <v>949.95</v>
      </c>
      <c r="I959" s="9" t="n">
        <f aca="false">IF($H$1182=0,0,H959/$H$1182)</f>
        <v>7.86923739212563E-005</v>
      </c>
      <c r="J959" s="10" t="n">
        <f aca="false">IF(C959&lt;=0,0,H959/C959)</f>
        <v>189.99</v>
      </c>
    </row>
    <row r="960" customFormat="false" ht="15" hidden="false" customHeight="true" outlineLevel="0" collapsed="false">
      <c r="A960" s="11" t="n">
        <v>956</v>
      </c>
      <c r="B960" s="11" t="s">
        <v>967</v>
      </c>
      <c r="C960" s="12" t="n">
        <v>5</v>
      </c>
      <c r="D960" s="12" t="n">
        <v>3</v>
      </c>
      <c r="E960" s="13" t="n">
        <v>824.95</v>
      </c>
      <c r="F960" s="13" t="n">
        <v>0</v>
      </c>
      <c r="G960" s="13" t="n">
        <v>0</v>
      </c>
      <c r="H960" s="14" t="n">
        <f aca="false">E960+F960+G960</f>
        <v>824.95</v>
      </c>
      <c r="I960" s="15" t="n">
        <f aca="false">IF($H$1182=0,0,H960/$H$1182)</f>
        <v>6.83375692050533E-005</v>
      </c>
      <c r="J960" s="16" t="n">
        <f aca="false">IF(C960&lt;=0,0,H960/C960)</f>
        <v>164.99</v>
      </c>
    </row>
    <row r="961" customFormat="false" ht="15" hidden="false" customHeight="true" outlineLevel="0" collapsed="false">
      <c r="A961" s="5" t="n">
        <v>957</v>
      </c>
      <c r="B961" s="5" t="s">
        <v>968</v>
      </c>
      <c r="C961" s="6" t="n">
        <v>5</v>
      </c>
      <c r="D961" s="6" t="n">
        <v>5</v>
      </c>
      <c r="E961" s="7" t="n">
        <v>799.95</v>
      </c>
      <c r="F961" s="7" t="n">
        <v>0</v>
      </c>
      <c r="G961" s="7" t="n">
        <v>0</v>
      </c>
      <c r="H961" s="8" t="n">
        <f aca="false">E961+F961+G961</f>
        <v>799.95</v>
      </c>
      <c r="I961" s="9" t="n">
        <f aca="false">IF($H$1182=0,0,H961/$H$1182)</f>
        <v>6.62666082618127E-005</v>
      </c>
      <c r="J961" s="10" t="n">
        <f aca="false">IF(C961&lt;=0,0,H961/C961)</f>
        <v>159.99</v>
      </c>
    </row>
    <row r="962" customFormat="false" ht="15" hidden="false" customHeight="true" outlineLevel="0" collapsed="false">
      <c r="A962" s="11" t="n">
        <v>958</v>
      </c>
      <c r="B962" s="11" t="s">
        <v>969</v>
      </c>
      <c r="C962" s="12" t="n">
        <v>5</v>
      </c>
      <c r="D962" s="12" t="n">
        <v>6</v>
      </c>
      <c r="E962" s="13" t="n">
        <v>917.08</v>
      </c>
      <c r="F962" s="13" t="n">
        <v>0</v>
      </c>
      <c r="G962" s="13" t="n">
        <v>-118.56</v>
      </c>
      <c r="H962" s="14" t="n">
        <f aca="false">E962+F962+G962</f>
        <v>798.52</v>
      </c>
      <c r="I962" s="15" t="n">
        <f aca="false">IF($H$1182=0,0,H962/$H$1182)</f>
        <v>6.61481492958594E-005</v>
      </c>
      <c r="J962" s="16" t="n">
        <f aca="false">IF(C962&lt;=0,0,H962/C962)</f>
        <v>159.704</v>
      </c>
    </row>
    <row r="963" customFormat="false" ht="15" hidden="false" customHeight="true" outlineLevel="0" collapsed="false">
      <c r="A963" s="5" t="n">
        <v>959</v>
      </c>
      <c r="B963" s="5" t="s">
        <v>970</v>
      </c>
      <c r="C963" s="6" t="n">
        <v>5</v>
      </c>
      <c r="D963" s="6" t="n">
        <v>4</v>
      </c>
      <c r="E963" s="7" t="n">
        <v>784.96</v>
      </c>
      <c r="F963" s="7" t="n">
        <v>0</v>
      </c>
      <c r="G963" s="7" t="n">
        <v>0</v>
      </c>
      <c r="H963" s="8" t="n">
        <f aca="false">E963+F963+G963</f>
        <v>784.96</v>
      </c>
      <c r="I963" s="9" t="n">
        <f aca="false">IF($H$1182=0,0,H963/$H$1182)</f>
        <v>6.50248600802457E-005</v>
      </c>
      <c r="J963" s="10" t="n">
        <f aca="false">IF(C963&lt;=0,0,H963/C963)</f>
        <v>156.992</v>
      </c>
    </row>
    <row r="964" customFormat="false" ht="15" hidden="false" customHeight="true" outlineLevel="0" collapsed="false">
      <c r="A964" s="11" t="n">
        <v>960</v>
      </c>
      <c r="B964" s="11" t="s">
        <v>971</v>
      </c>
      <c r="C964" s="12" t="n">
        <v>5</v>
      </c>
      <c r="D964" s="12" t="n">
        <v>5</v>
      </c>
      <c r="E964" s="13" t="n">
        <v>749.95</v>
      </c>
      <c r="F964" s="13" t="n">
        <v>0</v>
      </c>
      <c r="G964" s="13" t="n">
        <v>0</v>
      </c>
      <c r="H964" s="14" t="n">
        <f aca="false">E964+F964+G964</f>
        <v>749.95</v>
      </c>
      <c r="I964" s="15" t="n">
        <f aca="false">IF($H$1182=0,0,H964/$H$1182)</f>
        <v>6.21246863753315E-005</v>
      </c>
      <c r="J964" s="16" t="n">
        <f aca="false">IF(C964&lt;=0,0,H964/C964)</f>
        <v>149.99</v>
      </c>
    </row>
    <row r="965" customFormat="false" ht="15" hidden="false" customHeight="true" outlineLevel="0" collapsed="false">
      <c r="A965" s="5" t="n">
        <v>961</v>
      </c>
      <c r="B965" s="5" t="s">
        <v>972</v>
      </c>
      <c r="C965" s="6" t="n">
        <v>5</v>
      </c>
      <c r="D965" s="6" t="n">
        <v>3</v>
      </c>
      <c r="E965" s="7" t="n">
        <v>749.95</v>
      </c>
      <c r="F965" s="7" t="n">
        <v>0</v>
      </c>
      <c r="G965" s="7" t="n">
        <v>0</v>
      </c>
      <c r="H965" s="8" t="n">
        <f aca="false">E965+F965+G965</f>
        <v>749.95</v>
      </c>
      <c r="I965" s="9" t="n">
        <f aca="false">IF($H$1182=0,0,H965/$H$1182)</f>
        <v>6.21246863753315E-005</v>
      </c>
      <c r="J965" s="10" t="n">
        <f aca="false">IF(C965&lt;=0,0,H965/C965)</f>
        <v>149.99</v>
      </c>
    </row>
    <row r="966" customFormat="false" ht="15" hidden="false" customHeight="true" outlineLevel="0" collapsed="false">
      <c r="A966" s="11" t="n">
        <v>962</v>
      </c>
      <c r="B966" s="11" t="s">
        <v>973</v>
      </c>
      <c r="C966" s="12" t="n">
        <v>5</v>
      </c>
      <c r="D966" s="12" t="n">
        <v>3</v>
      </c>
      <c r="E966" s="13" t="n">
        <v>714.19</v>
      </c>
      <c r="F966" s="13" t="n">
        <v>0</v>
      </c>
      <c r="G966" s="13" t="n">
        <v>0</v>
      </c>
      <c r="H966" s="14" t="n">
        <f aca="false">E966+F966+G966</f>
        <v>714.19</v>
      </c>
      <c r="I966" s="15" t="n">
        <f aca="false">IF($H$1182=0,0,H966/$H$1182)</f>
        <v>5.91623838421202E-005</v>
      </c>
      <c r="J966" s="16" t="n">
        <f aca="false">IF(C966&lt;=0,0,H966/C966)</f>
        <v>142.838</v>
      </c>
    </row>
    <row r="967" customFormat="false" ht="15" hidden="false" customHeight="true" outlineLevel="0" collapsed="false">
      <c r="A967" s="5" t="n">
        <v>963</v>
      </c>
      <c r="B967" s="5" t="s">
        <v>974</v>
      </c>
      <c r="C967" s="6" t="n">
        <v>5</v>
      </c>
      <c r="D967" s="6" t="n">
        <v>6</v>
      </c>
      <c r="E967" s="7" t="n">
        <v>823.8</v>
      </c>
      <c r="F967" s="7" t="n">
        <v>0</v>
      </c>
      <c r="G967" s="7" t="n">
        <v>-137.3</v>
      </c>
      <c r="H967" s="8" t="n">
        <f aca="false">E967+F967+G967</f>
        <v>686.5</v>
      </c>
      <c r="I967" s="9" t="n">
        <f aca="false">IF($H$1182=0,0,H967/$H$1182)</f>
        <v>5.68685875013869E-005</v>
      </c>
      <c r="J967" s="10" t="n">
        <f aca="false">IF(C967&lt;=0,0,H967/C967)</f>
        <v>137.3</v>
      </c>
    </row>
    <row r="968" customFormat="false" ht="15" hidden="false" customHeight="true" outlineLevel="0" collapsed="false">
      <c r="A968" s="11" t="n">
        <v>964</v>
      </c>
      <c r="B968" s="11" t="s">
        <v>975</v>
      </c>
      <c r="C968" s="12" t="n">
        <v>5</v>
      </c>
      <c r="D968" s="12" t="n">
        <v>2</v>
      </c>
      <c r="E968" s="13" t="n">
        <v>665</v>
      </c>
      <c r="F968" s="13" t="n">
        <v>0</v>
      </c>
      <c r="G968" s="13" t="n">
        <v>0</v>
      </c>
      <c r="H968" s="14" t="n">
        <f aca="false">E968+F968+G968</f>
        <v>665</v>
      </c>
      <c r="I968" s="15" t="n">
        <f aca="false">IF($H$1182=0,0,H968/$H$1182)</f>
        <v>5.50875610902E-005</v>
      </c>
      <c r="J968" s="16" t="n">
        <f aca="false">IF(C968&lt;=0,0,H968/C968)</f>
        <v>133</v>
      </c>
    </row>
    <row r="969" customFormat="false" ht="15" hidden="false" customHeight="true" outlineLevel="0" collapsed="false">
      <c r="A969" s="5" t="n">
        <v>965</v>
      </c>
      <c r="B969" s="5" t="s">
        <v>976</v>
      </c>
      <c r="C969" s="6" t="n">
        <v>5</v>
      </c>
      <c r="D969" s="6" t="n">
        <v>4</v>
      </c>
      <c r="E969" s="7" t="n">
        <v>642.96</v>
      </c>
      <c r="F969" s="7" t="n">
        <v>0</v>
      </c>
      <c r="G969" s="7" t="n">
        <v>0</v>
      </c>
      <c r="H969" s="8" t="n">
        <f aca="false">E969+F969+G969</f>
        <v>642.96</v>
      </c>
      <c r="I969" s="9" t="n">
        <f aca="false">IF($H$1182=0,0,H969/$H$1182)</f>
        <v>5.32618019226391E-005</v>
      </c>
      <c r="J969" s="10" t="n">
        <f aca="false">IF(C969&lt;=0,0,H969/C969)</f>
        <v>128.592</v>
      </c>
    </row>
    <row r="970" customFormat="false" ht="15" hidden="false" customHeight="true" outlineLevel="0" collapsed="false">
      <c r="A970" s="11" t="n">
        <v>966</v>
      </c>
      <c r="B970" s="11" t="s">
        <v>977</v>
      </c>
      <c r="C970" s="12" t="n">
        <v>5</v>
      </c>
      <c r="D970" s="12" t="n">
        <v>5</v>
      </c>
      <c r="E970" s="13" t="n">
        <v>550</v>
      </c>
      <c r="F970" s="13" t="n">
        <v>0</v>
      </c>
      <c r="G970" s="13" t="n">
        <v>0</v>
      </c>
      <c r="H970" s="14" t="n">
        <f aca="false">E970+F970+G970</f>
        <v>550</v>
      </c>
      <c r="I970" s="15" t="n">
        <f aca="false">IF($H$1182=0,0,H970/$H$1182)</f>
        <v>4.55611407512932E-005</v>
      </c>
      <c r="J970" s="16" t="n">
        <f aca="false">IF(C970&lt;=0,0,H970/C970)</f>
        <v>110</v>
      </c>
    </row>
    <row r="971" customFormat="false" ht="15" hidden="false" customHeight="true" outlineLevel="0" collapsed="false">
      <c r="A971" s="5" t="n">
        <v>967</v>
      </c>
      <c r="B971" s="5" t="s">
        <v>978</v>
      </c>
      <c r="C971" s="6" t="n">
        <v>5</v>
      </c>
      <c r="D971" s="6" t="n">
        <v>6</v>
      </c>
      <c r="E971" s="7" t="n">
        <v>464.94</v>
      </c>
      <c r="F971" s="7" t="n">
        <v>-94.97</v>
      </c>
      <c r="G971" s="7" t="n">
        <v>-79.99</v>
      </c>
      <c r="H971" s="8" t="n">
        <f aca="false">E971+F971+G971</f>
        <v>289.98</v>
      </c>
      <c r="I971" s="9" t="n">
        <f aca="false">IF($H$1182=0,0,H971/$H$1182)</f>
        <v>2.40214901728364E-005</v>
      </c>
      <c r="J971" s="10" t="n">
        <f aca="false">IF(C971&lt;=0,0,H971/C971)</f>
        <v>57.996</v>
      </c>
    </row>
    <row r="972" customFormat="false" ht="15" hidden="false" customHeight="true" outlineLevel="0" collapsed="false">
      <c r="A972" s="11" t="n">
        <v>968</v>
      </c>
      <c r="B972" s="11" t="s">
        <v>979</v>
      </c>
      <c r="C972" s="12" t="n">
        <v>5</v>
      </c>
      <c r="D972" s="12" t="n">
        <v>3</v>
      </c>
      <c r="E972" s="13" t="n">
        <v>119.94</v>
      </c>
      <c r="F972" s="13" t="n">
        <v>0</v>
      </c>
      <c r="G972" s="13" t="n">
        <v>-19.99</v>
      </c>
      <c r="H972" s="14" t="n">
        <f aca="false">E972+F972+G972</f>
        <v>99.95</v>
      </c>
      <c r="I972" s="15" t="n">
        <f aca="false">IF($H$1182=0,0,H972/$H$1182)</f>
        <v>8.27970185107592E-006</v>
      </c>
      <c r="J972" s="16" t="n">
        <f aca="false">IF(C972&lt;=0,0,H972/C972)</f>
        <v>19.99</v>
      </c>
    </row>
    <row r="973" customFormat="false" ht="15" hidden="false" customHeight="true" outlineLevel="0" collapsed="false">
      <c r="A973" s="5" t="n">
        <v>969</v>
      </c>
      <c r="B973" s="5" t="s">
        <v>980</v>
      </c>
      <c r="C973" s="6" t="n">
        <v>5</v>
      </c>
      <c r="D973" s="6" t="n">
        <v>4</v>
      </c>
      <c r="E973" s="7" t="n">
        <v>62.96</v>
      </c>
      <c r="F973" s="7" t="n">
        <v>-0.99</v>
      </c>
      <c r="G973" s="7" t="n">
        <v>0</v>
      </c>
      <c r="H973" s="8" t="n">
        <f aca="false">E973+F973+G973</f>
        <v>61.97</v>
      </c>
      <c r="I973" s="9" t="n">
        <f aca="false">IF($H$1182=0,0,H973/$H$1182)</f>
        <v>5.1334979861048E-006</v>
      </c>
      <c r="J973" s="10" t="n">
        <f aca="false">IF(C973&lt;=0,0,H973/C973)</f>
        <v>12.394</v>
      </c>
    </row>
    <row r="974" customFormat="false" ht="15" hidden="false" customHeight="true" outlineLevel="0" collapsed="false">
      <c r="A974" s="11" t="n">
        <v>970</v>
      </c>
      <c r="B974" s="11" t="s">
        <v>981</v>
      </c>
      <c r="C974" s="12" t="n">
        <v>4</v>
      </c>
      <c r="D974" s="12" t="n">
        <v>6</v>
      </c>
      <c r="E974" s="13" t="n">
        <v>23400</v>
      </c>
      <c r="F974" s="13" t="n">
        <v>-390</v>
      </c>
      <c r="G974" s="13" t="n">
        <v>-7800</v>
      </c>
      <c r="H974" s="14" t="n">
        <f aca="false">E974+F974+G974</f>
        <v>15210</v>
      </c>
      <c r="I974" s="15" t="n">
        <f aca="false">IF($H$1182=0,0,H974/$H$1182)</f>
        <v>0.00125997263786758</v>
      </c>
      <c r="J974" s="16" t="n">
        <f aca="false">IF(C974&lt;=0,0,H974/C974)</f>
        <v>3802.5</v>
      </c>
    </row>
    <row r="975" customFormat="false" ht="15" hidden="false" customHeight="true" outlineLevel="0" collapsed="false">
      <c r="A975" s="5" t="n">
        <v>971</v>
      </c>
      <c r="B975" s="5" t="s">
        <v>982</v>
      </c>
      <c r="C975" s="6" t="n">
        <v>4</v>
      </c>
      <c r="D975" s="6" t="n">
        <v>5</v>
      </c>
      <c r="E975" s="7" t="n">
        <v>17000</v>
      </c>
      <c r="F975" s="7" t="n">
        <v>-615.49</v>
      </c>
      <c r="G975" s="7" t="n">
        <v>-3400</v>
      </c>
      <c r="H975" s="8" t="n">
        <f aca="false">E975+F975+G975</f>
        <v>12984.51</v>
      </c>
      <c r="I975" s="9" t="n">
        <f aca="false">IF($H$1182=0,0,H975/$H$1182)</f>
        <v>0.00107561652308468</v>
      </c>
      <c r="J975" s="10" t="n">
        <f aca="false">IF(C975&lt;=0,0,H975/C975)</f>
        <v>3246.1275</v>
      </c>
    </row>
    <row r="976" customFormat="false" ht="15" hidden="false" customHeight="true" outlineLevel="0" collapsed="false">
      <c r="A976" s="11" t="n">
        <v>972</v>
      </c>
      <c r="B976" s="11" t="s">
        <v>983</v>
      </c>
      <c r="C976" s="12" t="n">
        <v>4</v>
      </c>
      <c r="D976" s="12" t="n">
        <v>5</v>
      </c>
      <c r="E976" s="13" t="n">
        <v>7700</v>
      </c>
      <c r="F976" s="13" t="n">
        <v>0</v>
      </c>
      <c r="G976" s="13" t="n">
        <v>-3300</v>
      </c>
      <c r="H976" s="14" t="n">
        <f aca="false">E976+F976+G976</f>
        <v>4400</v>
      </c>
      <c r="I976" s="15" t="n">
        <f aca="false">IF($H$1182=0,0,H976/$H$1182)</f>
        <v>0.000364489126010346</v>
      </c>
      <c r="J976" s="16" t="n">
        <f aca="false">IF(C976&lt;=0,0,H976/C976)</f>
        <v>1100</v>
      </c>
    </row>
    <row r="977" customFormat="false" ht="15" hidden="false" customHeight="true" outlineLevel="0" collapsed="false">
      <c r="A977" s="5" t="n">
        <v>973</v>
      </c>
      <c r="B977" s="5" t="s">
        <v>984</v>
      </c>
      <c r="C977" s="6" t="n">
        <v>4</v>
      </c>
      <c r="D977" s="6" t="n">
        <v>4</v>
      </c>
      <c r="E977" s="7" t="n">
        <v>4099.98</v>
      </c>
      <c r="F977" s="7" t="n">
        <v>0</v>
      </c>
      <c r="G977" s="7" t="n">
        <v>-800</v>
      </c>
      <c r="H977" s="8" t="n">
        <f aca="false">E977+F977+G977</f>
        <v>3299.98</v>
      </c>
      <c r="I977" s="9" t="n">
        <f aca="false">IF($H$1182=0,0,H977/$H$1182)</f>
        <v>0.000273365187739005</v>
      </c>
      <c r="J977" s="10" t="n">
        <f aca="false">IF(C977&lt;=0,0,H977/C977)</f>
        <v>824.995</v>
      </c>
    </row>
    <row r="978" customFormat="false" ht="15" hidden="false" customHeight="true" outlineLevel="0" collapsed="false">
      <c r="A978" s="11" t="n">
        <v>974</v>
      </c>
      <c r="B978" s="11" t="s">
        <v>985</v>
      </c>
      <c r="C978" s="12" t="n">
        <v>4</v>
      </c>
      <c r="D978" s="12" t="n">
        <v>5</v>
      </c>
      <c r="E978" s="13" t="n">
        <v>3749.95</v>
      </c>
      <c r="F978" s="13" t="n">
        <v>0</v>
      </c>
      <c r="G978" s="13" t="n">
        <v>-749.99</v>
      </c>
      <c r="H978" s="14" t="n">
        <f aca="false">E978+F978+G978</f>
        <v>2999.96</v>
      </c>
      <c r="I978" s="15" t="n">
        <f aca="false">IF($H$1182=0,0,H978/$H$1182)</f>
        <v>0.000248511999651363</v>
      </c>
      <c r="J978" s="16" t="n">
        <f aca="false">IF(C978&lt;=0,0,H978/C978)</f>
        <v>749.99</v>
      </c>
    </row>
    <row r="979" customFormat="false" ht="15" hidden="false" customHeight="true" outlineLevel="0" collapsed="false">
      <c r="A979" s="5" t="n">
        <v>975</v>
      </c>
      <c r="B979" s="5" t="s">
        <v>986</v>
      </c>
      <c r="C979" s="6" t="n">
        <v>4</v>
      </c>
      <c r="D979" s="6" t="n">
        <v>1</v>
      </c>
      <c r="E979" s="7" t="n">
        <v>2599.96</v>
      </c>
      <c r="F979" s="7" t="n">
        <v>0</v>
      </c>
      <c r="G979" s="7" t="n">
        <v>0</v>
      </c>
      <c r="H979" s="8" t="n">
        <f aca="false">E979+F979+G979</f>
        <v>2599.96</v>
      </c>
      <c r="I979" s="9" t="n">
        <f aca="false">IF($H$1182=0,0,H979/$H$1182)</f>
        <v>0.000215376624559513</v>
      </c>
      <c r="J979" s="10" t="n">
        <f aca="false">IF(C979&lt;=0,0,H979/C979)</f>
        <v>649.99</v>
      </c>
    </row>
    <row r="980" customFormat="false" ht="15" hidden="false" customHeight="true" outlineLevel="0" collapsed="false">
      <c r="A980" s="11" t="n">
        <v>976</v>
      </c>
      <c r="B980" s="11" t="s">
        <v>987</v>
      </c>
      <c r="C980" s="12" t="n">
        <v>4</v>
      </c>
      <c r="D980" s="12" t="n">
        <v>5</v>
      </c>
      <c r="E980" s="13" t="n">
        <v>2999.94</v>
      </c>
      <c r="F980" s="13" t="n">
        <v>0</v>
      </c>
      <c r="G980" s="13" t="n">
        <v>-999.98</v>
      </c>
      <c r="H980" s="14" t="n">
        <f aca="false">E980+F980+G980</f>
        <v>1999.96</v>
      </c>
      <c r="I980" s="15" t="n">
        <f aca="false">IF($H$1182=0,0,H980/$H$1182)</f>
        <v>0.000165673561921739</v>
      </c>
      <c r="J980" s="16" t="n">
        <f aca="false">IF(C980&lt;=0,0,H980/C980)</f>
        <v>499.99</v>
      </c>
    </row>
    <row r="981" customFormat="false" ht="15" hidden="false" customHeight="true" outlineLevel="0" collapsed="false">
      <c r="A981" s="5" t="n">
        <v>977</v>
      </c>
      <c r="B981" s="5" t="s">
        <v>988</v>
      </c>
      <c r="C981" s="6" t="n">
        <v>4</v>
      </c>
      <c r="D981" s="6" t="n">
        <v>4</v>
      </c>
      <c r="E981" s="7" t="n">
        <v>1813.08</v>
      </c>
      <c r="F981" s="7" t="n">
        <v>0</v>
      </c>
      <c r="G981" s="7" t="n">
        <v>0</v>
      </c>
      <c r="H981" s="8" t="n">
        <f aca="false">E981+F981+G981</f>
        <v>1813.08</v>
      </c>
      <c r="I981" s="9" t="n">
        <f aca="false">IF($H$1182=0,0,H981/$H$1182)</f>
        <v>0.000150192714678827</v>
      </c>
      <c r="J981" s="10" t="n">
        <f aca="false">IF(C981&lt;=0,0,H981/C981)</f>
        <v>453.27</v>
      </c>
    </row>
    <row r="982" customFormat="false" ht="15" hidden="false" customHeight="true" outlineLevel="0" collapsed="false">
      <c r="A982" s="11" t="n">
        <v>978</v>
      </c>
      <c r="B982" s="11" t="s">
        <v>989</v>
      </c>
      <c r="C982" s="12" t="n">
        <v>4</v>
      </c>
      <c r="D982" s="12" t="n">
        <v>4</v>
      </c>
      <c r="E982" s="13" t="n">
        <v>2100</v>
      </c>
      <c r="F982" s="13" t="n">
        <v>-42</v>
      </c>
      <c r="G982" s="13" t="n">
        <v>-420</v>
      </c>
      <c r="H982" s="14" t="n">
        <f aca="false">E982+F982+G982</f>
        <v>1638</v>
      </c>
      <c r="I982" s="15" t="n">
        <f aca="false">IF($H$1182=0,0,H982/$H$1182)</f>
        <v>0.000135689361001124</v>
      </c>
      <c r="J982" s="16" t="n">
        <f aca="false">IF(C982&lt;=0,0,H982/C982)</f>
        <v>409.5</v>
      </c>
    </row>
    <row r="983" customFormat="false" ht="15" hidden="false" customHeight="true" outlineLevel="0" collapsed="false">
      <c r="A983" s="5" t="n">
        <v>979</v>
      </c>
      <c r="B983" s="5" t="s">
        <v>990</v>
      </c>
      <c r="C983" s="6" t="n">
        <v>4</v>
      </c>
      <c r="D983" s="6" t="n">
        <v>4</v>
      </c>
      <c r="E983" s="7" t="n">
        <v>2099.94</v>
      </c>
      <c r="F983" s="7" t="n">
        <v>0</v>
      </c>
      <c r="G983" s="7" t="n">
        <v>-699.98</v>
      </c>
      <c r="H983" s="8" t="n">
        <f aca="false">E983+F983+G983</f>
        <v>1399.96</v>
      </c>
      <c r="I983" s="9" t="n">
        <f aca="false">IF($H$1182=0,0,H983/$H$1182)</f>
        <v>0.000115970499283964</v>
      </c>
      <c r="J983" s="10" t="n">
        <f aca="false">IF(C983&lt;=0,0,H983/C983)</f>
        <v>349.99</v>
      </c>
    </row>
    <row r="984" customFormat="false" ht="15" hidden="false" customHeight="true" outlineLevel="0" collapsed="false">
      <c r="A984" s="11" t="n">
        <v>980</v>
      </c>
      <c r="B984" s="11" t="s">
        <v>991</v>
      </c>
      <c r="C984" s="12" t="n">
        <v>4</v>
      </c>
      <c r="D984" s="12" t="n">
        <v>2</v>
      </c>
      <c r="E984" s="13" t="n">
        <v>1399.96</v>
      </c>
      <c r="F984" s="13" t="n">
        <v>-35</v>
      </c>
      <c r="G984" s="13" t="n">
        <v>0</v>
      </c>
      <c r="H984" s="14" t="n">
        <f aca="false">E984+F984+G984</f>
        <v>1364.96</v>
      </c>
      <c r="I984" s="15" t="n">
        <f aca="false">IF($H$1182=0,0,H984/$H$1182)</f>
        <v>0.000113071153963428</v>
      </c>
      <c r="J984" s="16" t="n">
        <f aca="false">IF(C984&lt;=0,0,H984/C984)</f>
        <v>341.24</v>
      </c>
    </row>
    <row r="985" customFormat="false" ht="15" hidden="false" customHeight="true" outlineLevel="0" collapsed="false">
      <c r="A985" s="5" t="n">
        <v>981</v>
      </c>
      <c r="B985" s="5" t="s">
        <v>992</v>
      </c>
      <c r="C985" s="6" t="n">
        <v>4</v>
      </c>
      <c r="D985" s="6" t="n">
        <v>7</v>
      </c>
      <c r="E985" s="7" t="n">
        <v>2376.1</v>
      </c>
      <c r="F985" s="7" t="n">
        <v>0</v>
      </c>
      <c r="G985" s="7" t="n">
        <v>-1025.36</v>
      </c>
      <c r="H985" s="8" t="n">
        <f aca="false">E985+F985+G985</f>
        <v>1350.74</v>
      </c>
      <c r="I985" s="9" t="n">
        <f aca="false">IF($H$1182=0,0,H985/$H$1182)</f>
        <v>0.000111893191378912</v>
      </c>
      <c r="J985" s="10" t="n">
        <f aca="false">IF(C985&lt;=0,0,H985/C985)</f>
        <v>337.685</v>
      </c>
    </row>
    <row r="986" customFormat="false" ht="15" hidden="false" customHeight="true" outlineLevel="0" collapsed="false">
      <c r="A986" s="11" t="n">
        <v>982</v>
      </c>
      <c r="B986" s="11" t="s">
        <v>993</v>
      </c>
      <c r="C986" s="12" t="n">
        <v>4</v>
      </c>
      <c r="D986" s="12" t="n">
        <v>5</v>
      </c>
      <c r="E986" s="13" t="n">
        <v>1249.95</v>
      </c>
      <c r="F986" s="13" t="n">
        <v>-26.04</v>
      </c>
      <c r="G986" s="13" t="n">
        <v>-249.99</v>
      </c>
      <c r="H986" s="14" t="n">
        <f aca="false">E986+F986+G986</f>
        <v>973.92</v>
      </c>
      <c r="I986" s="15" t="n">
        <f aca="false">IF($H$1182=0,0,H986/$H$1182)</f>
        <v>8.06780112736354E-005</v>
      </c>
      <c r="J986" s="16" t="n">
        <f aca="false">IF(C986&lt;=0,0,H986/C986)</f>
        <v>243.48</v>
      </c>
    </row>
    <row r="987" customFormat="false" ht="15" hidden="false" customHeight="true" outlineLevel="0" collapsed="false">
      <c r="A987" s="5" t="n">
        <v>983</v>
      </c>
      <c r="B987" s="5" t="s">
        <v>994</v>
      </c>
      <c r="C987" s="6" t="n">
        <v>4</v>
      </c>
      <c r="D987" s="6" t="n">
        <v>4</v>
      </c>
      <c r="E987" s="7" t="n">
        <v>909.3</v>
      </c>
      <c r="F987" s="7" t="n">
        <v>0</v>
      </c>
      <c r="G987" s="7" t="n">
        <v>0</v>
      </c>
      <c r="H987" s="8" t="n">
        <f aca="false">E987+F987+G987</f>
        <v>909.3</v>
      </c>
      <c r="I987" s="9" t="n">
        <f aca="false">IF($H$1182=0,0,H987/$H$1182)</f>
        <v>7.53249914275471E-005</v>
      </c>
      <c r="J987" s="10" t="n">
        <f aca="false">IF(C987&lt;=0,0,H987/C987)</f>
        <v>227.325</v>
      </c>
    </row>
    <row r="988" customFormat="false" ht="15" hidden="false" customHeight="true" outlineLevel="0" collapsed="false">
      <c r="A988" s="11" t="n">
        <v>984</v>
      </c>
      <c r="B988" s="11" t="s">
        <v>995</v>
      </c>
      <c r="C988" s="12" t="n">
        <v>4</v>
      </c>
      <c r="D988" s="12" t="n">
        <v>5</v>
      </c>
      <c r="E988" s="13" t="n">
        <v>1100</v>
      </c>
      <c r="F988" s="13" t="n">
        <v>-11</v>
      </c>
      <c r="G988" s="13" t="n">
        <v>-209</v>
      </c>
      <c r="H988" s="14" t="n">
        <f aca="false">E988+F988+G988</f>
        <v>880</v>
      </c>
      <c r="I988" s="15" t="n">
        <f aca="false">IF($H$1182=0,0,H988/$H$1182)</f>
        <v>7.28978252020691E-005</v>
      </c>
      <c r="J988" s="16" t="n">
        <f aca="false">IF(C988&lt;=0,0,H988/C988)</f>
        <v>220</v>
      </c>
    </row>
    <row r="989" customFormat="false" ht="15" hidden="false" customHeight="true" outlineLevel="0" collapsed="false">
      <c r="A989" s="5" t="n">
        <v>985</v>
      </c>
      <c r="B989" s="5" t="s">
        <v>996</v>
      </c>
      <c r="C989" s="6" t="n">
        <v>4</v>
      </c>
      <c r="D989" s="6" t="n">
        <v>4</v>
      </c>
      <c r="E989" s="7" t="n">
        <v>879.96</v>
      </c>
      <c r="F989" s="7" t="n">
        <v>0</v>
      </c>
      <c r="G989" s="7" t="n">
        <v>0</v>
      </c>
      <c r="H989" s="8" t="n">
        <f aca="false">E989+F989+G989</f>
        <v>879.96</v>
      </c>
      <c r="I989" s="9" t="n">
        <f aca="false">IF($H$1182=0,0,H989/$H$1182)</f>
        <v>7.28945116645599E-005</v>
      </c>
      <c r="J989" s="10" t="n">
        <f aca="false">IF(C989&lt;=0,0,H989/C989)</f>
        <v>219.99</v>
      </c>
    </row>
    <row r="990" customFormat="false" ht="15" hidden="false" customHeight="true" outlineLevel="0" collapsed="false">
      <c r="A990" s="11" t="n">
        <v>986</v>
      </c>
      <c r="B990" s="11" t="s">
        <v>997</v>
      </c>
      <c r="C990" s="12" t="n">
        <v>4</v>
      </c>
      <c r="D990" s="12" t="n">
        <v>3</v>
      </c>
      <c r="E990" s="13" t="n">
        <v>840</v>
      </c>
      <c r="F990" s="13" t="n">
        <v>0</v>
      </c>
      <c r="G990" s="13" t="n">
        <v>0</v>
      </c>
      <c r="H990" s="14" t="n">
        <f aca="false">E990+F990+G990</f>
        <v>840</v>
      </c>
      <c r="I990" s="15" t="n">
        <f aca="false">IF($H$1182=0,0,H990/$H$1182)</f>
        <v>6.95842876928842E-005</v>
      </c>
      <c r="J990" s="16" t="n">
        <f aca="false">IF(C990&lt;=0,0,H990/C990)</f>
        <v>210</v>
      </c>
    </row>
    <row r="991" customFormat="false" ht="15" hidden="false" customHeight="true" outlineLevel="0" collapsed="false">
      <c r="A991" s="5" t="n">
        <v>987</v>
      </c>
      <c r="B991" s="5" t="s">
        <v>998</v>
      </c>
      <c r="C991" s="6" t="n">
        <v>4</v>
      </c>
      <c r="D991" s="6" t="n">
        <v>2</v>
      </c>
      <c r="E991" s="7" t="n">
        <v>799.96</v>
      </c>
      <c r="F991" s="7" t="n">
        <v>0</v>
      </c>
      <c r="G991" s="7" t="n">
        <v>0</v>
      </c>
      <c r="H991" s="8" t="n">
        <f aca="false">E991+F991+G991</f>
        <v>799.96</v>
      </c>
      <c r="I991" s="9" t="n">
        <f aca="false">IF($H$1182=0,0,H991/$H$1182)</f>
        <v>6.626743664619E-005</v>
      </c>
      <c r="J991" s="10" t="n">
        <f aca="false">IF(C991&lt;=0,0,H991/C991)</f>
        <v>199.99</v>
      </c>
    </row>
    <row r="992" customFormat="false" ht="15" hidden="false" customHeight="true" outlineLevel="0" collapsed="false">
      <c r="A992" s="11" t="n">
        <v>988</v>
      </c>
      <c r="B992" s="11" t="s">
        <v>999</v>
      </c>
      <c r="C992" s="12" t="n">
        <v>4</v>
      </c>
      <c r="D992" s="12" t="n">
        <v>4</v>
      </c>
      <c r="E992" s="13" t="n">
        <v>1050</v>
      </c>
      <c r="F992" s="13" t="n">
        <v>-42</v>
      </c>
      <c r="G992" s="13" t="n">
        <v>-210</v>
      </c>
      <c r="H992" s="14" t="n">
        <f aca="false">E992+F992+G992</f>
        <v>798</v>
      </c>
      <c r="I992" s="15" t="n">
        <f aca="false">IF($H$1182=0,0,H992/$H$1182)</f>
        <v>6.610507330824E-005</v>
      </c>
      <c r="J992" s="16" t="n">
        <f aca="false">IF(C992&lt;=0,0,H992/C992)</f>
        <v>199.5</v>
      </c>
    </row>
    <row r="993" customFormat="false" ht="15" hidden="false" customHeight="true" outlineLevel="0" collapsed="false">
      <c r="A993" s="5" t="n">
        <v>989</v>
      </c>
      <c r="B993" s="5" t="s">
        <v>1000</v>
      </c>
      <c r="C993" s="6" t="n">
        <v>4</v>
      </c>
      <c r="D993" s="6" t="n">
        <v>6</v>
      </c>
      <c r="E993" s="7" t="n">
        <v>1980.64</v>
      </c>
      <c r="F993" s="7" t="n">
        <v>0</v>
      </c>
      <c r="G993" s="7" t="n">
        <v>-1260.68</v>
      </c>
      <c r="H993" s="8" t="n">
        <f aca="false">E993+F993+G993</f>
        <v>719.96</v>
      </c>
      <c r="I993" s="9" t="n">
        <f aca="false">IF($H$1182=0,0,H993/$H$1182)</f>
        <v>5.96403616278201E-005</v>
      </c>
      <c r="J993" s="10" t="n">
        <f aca="false">IF(C993&lt;=0,0,H993/C993)</f>
        <v>179.99</v>
      </c>
    </row>
    <row r="994" customFormat="false" ht="15" hidden="false" customHeight="true" outlineLevel="0" collapsed="false">
      <c r="A994" s="11" t="n">
        <v>990</v>
      </c>
      <c r="B994" s="11" t="s">
        <v>1001</v>
      </c>
      <c r="C994" s="12" t="n">
        <v>4</v>
      </c>
      <c r="D994" s="12" t="n">
        <v>4</v>
      </c>
      <c r="E994" s="13" t="n">
        <v>694.14</v>
      </c>
      <c r="F994" s="13" t="n">
        <v>-18.9</v>
      </c>
      <c r="G994" s="13" t="n">
        <v>0</v>
      </c>
      <c r="H994" s="14" t="n">
        <f aca="false">E994+F994+G994</f>
        <v>675.24</v>
      </c>
      <c r="I994" s="15" t="n">
        <f aca="false">IF($H$1182=0,0,H994/$H$1182)</f>
        <v>5.59358266925513E-005</v>
      </c>
      <c r="J994" s="16" t="n">
        <f aca="false">IF(C994&lt;=0,0,H994/C994)</f>
        <v>168.81</v>
      </c>
    </row>
    <row r="995" customFormat="false" ht="15" hidden="false" customHeight="true" outlineLevel="0" collapsed="false">
      <c r="A995" s="5" t="n">
        <v>991</v>
      </c>
      <c r="B995" s="5" t="s">
        <v>1002</v>
      </c>
      <c r="C995" s="6" t="n">
        <v>4</v>
      </c>
      <c r="D995" s="6" t="n">
        <v>4</v>
      </c>
      <c r="E995" s="7" t="n">
        <v>625</v>
      </c>
      <c r="F995" s="7" t="n">
        <v>0</v>
      </c>
      <c r="G995" s="7" t="n">
        <v>0</v>
      </c>
      <c r="H995" s="8" t="n">
        <f aca="false">E995+F995+G995</f>
        <v>625</v>
      </c>
      <c r="I995" s="9" t="n">
        <f aca="false">IF($H$1182=0,0,H995/$H$1182)</f>
        <v>5.1774023581015E-005</v>
      </c>
      <c r="J995" s="10" t="n">
        <f aca="false">IF(C995&lt;=0,0,H995/C995)</f>
        <v>156.25</v>
      </c>
    </row>
    <row r="996" customFormat="false" ht="15" hidden="false" customHeight="true" outlineLevel="0" collapsed="false">
      <c r="A996" s="11" t="n">
        <v>992</v>
      </c>
      <c r="B996" s="11" t="s">
        <v>1003</v>
      </c>
      <c r="C996" s="12" t="n">
        <v>4</v>
      </c>
      <c r="D996" s="12" t="n">
        <v>3</v>
      </c>
      <c r="E996" s="13" t="n">
        <v>599.96</v>
      </c>
      <c r="F996" s="13" t="n">
        <v>0</v>
      </c>
      <c r="G996" s="13" t="n">
        <v>0</v>
      </c>
      <c r="H996" s="14" t="n">
        <f aca="false">E996+F996+G996</f>
        <v>599.96</v>
      </c>
      <c r="I996" s="15" t="n">
        <f aca="false">IF($H$1182=0,0,H996/$H$1182)</f>
        <v>4.96997491002652E-005</v>
      </c>
      <c r="J996" s="16" t="n">
        <f aca="false">IF(C996&lt;=0,0,H996/C996)</f>
        <v>149.99</v>
      </c>
    </row>
    <row r="997" customFormat="false" ht="15" hidden="false" customHeight="true" outlineLevel="0" collapsed="false">
      <c r="A997" s="5" t="n">
        <v>993</v>
      </c>
      <c r="B997" s="5" t="s">
        <v>1004</v>
      </c>
      <c r="C997" s="6" t="n">
        <v>4</v>
      </c>
      <c r="D997" s="6" t="n">
        <v>3</v>
      </c>
      <c r="E997" s="7" t="n">
        <v>749.95</v>
      </c>
      <c r="F997" s="7" t="n">
        <v>0</v>
      </c>
      <c r="G997" s="7" t="n">
        <v>-149.99</v>
      </c>
      <c r="H997" s="8" t="n">
        <f aca="false">E997+F997+G997</f>
        <v>599.96</v>
      </c>
      <c r="I997" s="9" t="n">
        <f aca="false">IF($H$1182=0,0,H997/$H$1182)</f>
        <v>4.96997491002652E-005</v>
      </c>
      <c r="J997" s="10" t="n">
        <f aca="false">IF(C997&lt;=0,0,H997/C997)</f>
        <v>149.99</v>
      </c>
    </row>
    <row r="998" customFormat="false" ht="15" hidden="false" customHeight="true" outlineLevel="0" collapsed="false">
      <c r="A998" s="11" t="n">
        <v>994</v>
      </c>
      <c r="B998" s="11" t="s">
        <v>1005</v>
      </c>
      <c r="C998" s="12" t="n">
        <v>4</v>
      </c>
      <c r="D998" s="12" t="n">
        <v>3</v>
      </c>
      <c r="E998" s="13" t="n">
        <v>604.58</v>
      </c>
      <c r="F998" s="13" t="n">
        <v>-13.73</v>
      </c>
      <c r="G998" s="13" t="n">
        <v>0</v>
      </c>
      <c r="H998" s="14" t="n">
        <f aca="false">E998+F998+G998</f>
        <v>590.85</v>
      </c>
      <c r="I998" s="15" t="n">
        <f aca="false">IF($H$1182=0,0,H998/$H$1182)</f>
        <v>4.89450909325483E-005</v>
      </c>
      <c r="J998" s="16" t="n">
        <f aca="false">IF(C998&lt;=0,0,H998/C998)</f>
        <v>147.7125</v>
      </c>
    </row>
    <row r="999" customFormat="false" ht="15" hidden="false" customHeight="true" outlineLevel="0" collapsed="false">
      <c r="A999" s="5" t="n">
        <v>995</v>
      </c>
      <c r="B999" s="5" t="s">
        <v>1006</v>
      </c>
      <c r="C999" s="6" t="n">
        <v>4</v>
      </c>
      <c r="D999" s="6" t="n">
        <v>5</v>
      </c>
      <c r="E999" s="7" t="n">
        <v>732.83</v>
      </c>
      <c r="F999" s="7" t="n">
        <v>-28.63</v>
      </c>
      <c r="G999" s="7" t="n">
        <v>-159.99</v>
      </c>
      <c r="H999" s="8" t="n">
        <f aca="false">E999+F999+G999</f>
        <v>544.21</v>
      </c>
      <c r="I999" s="9" t="n">
        <f aca="false">IF($H$1182=0,0,H999/$H$1182)</f>
        <v>4.50815061968387E-005</v>
      </c>
      <c r="J999" s="10" t="n">
        <f aca="false">IF(C999&lt;=0,0,H999/C999)</f>
        <v>136.0525</v>
      </c>
    </row>
    <row r="1000" customFormat="false" ht="15" hidden="false" customHeight="true" outlineLevel="0" collapsed="false">
      <c r="A1000" s="11" t="n">
        <v>996</v>
      </c>
      <c r="B1000" s="11" t="s">
        <v>1007</v>
      </c>
      <c r="C1000" s="12" t="n">
        <v>4</v>
      </c>
      <c r="D1000" s="12" t="n">
        <v>3</v>
      </c>
      <c r="E1000" s="13" t="n">
        <v>535.38</v>
      </c>
      <c r="F1000" s="13" t="n">
        <v>0</v>
      </c>
      <c r="G1000" s="13" t="n">
        <v>0</v>
      </c>
      <c r="H1000" s="14" t="n">
        <f aca="false">E1000+F1000+G1000</f>
        <v>535.38</v>
      </c>
      <c r="I1000" s="15" t="n">
        <f aca="false">IF($H$1182=0,0,H1000/$H$1182)</f>
        <v>4.43500427916861E-005</v>
      </c>
      <c r="J1000" s="16" t="n">
        <f aca="false">IF(C1000&lt;=0,0,H1000/C1000)</f>
        <v>133.845</v>
      </c>
    </row>
    <row r="1001" customFormat="false" ht="15" hidden="false" customHeight="true" outlineLevel="0" collapsed="false">
      <c r="A1001" s="5" t="n">
        <v>997</v>
      </c>
      <c r="B1001" s="5" t="s">
        <v>1008</v>
      </c>
      <c r="C1001" s="6" t="n">
        <v>4</v>
      </c>
      <c r="D1001" s="6" t="n">
        <v>3</v>
      </c>
      <c r="E1001" s="7" t="n">
        <v>519.96</v>
      </c>
      <c r="F1001" s="7" t="n">
        <v>0</v>
      </c>
      <c r="G1001" s="7" t="n">
        <v>0</v>
      </c>
      <c r="H1001" s="8" t="n">
        <f aca="false">E1001+F1001+G1001</f>
        <v>519.96</v>
      </c>
      <c r="I1001" s="9" t="n">
        <f aca="false">IF($H$1182=0,0,H1001/$H$1182)</f>
        <v>4.30726740818953E-005</v>
      </c>
      <c r="J1001" s="10" t="n">
        <f aca="false">IF(C1001&lt;=0,0,H1001/C1001)</f>
        <v>129.99</v>
      </c>
    </row>
    <row r="1002" customFormat="false" ht="15" hidden="false" customHeight="true" outlineLevel="0" collapsed="false">
      <c r="A1002" s="11" t="n">
        <v>998</v>
      </c>
      <c r="B1002" s="11" t="s">
        <v>1009</v>
      </c>
      <c r="C1002" s="12" t="n">
        <v>4</v>
      </c>
      <c r="D1002" s="12" t="n">
        <v>3</v>
      </c>
      <c r="E1002" s="13" t="n">
        <v>440</v>
      </c>
      <c r="F1002" s="13" t="n">
        <v>0</v>
      </c>
      <c r="G1002" s="13" t="n">
        <v>0</v>
      </c>
      <c r="H1002" s="14" t="n">
        <f aca="false">E1002+F1002+G1002</f>
        <v>440</v>
      </c>
      <c r="I1002" s="15" t="n">
        <f aca="false">IF($H$1182=0,0,H1002/$H$1182)</f>
        <v>3.64489126010346E-005</v>
      </c>
      <c r="J1002" s="16" t="n">
        <f aca="false">IF(C1002&lt;=0,0,H1002/C1002)</f>
        <v>110</v>
      </c>
    </row>
    <row r="1003" customFormat="false" ht="15" hidden="false" customHeight="true" outlineLevel="0" collapsed="false">
      <c r="A1003" s="5" t="n">
        <v>999</v>
      </c>
      <c r="B1003" s="5" t="s">
        <v>1010</v>
      </c>
      <c r="C1003" s="6" t="n">
        <v>4</v>
      </c>
      <c r="D1003" s="6" t="n">
        <v>5</v>
      </c>
      <c r="E1003" s="7" t="n">
        <v>550</v>
      </c>
      <c r="F1003" s="7" t="n">
        <v>-11.15</v>
      </c>
      <c r="G1003" s="7" t="n">
        <v>-110</v>
      </c>
      <c r="H1003" s="8" t="n">
        <f aca="false">E1003+F1003+G1003</f>
        <v>428.85</v>
      </c>
      <c r="I1003" s="9" t="n">
        <f aca="false">IF($H$1182=0,0,H1003/$H$1182)</f>
        <v>3.55252640203493E-005</v>
      </c>
      <c r="J1003" s="10" t="n">
        <f aca="false">IF(C1003&lt;=0,0,H1003/C1003)</f>
        <v>107.2125</v>
      </c>
    </row>
    <row r="1004" customFormat="false" ht="15" hidden="false" customHeight="true" outlineLevel="0" collapsed="false">
      <c r="A1004" s="11" t="n">
        <v>1000</v>
      </c>
      <c r="B1004" s="11" t="s">
        <v>1011</v>
      </c>
      <c r="C1004" s="12" t="n">
        <v>4</v>
      </c>
      <c r="D1004" s="12" t="n">
        <v>5</v>
      </c>
      <c r="E1004" s="13" t="n">
        <v>549.95</v>
      </c>
      <c r="F1004" s="13" t="n">
        <v>-21.98</v>
      </c>
      <c r="G1004" s="13" t="n">
        <v>-109.99</v>
      </c>
      <c r="H1004" s="14" t="n">
        <f aca="false">E1004+F1004+G1004</f>
        <v>417.98</v>
      </c>
      <c r="I1004" s="15" t="n">
        <f aca="false">IF($H$1182=0,0,H1004/$H$1182)</f>
        <v>3.46248102022282E-005</v>
      </c>
      <c r="J1004" s="16" t="n">
        <f aca="false">IF(C1004&lt;=0,0,H1004/C1004)</f>
        <v>104.495</v>
      </c>
    </row>
    <row r="1005" customFormat="false" ht="15" hidden="false" customHeight="true" outlineLevel="0" collapsed="false">
      <c r="A1005" s="5" t="n">
        <v>1001</v>
      </c>
      <c r="B1005" s="5" t="s">
        <v>1012</v>
      </c>
      <c r="C1005" s="6" t="n">
        <v>4</v>
      </c>
      <c r="D1005" s="6" t="n">
        <v>6</v>
      </c>
      <c r="E1005" s="7" t="n">
        <v>780</v>
      </c>
      <c r="F1005" s="7" t="n">
        <v>0</v>
      </c>
      <c r="G1005" s="7" t="n">
        <v>-380</v>
      </c>
      <c r="H1005" s="8" t="n">
        <f aca="false">E1005+F1005+G1005</f>
        <v>400</v>
      </c>
      <c r="I1005" s="9" t="n">
        <f aca="false">IF($H$1182=0,0,H1005/$H$1182)</f>
        <v>3.31353750918496E-005</v>
      </c>
      <c r="J1005" s="10" t="n">
        <f aca="false">IF(C1005&lt;=0,0,H1005/C1005)</f>
        <v>100</v>
      </c>
    </row>
    <row r="1006" customFormat="false" ht="15" hidden="false" customHeight="true" outlineLevel="0" collapsed="false">
      <c r="A1006" s="11" t="n">
        <v>1002</v>
      </c>
      <c r="B1006" s="11" t="s">
        <v>1013</v>
      </c>
      <c r="C1006" s="12" t="n">
        <v>4</v>
      </c>
      <c r="D1006" s="12" t="n">
        <v>1</v>
      </c>
      <c r="E1006" s="13" t="n">
        <v>399.96</v>
      </c>
      <c r="F1006" s="13" t="n">
        <v>0</v>
      </c>
      <c r="G1006" s="13" t="n">
        <v>0</v>
      </c>
      <c r="H1006" s="14" t="n">
        <f aca="false">E1006+F1006+G1006</f>
        <v>399.96</v>
      </c>
      <c r="I1006" s="15" t="n">
        <f aca="false">IF($H$1182=0,0,H1006/$H$1182)</f>
        <v>3.31320615543404E-005</v>
      </c>
      <c r="J1006" s="16" t="n">
        <f aca="false">IF(C1006&lt;=0,0,H1006/C1006)</f>
        <v>99.99</v>
      </c>
    </row>
    <row r="1007" customFormat="false" ht="15" hidden="false" customHeight="true" outlineLevel="0" collapsed="false">
      <c r="A1007" s="5" t="n">
        <v>1003</v>
      </c>
      <c r="B1007" s="5" t="s">
        <v>1014</v>
      </c>
      <c r="C1007" s="6" t="n">
        <v>4</v>
      </c>
      <c r="D1007" s="6" t="n">
        <v>4</v>
      </c>
      <c r="E1007" s="7" t="n">
        <v>399.96</v>
      </c>
      <c r="F1007" s="7" t="n">
        <v>0</v>
      </c>
      <c r="G1007" s="7" t="n">
        <v>0</v>
      </c>
      <c r="H1007" s="8" t="n">
        <f aca="false">E1007+F1007+G1007</f>
        <v>399.96</v>
      </c>
      <c r="I1007" s="9" t="n">
        <f aca="false">IF($H$1182=0,0,H1007/$H$1182)</f>
        <v>3.31320615543404E-005</v>
      </c>
      <c r="J1007" s="10" t="n">
        <f aca="false">IF(C1007&lt;=0,0,H1007/C1007)</f>
        <v>99.99</v>
      </c>
    </row>
    <row r="1008" customFormat="false" ht="15" hidden="false" customHeight="true" outlineLevel="0" collapsed="false">
      <c r="A1008" s="11" t="n">
        <v>1004</v>
      </c>
      <c r="B1008" s="11" t="s">
        <v>1015</v>
      </c>
      <c r="C1008" s="12" t="n">
        <v>4</v>
      </c>
      <c r="D1008" s="12" t="n">
        <v>3</v>
      </c>
      <c r="E1008" s="13" t="n">
        <v>376.12</v>
      </c>
      <c r="F1008" s="13" t="n">
        <v>0</v>
      </c>
      <c r="G1008" s="13" t="n">
        <v>0</v>
      </c>
      <c r="H1008" s="14" t="n">
        <f aca="false">E1008+F1008+G1008</f>
        <v>376.12</v>
      </c>
      <c r="I1008" s="15" t="n">
        <f aca="false">IF($H$1182=0,0,H1008/$H$1182)</f>
        <v>3.11571931988662E-005</v>
      </c>
      <c r="J1008" s="16" t="n">
        <f aca="false">IF(C1008&lt;=0,0,H1008/C1008)</f>
        <v>94.03</v>
      </c>
    </row>
    <row r="1009" customFormat="false" ht="15" hidden="false" customHeight="true" outlineLevel="0" collapsed="false">
      <c r="A1009" s="5" t="n">
        <v>1005</v>
      </c>
      <c r="B1009" s="5" t="s">
        <v>1016</v>
      </c>
      <c r="C1009" s="6" t="n">
        <v>4</v>
      </c>
      <c r="D1009" s="6" t="n">
        <v>4</v>
      </c>
      <c r="E1009" s="7" t="n">
        <v>369.96</v>
      </c>
      <c r="F1009" s="7" t="n">
        <v>0</v>
      </c>
      <c r="G1009" s="7" t="n">
        <v>0</v>
      </c>
      <c r="H1009" s="8" t="n">
        <f aca="false">E1009+F1009+G1009</f>
        <v>369.96</v>
      </c>
      <c r="I1009" s="9" t="n">
        <f aca="false">IF($H$1182=0,0,H1009/$H$1182)</f>
        <v>3.06469084224517E-005</v>
      </c>
      <c r="J1009" s="10" t="n">
        <f aca="false">IF(C1009&lt;=0,0,H1009/C1009)</f>
        <v>92.49</v>
      </c>
    </row>
    <row r="1010" customFormat="false" ht="15" hidden="false" customHeight="true" outlineLevel="0" collapsed="false">
      <c r="A1010" s="11" t="n">
        <v>1006</v>
      </c>
      <c r="B1010" s="11" t="s">
        <v>1017</v>
      </c>
      <c r="C1010" s="12" t="n">
        <v>4</v>
      </c>
      <c r="D1010" s="12" t="n">
        <v>4</v>
      </c>
      <c r="E1010" s="13" t="n">
        <v>359.96</v>
      </c>
      <c r="F1010" s="13" t="n">
        <v>0</v>
      </c>
      <c r="G1010" s="13" t="n">
        <v>0</v>
      </c>
      <c r="H1010" s="14" t="n">
        <f aca="false">E1010+F1010+G1010</f>
        <v>359.96</v>
      </c>
      <c r="I1010" s="15" t="n">
        <f aca="false">IF($H$1182=0,0,H1010/$H$1182)</f>
        <v>2.98185240451555E-005</v>
      </c>
      <c r="J1010" s="16" t="n">
        <f aca="false">IF(C1010&lt;=0,0,H1010/C1010)</f>
        <v>89.99</v>
      </c>
    </row>
    <row r="1011" customFormat="false" ht="15" hidden="false" customHeight="true" outlineLevel="0" collapsed="false">
      <c r="A1011" s="5" t="n">
        <v>1007</v>
      </c>
      <c r="B1011" s="5" t="s">
        <v>1018</v>
      </c>
      <c r="C1011" s="6" t="n">
        <v>4</v>
      </c>
      <c r="D1011" s="6" t="n">
        <v>4</v>
      </c>
      <c r="E1011" s="7" t="n">
        <v>369.96</v>
      </c>
      <c r="F1011" s="7" t="n">
        <v>-11.69</v>
      </c>
      <c r="G1011" s="7" t="n">
        <v>0</v>
      </c>
      <c r="H1011" s="8" t="n">
        <f aca="false">E1011+F1011+G1011</f>
        <v>358.27</v>
      </c>
      <c r="I1011" s="9" t="n">
        <f aca="false">IF($H$1182=0,0,H1011/$H$1182)</f>
        <v>2.96785270853924E-005</v>
      </c>
      <c r="J1011" s="10" t="n">
        <f aca="false">IF(C1011&lt;=0,0,H1011/C1011)</f>
        <v>89.5675</v>
      </c>
    </row>
    <row r="1012" customFormat="false" ht="15" hidden="false" customHeight="true" outlineLevel="0" collapsed="false">
      <c r="A1012" s="11" t="n">
        <v>1008</v>
      </c>
      <c r="B1012" s="11" t="s">
        <v>1019</v>
      </c>
      <c r="C1012" s="12" t="n">
        <v>4</v>
      </c>
      <c r="D1012" s="12" t="n">
        <v>4</v>
      </c>
      <c r="E1012" s="13" t="n">
        <v>379.95</v>
      </c>
      <c r="F1012" s="13" t="n">
        <v>-7.49</v>
      </c>
      <c r="G1012" s="13" t="n">
        <v>-79.99</v>
      </c>
      <c r="H1012" s="14" t="n">
        <f aca="false">E1012+F1012+G1012</f>
        <v>292.47</v>
      </c>
      <c r="I1012" s="15" t="n">
        <f aca="false">IF($H$1182=0,0,H1012/$H$1182)</f>
        <v>2.42277578827831E-005</v>
      </c>
      <c r="J1012" s="16" t="n">
        <f aca="false">IF(C1012&lt;=0,0,H1012/C1012)</f>
        <v>73.1175</v>
      </c>
    </row>
    <row r="1013" customFormat="false" ht="15" hidden="false" customHeight="true" outlineLevel="0" collapsed="false">
      <c r="A1013" s="5" t="n">
        <v>1009</v>
      </c>
      <c r="B1013" s="5" t="s">
        <v>1020</v>
      </c>
      <c r="C1013" s="6" t="n">
        <v>4</v>
      </c>
      <c r="D1013" s="6" t="n">
        <v>4</v>
      </c>
      <c r="E1013" s="7" t="n">
        <v>278.98</v>
      </c>
      <c r="F1013" s="7" t="n">
        <v>0</v>
      </c>
      <c r="G1013" s="7" t="n">
        <v>0</v>
      </c>
      <c r="H1013" s="8" t="n">
        <f aca="false">E1013+F1013+G1013</f>
        <v>278.98</v>
      </c>
      <c r="I1013" s="9" t="n">
        <f aca="false">IF($H$1182=0,0,H1013/$H$1182)</f>
        <v>2.31102673578105E-005</v>
      </c>
      <c r="J1013" s="10" t="n">
        <f aca="false">IF(C1013&lt;=0,0,H1013/C1013)</f>
        <v>69.745</v>
      </c>
    </row>
    <row r="1014" customFormat="false" ht="15" hidden="false" customHeight="true" outlineLevel="0" collapsed="false">
      <c r="A1014" s="11" t="n">
        <v>1010</v>
      </c>
      <c r="B1014" s="11" t="s">
        <v>1021</v>
      </c>
      <c r="C1014" s="12" t="n">
        <v>4</v>
      </c>
      <c r="D1014" s="12" t="n">
        <v>3</v>
      </c>
      <c r="E1014" s="13" t="n">
        <v>259.96</v>
      </c>
      <c r="F1014" s="13" t="n">
        <v>0</v>
      </c>
      <c r="G1014" s="13" t="n">
        <v>0</v>
      </c>
      <c r="H1014" s="14" t="n">
        <f aca="false">E1014+F1014+G1014</f>
        <v>259.96</v>
      </c>
      <c r="I1014" s="15" t="n">
        <f aca="false">IF($H$1182=0,0,H1014/$H$1182)</f>
        <v>2.15346802721931E-005</v>
      </c>
      <c r="J1014" s="16" t="n">
        <f aca="false">IF(C1014&lt;=0,0,H1014/C1014)</f>
        <v>64.99</v>
      </c>
    </row>
    <row r="1015" customFormat="false" ht="15" hidden="false" customHeight="true" outlineLevel="0" collapsed="false">
      <c r="A1015" s="5" t="n">
        <v>1011</v>
      </c>
      <c r="B1015" s="5" t="s">
        <v>1022</v>
      </c>
      <c r="C1015" s="6" t="n">
        <v>4</v>
      </c>
      <c r="D1015" s="6" t="n">
        <v>4</v>
      </c>
      <c r="E1015" s="7" t="n">
        <v>239.96</v>
      </c>
      <c r="F1015" s="7" t="n">
        <v>-7.99</v>
      </c>
      <c r="G1015" s="7" t="n">
        <v>0</v>
      </c>
      <c r="H1015" s="8" t="n">
        <f aca="false">E1015+F1015+G1015</f>
        <v>231.97</v>
      </c>
      <c r="I1015" s="9" t="n">
        <f aca="false">IF($H$1182=0,0,H1015/$H$1182)</f>
        <v>1.92160324001409E-005</v>
      </c>
      <c r="J1015" s="10" t="n">
        <f aca="false">IF(C1015&lt;=0,0,H1015/C1015)</f>
        <v>57.9925</v>
      </c>
    </row>
    <row r="1016" customFormat="false" ht="15" hidden="false" customHeight="true" outlineLevel="0" collapsed="false">
      <c r="A1016" s="11" t="n">
        <v>1012</v>
      </c>
      <c r="B1016" s="11" t="s">
        <v>1023</v>
      </c>
      <c r="C1016" s="12" t="n">
        <v>4</v>
      </c>
      <c r="D1016" s="12" t="n">
        <v>4</v>
      </c>
      <c r="E1016" s="13" t="n">
        <v>195</v>
      </c>
      <c r="F1016" s="13" t="n">
        <v>0</v>
      </c>
      <c r="G1016" s="13" t="n">
        <v>-39</v>
      </c>
      <c r="H1016" s="14" t="n">
        <f aca="false">E1016+F1016+G1016</f>
        <v>156</v>
      </c>
      <c r="I1016" s="15" t="n">
        <f aca="false">IF($H$1182=0,0,H1016/$H$1182)</f>
        <v>1.29227962858213E-005</v>
      </c>
      <c r="J1016" s="16" t="n">
        <f aca="false">IF(C1016&lt;=0,0,H1016/C1016)</f>
        <v>39</v>
      </c>
    </row>
    <row r="1017" customFormat="false" ht="15" hidden="false" customHeight="true" outlineLevel="0" collapsed="false">
      <c r="A1017" s="5" t="n">
        <v>1013</v>
      </c>
      <c r="B1017" s="5" t="s">
        <v>1024</v>
      </c>
      <c r="C1017" s="6" t="n">
        <v>4</v>
      </c>
      <c r="D1017" s="6" t="n">
        <v>5</v>
      </c>
      <c r="E1017" s="7" t="n">
        <v>250.4</v>
      </c>
      <c r="F1017" s="7" t="n">
        <v>-4.94</v>
      </c>
      <c r="G1017" s="7" t="n">
        <v>-93.7</v>
      </c>
      <c r="H1017" s="8" t="n">
        <f aca="false">E1017+F1017+G1017</f>
        <v>151.76</v>
      </c>
      <c r="I1017" s="9" t="n">
        <f aca="false">IF($H$1182=0,0,H1017/$H$1182)</f>
        <v>1.25715613098477E-005</v>
      </c>
      <c r="J1017" s="10" t="n">
        <f aca="false">IF(C1017&lt;=0,0,H1017/C1017)</f>
        <v>37.94</v>
      </c>
    </row>
    <row r="1018" customFormat="false" ht="15" hidden="false" customHeight="true" outlineLevel="0" collapsed="false">
      <c r="A1018" s="11" t="n">
        <v>1014</v>
      </c>
      <c r="B1018" s="11" t="s">
        <v>1025</v>
      </c>
      <c r="C1018" s="12" t="n">
        <v>4</v>
      </c>
      <c r="D1018" s="12" t="n">
        <v>5</v>
      </c>
      <c r="E1018" s="13" t="n">
        <v>229.94</v>
      </c>
      <c r="F1018" s="13" t="n">
        <v>-3.79</v>
      </c>
      <c r="G1018" s="13" t="n">
        <v>-77.98</v>
      </c>
      <c r="H1018" s="14" t="n">
        <f aca="false">E1018+F1018+G1018</f>
        <v>148.17</v>
      </c>
      <c r="I1018" s="15" t="n">
        <f aca="false">IF($H$1182=0,0,H1018/$H$1182)</f>
        <v>1.22741713183984E-005</v>
      </c>
      <c r="J1018" s="16" t="n">
        <f aca="false">IF(C1018&lt;=0,0,H1018/C1018)</f>
        <v>37.0425</v>
      </c>
    </row>
    <row r="1019" customFormat="false" ht="15" hidden="false" customHeight="true" outlineLevel="0" collapsed="false">
      <c r="A1019" s="5" t="n">
        <v>1015</v>
      </c>
      <c r="B1019" s="5" t="s">
        <v>1026</v>
      </c>
      <c r="C1019" s="6" t="n">
        <v>4</v>
      </c>
      <c r="D1019" s="6" t="n">
        <v>3</v>
      </c>
      <c r="E1019" s="7" t="n">
        <v>148</v>
      </c>
      <c r="F1019" s="7" t="n">
        <v>-7.4</v>
      </c>
      <c r="G1019" s="7" t="n">
        <v>0</v>
      </c>
      <c r="H1019" s="8" t="n">
        <f aca="false">E1019+F1019+G1019</f>
        <v>140.6</v>
      </c>
      <c r="I1019" s="9" t="n">
        <f aca="false">IF($H$1182=0,0,H1019/$H$1182)</f>
        <v>1.16470843447851E-005</v>
      </c>
      <c r="J1019" s="10" t="n">
        <f aca="false">IF(C1019&lt;=0,0,H1019/C1019)</f>
        <v>35.15</v>
      </c>
    </row>
    <row r="1020" customFormat="false" ht="15" hidden="false" customHeight="true" outlineLevel="0" collapsed="false">
      <c r="A1020" s="11" t="n">
        <v>1016</v>
      </c>
      <c r="B1020" s="11" t="s">
        <v>1027</v>
      </c>
      <c r="C1020" s="12" t="n">
        <v>4</v>
      </c>
      <c r="D1020" s="12" t="n">
        <v>4</v>
      </c>
      <c r="E1020" s="13" t="n">
        <v>243.18</v>
      </c>
      <c r="F1020" s="13" t="n">
        <v>0</v>
      </c>
      <c r="G1020" s="13" t="n">
        <v>-104.97</v>
      </c>
      <c r="H1020" s="14" t="n">
        <f aca="false">E1020+F1020+G1020</f>
        <v>138.21</v>
      </c>
      <c r="I1020" s="15" t="n">
        <f aca="false">IF($H$1182=0,0,H1020/$H$1182)</f>
        <v>1.14491004786113E-005</v>
      </c>
      <c r="J1020" s="16" t="n">
        <f aca="false">IF(C1020&lt;=0,0,H1020/C1020)</f>
        <v>34.5525</v>
      </c>
    </row>
    <row r="1021" customFormat="false" ht="15" hidden="false" customHeight="true" outlineLevel="0" collapsed="false">
      <c r="A1021" s="5" t="n">
        <v>1017</v>
      </c>
      <c r="B1021" s="5" t="s">
        <v>1028</v>
      </c>
      <c r="C1021" s="6" t="n">
        <v>4</v>
      </c>
      <c r="D1021" s="6" t="n">
        <v>3</v>
      </c>
      <c r="E1021" s="7" t="n">
        <v>79.96</v>
      </c>
      <c r="F1021" s="7" t="n">
        <v>0</v>
      </c>
      <c r="G1021" s="7" t="n">
        <v>0</v>
      </c>
      <c r="H1021" s="8" t="n">
        <f aca="false">E1021+F1021+G1021</f>
        <v>79.96</v>
      </c>
      <c r="I1021" s="9" t="n">
        <f aca="false">IF($H$1182=0,0,H1021/$H$1182)</f>
        <v>6.62376148086074E-006</v>
      </c>
      <c r="J1021" s="10" t="n">
        <f aca="false">IF(C1021&lt;=0,0,H1021/C1021)</f>
        <v>19.99</v>
      </c>
    </row>
    <row r="1022" customFormat="false" ht="15" hidden="false" customHeight="true" outlineLevel="0" collapsed="false">
      <c r="A1022" s="11" t="n">
        <v>1018</v>
      </c>
      <c r="B1022" s="11" t="s">
        <v>1029</v>
      </c>
      <c r="C1022" s="12" t="n">
        <v>4</v>
      </c>
      <c r="D1022" s="12" t="n">
        <v>5</v>
      </c>
      <c r="E1022" s="13" t="n">
        <v>99.95</v>
      </c>
      <c r="F1022" s="13" t="n">
        <v>-2.02</v>
      </c>
      <c r="G1022" s="13" t="n">
        <v>-19.99</v>
      </c>
      <c r="H1022" s="14" t="n">
        <f aca="false">E1022+F1022+G1022</f>
        <v>77.94</v>
      </c>
      <c r="I1022" s="15" t="n">
        <f aca="false">IF($H$1182=0,0,H1022/$H$1182)</f>
        <v>6.4564278366469E-006</v>
      </c>
      <c r="J1022" s="16" t="n">
        <f aca="false">IF(C1022&lt;=0,0,H1022/C1022)</f>
        <v>19.485</v>
      </c>
    </row>
    <row r="1023" customFormat="false" ht="15" hidden="false" customHeight="true" outlineLevel="0" collapsed="false">
      <c r="A1023" s="5" t="n">
        <v>1019</v>
      </c>
      <c r="B1023" s="5" t="s">
        <v>1030</v>
      </c>
      <c r="C1023" s="6" t="n">
        <v>4</v>
      </c>
      <c r="D1023" s="6" t="n">
        <v>2</v>
      </c>
      <c r="E1023" s="7" t="n">
        <v>77</v>
      </c>
      <c r="F1023" s="7" t="n">
        <v>0</v>
      </c>
      <c r="G1023" s="7" t="n">
        <v>-33</v>
      </c>
      <c r="H1023" s="8" t="n">
        <f aca="false">E1023+F1023+G1023</f>
        <v>44</v>
      </c>
      <c r="I1023" s="9" t="n">
        <f aca="false">IF($H$1182=0,0,H1023/$H$1182)</f>
        <v>3.64489126010346E-006</v>
      </c>
      <c r="J1023" s="10" t="n">
        <f aca="false">IF(C1023&lt;=0,0,H1023/C1023)</f>
        <v>11</v>
      </c>
    </row>
    <row r="1024" customFormat="false" ht="15" hidden="false" customHeight="true" outlineLevel="0" collapsed="false">
      <c r="A1024" s="11" t="n">
        <v>1020</v>
      </c>
      <c r="B1024" s="11" t="s">
        <v>1031</v>
      </c>
      <c r="C1024" s="12" t="n">
        <v>3</v>
      </c>
      <c r="D1024" s="12" t="n">
        <v>3</v>
      </c>
      <c r="E1024" s="13" t="n">
        <v>13996</v>
      </c>
      <c r="F1024" s="13" t="n">
        <v>0</v>
      </c>
      <c r="G1024" s="13" t="n">
        <v>-3499</v>
      </c>
      <c r="H1024" s="14" t="n">
        <f aca="false">E1024+F1024+G1024</f>
        <v>10497</v>
      </c>
      <c r="I1024" s="15" t="n">
        <f aca="false">IF($H$1182=0,0,H1024/$H$1182)</f>
        <v>0.000869555080847863</v>
      </c>
      <c r="J1024" s="16" t="n">
        <f aca="false">IF(C1024&lt;=0,0,H1024/C1024)</f>
        <v>3499</v>
      </c>
    </row>
    <row r="1025" customFormat="false" ht="15" hidden="false" customHeight="true" outlineLevel="0" collapsed="false">
      <c r="A1025" s="5" t="n">
        <v>1021</v>
      </c>
      <c r="B1025" s="5" t="s">
        <v>1032</v>
      </c>
      <c r="C1025" s="6" t="n">
        <v>3</v>
      </c>
      <c r="D1025" s="6" t="n">
        <v>0</v>
      </c>
      <c r="E1025" s="7" t="n">
        <v>10200</v>
      </c>
      <c r="F1025" s="7" t="n">
        <v>0</v>
      </c>
      <c r="G1025" s="7" t="n">
        <v>0</v>
      </c>
      <c r="H1025" s="8" t="n">
        <f aca="false">E1025+F1025+G1025</f>
        <v>10200</v>
      </c>
      <c r="I1025" s="9" t="n">
        <f aca="false">IF($H$1182=0,0,H1025/$H$1182)</f>
        <v>0.000844952064842165</v>
      </c>
      <c r="J1025" s="10" t="n">
        <f aca="false">IF(C1025&lt;=0,0,H1025/C1025)</f>
        <v>3400</v>
      </c>
    </row>
    <row r="1026" customFormat="false" ht="15" hidden="false" customHeight="true" outlineLevel="0" collapsed="false">
      <c r="A1026" s="11" t="n">
        <v>1022</v>
      </c>
      <c r="B1026" s="11" t="s">
        <v>1033</v>
      </c>
      <c r="C1026" s="12" t="n">
        <v>3</v>
      </c>
      <c r="D1026" s="12" t="n">
        <v>3</v>
      </c>
      <c r="E1026" s="13" t="n">
        <v>9000</v>
      </c>
      <c r="F1026" s="13" t="n">
        <v>0</v>
      </c>
      <c r="G1026" s="13" t="n">
        <v>0</v>
      </c>
      <c r="H1026" s="14" t="n">
        <f aca="false">E1026+F1026+G1026</f>
        <v>9000</v>
      </c>
      <c r="I1026" s="15" t="n">
        <f aca="false">IF($H$1182=0,0,H1026/$H$1182)</f>
        <v>0.000745545939566616</v>
      </c>
      <c r="J1026" s="16" t="n">
        <f aca="false">IF(C1026&lt;=0,0,H1026/C1026)</f>
        <v>3000</v>
      </c>
    </row>
    <row r="1027" customFormat="false" ht="15" hidden="false" customHeight="true" outlineLevel="0" collapsed="false">
      <c r="A1027" s="5" t="n">
        <v>1023</v>
      </c>
      <c r="B1027" s="5" t="s">
        <v>1034</v>
      </c>
      <c r="C1027" s="6" t="n">
        <v>3</v>
      </c>
      <c r="D1027" s="6" t="n">
        <v>4</v>
      </c>
      <c r="E1027" s="7" t="n">
        <v>12000</v>
      </c>
      <c r="F1027" s="7" t="n">
        <v>0</v>
      </c>
      <c r="G1027" s="7" t="n">
        <v>-3000</v>
      </c>
      <c r="H1027" s="8" t="n">
        <f aca="false">E1027+F1027+G1027</f>
        <v>9000</v>
      </c>
      <c r="I1027" s="9" t="n">
        <f aca="false">IF($H$1182=0,0,H1027/$H$1182)</f>
        <v>0.000745545939566616</v>
      </c>
      <c r="J1027" s="10" t="n">
        <f aca="false">IF(C1027&lt;=0,0,H1027/C1027)</f>
        <v>3000</v>
      </c>
    </row>
    <row r="1028" customFormat="false" ht="15" hidden="false" customHeight="true" outlineLevel="0" collapsed="false">
      <c r="A1028" s="11" t="n">
        <v>1024</v>
      </c>
      <c r="B1028" s="11" t="s">
        <v>1035</v>
      </c>
      <c r="C1028" s="12" t="n">
        <v>3</v>
      </c>
      <c r="D1028" s="12" t="n">
        <v>4</v>
      </c>
      <c r="E1028" s="13" t="n">
        <v>10000</v>
      </c>
      <c r="F1028" s="13" t="n">
        <v>0</v>
      </c>
      <c r="G1028" s="13" t="n">
        <v>-2500</v>
      </c>
      <c r="H1028" s="14" t="n">
        <f aca="false">E1028+F1028+G1028</f>
        <v>7500</v>
      </c>
      <c r="I1028" s="15" t="n">
        <f aca="false">IF($H$1182=0,0,H1028/$H$1182)</f>
        <v>0.00062128828297218</v>
      </c>
      <c r="J1028" s="16" t="n">
        <f aca="false">IF(C1028&lt;=0,0,H1028/C1028)</f>
        <v>2500</v>
      </c>
    </row>
    <row r="1029" customFormat="false" ht="15" hidden="false" customHeight="true" outlineLevel="0" collapsed="false">
      <c r="A1029" s="5" t="n">
        <v>1025</v>
      </c>
      <c r="B1029" s="5" t="s">
        <v>1036</v>
      </c>
      <c r="C1029" s="6" t="n">
        <v>3</v>
      </c>
      <c r="D1029" s="6" t="n">
        <v>5</v>
      </c>
      <c r="E1029" s="7" t="n">
        <v>5819.95</v>
      </c>
      <c r="F1029" s="7" t="n">
        <v>0</v>
      </c>
      <c r="G1029" s="7" t="n">
        <v>-2279.98</v>
      </c>
      <c r="H1029" s="8" t="n">
        <f aca="false">E1029+F1029+G1029</f>
        <v>3539.97</v>
      </c>
      <c r="I1029" s="9" t="n">
        <f aca="false">IF($H$1182=0,0,H1029/$H$1182)</f>
        <v>0.000293245584409737</v>
      </c>
      <c r="J1029" s="10" t="n">
        <f aca="false">IF(C1029&lt;=0,0,H1029/C1029)</f>
        <v>1179.99</v>
      </c>
    </row>
    <row r="1030" customFormat="false" ht="15" hidden="false" customHeight="true" outlineLevel="0" collapsed="false">
      <c r="A1030" s="11" t="n">
        <v>1026</v>
      </c>
      <c r="B1030" s="11" t="s">
        <v>1037</v>
      </c>
      <c r="C1030" s="12" t="n">
        <v>3</v>
      </c>
      <c r="D1030" s="12" t="n">
        <v>4</v>
      </c>
      <c r="E1030" s="13" t="n">
        <v>4799.96</v>
      </c>
      <c r="F1030" s="13" t="n">
        <v>-119.99</v>
      </c>
      <c r="G1030" s="13" t="n">
        <v>-1199.99</v>
      </c>
      <c r="H1030" s="14" t="n">
        <f aca="false">E1030+F1030+G1030</f>
        <v>3479.98</v>
      </c>
      <c r="I1030" s="15" t="n">
        <f aca="false">IF($H$1182=0,0,H1030/$H$1182)</f>
        <v>0.000288276106530337</v>
      </c>
      <c r="J1030" s="16" t="n">
        <f aca="false">IF(C1030&lt;=0,0,H1030/C1030)</f>
        <v>1159.99333333333</v>
      </c>
    </row>
    <row r="1031" customFormat="false" ht="15" hidden="false" customHeight="true" outlineLevel="0" collapsed="false">
      <c r="A1031" s="5" t="n">
        <v>1027</v>
      </c>
      <c r="B1031" s="5" t="s">
        <v>1038</v>
      </c>
      <c r="C1031" s="6" t="n">
        <v>3</v>
      </c>
      <c r="D1031" s="6" t="n">
        <v>4</v>
      </c>
      <c r="E1031" s="7" t="n">
        <v>2567.97</v>
      </c>
      <c r="F1031" s="7" t="n">
        <v>0</v>
      </c>
      <c r="G1031" s="7" t="n">
        <v>-599.99</v>
      </c>
      <c r="H1031" s="8" t="n">
        <f aca="false">E1031+F1031+G1031</f>
        <v>1967.98</v>
      </c>
      <c r="I1031" s="9" t="n">
        <f aca="false">IF($H$1182=0,0,H1031/$H$1182)</f>
        <v>0.000163024388683145</v>
      </c>
      <c r="J1031" s="10" t="n">
        <f aca="false">IF(C1031&lt;=0,0,H1031/C1031)</f>
        <v>655.993333333333</v>
      </c>
    </row>
    <row r="1032" customFormat="false" ht="15" hidden="false" customHeight="true" outlineLevel="0" collapsed="false">
      <c r="A1032" s="11" t="n">
        <v>1028</v>
      </c>
      <c r="B1032" s="11" t="s">
        <v>1039</v>
      </c>
      <c r="C1032" s="12" t="n">
        <v>3</v>
      </c>
      <c r="D1032" s="12" t="n">
        <v>3</v>
      </c>
      <c r="E1032" s="13" t="n">
        <v>1725</v>
      </c>
      <c r="F1032" s="13" t="n">
        <v>0</v>
      </c>
      <c r="G1032" s="13" t="n">
        <v>0</v>
      </c>
      <c r="H1032" s="14" t="n">
        <f aca="false">E1032+F1032+G1032</f>
        <v>1725</v>
      </c>
      <c r="I1032" s="15" t="n">
        <f aca="false">IF($H$1182=0,0,H1032/$H$1182)</f>
        <v>0.000142896305083601</v>
      </c>
      <c r="J1032" s="16" t="n">
        <f aca="false">IF(C1032&lt;=0,0,H1032/C1032)</f>
        <v>575</v>
      </c>
    </row>
    <row r="1033" customFormat="false" ht="15" hidden="false" customHeight="true" outlineLevel="0" collapsed="false">
      <c r="A1033" s="5" t="n">
        <v>1029</v>
      </c>
      <c r="B1033" s="5" t="s">
        <v>1040</v>
      </c>
      <c r="C1033" s="6" t="n">
        <v>3</v>
      </c>
      <c r="D1033" s="6" t="n">
        <v>3</v>
      </c>
      <c r="E1033" s="7" t="n">
        <v>1760</v>
      </c>
      <c r="F1033" s="7" t="n">
        <v>-44</v>
      </c>
      <c r="G1033" s="7" t="n">
        <v>-440</v>
      </c>
      <c r="H1033" s="8" t="n">
        <f aca="false">E1033+F1033+G1033</f>
        <v>1276</v>
      </c>
      <c r="I1033" s="9" t="n">
        <f aca="false">IF($H$1182=0,0,H1033/$H$1182)</f>
        <v>0.000105701846543</v>
      </c>
      <c r="J1033" s="10" t="n">
        <f aca="false">IF(C1033&lt;=0,0,H1033/C1033)</f>
        <v>425.333333333333</v>
      </c>
    </row>
    <row r="1034" customFormat="false" ht="15" hidden="false" customHeight="true" outlineLevel="0" collapsed="false">
      <c r="A1034" s="11" t="n">
        <v>1030</v>
      </c>
      <c r="B1034" s="11" t="s">
        <v>1041</v>
      </c>
      <c r="C1034" s="12" t="n">
        <v>3</v>
      </c>
      <c r="D1034" s="12" t="n">
        <v>4</v>
      </c>
      <c r="E1034" s="13" t="n">
        <v>1504.98</v>
      </c>
      <c r="F1034" s="13" t="n">
        <v>0</v>
      </c>
      <c r="G1034" s="13" t="n">
        <v>-352.5</v>
      </c>
      <c r="H1034" s="14" t="n">
        <f aca="false">E1034+F1034+G1034</f>
        <v>1152.48</v>
      </c>
      <c r="I1034" s="15" t="n">
        <f aca="false">IF($H$1182=0,0,H1034/$H$1182)</f>
        <v>9.54696427146371E-005</v>
      </c>
      <c r="J1034" s="16" t="n">
        <f aca="false">IF(C1034&lt;=0,0,H1034/C1034)</f>
        <v>384.16</v>
      </c>
    </row>
    <row r="1035" customFormat="false" ht="15" hidden="false" customHeight="true" outlineLevel="0" collapsed="false">
      <c r="A1035" s="5" t="n">
        <v>1031</v>
      </c>
      <c r="B1035" s="5" t="s">
        <v>1042</v>
      </c>
      <c r="C1035" s="6" t="n">
        <v>3</v>
      </c>
      <c r="D1035" s="6" t="n">
        <v>3</v>
      </c>
      <c r="E1035" s="7" t="n">
        <v>987.99</v>
      </c>
      <c r="F1035" s="7" t="n">
        <v>0</v>
      </c>
      <c r="G1035" s="7" t="n">
        <v>0</v>
      </c>
      <c r="H1035" s="8" t="n">
        <f aca="false">E1035+F1035+G1035</f>
        <v>987.99</v>
      </c>
      <c r="I1035" s="9" t="n">
        <f aca="false">IF($H$1182=0,0,H1035/$H$1182)</f>
        <v>8.18435480924912E-005</v>
      </c>
      <c r="J1035" s="10" t="n">
        <f aca="false">IF(C1035&lt;=0,0,H1035/C1035)</f>
        <v>329.33</v>
      </c>
    </row>
    <row r="1036" customFormat="false" ht="15" hidden="false" customHeight="true" outlineLevel="0" collapsed="false">
      <c r="A1036" s="11" t="n">
        <v>1032</v>
      </c>
      <c r="B1036" s="11" t="s">
        <v>1043</v>
      </c>
      <c r="C1036" s="12" t="n">
        <v>3</v>
      </c>
      <c r="D1036" s="12" t="n">
        <v>3</v>
      </c>
      <c r="E1036" s="13" t="n">
        <v>960</v>
      </c>
      <c r="F1036" s="13" t="n">
        <v>0</v>
      </c>
      <c r="G1036" s="13" t="n">
        <v>0</v>
      </c>
      <c r="H1036" s="14" t="n">
        <f aca="false">E1036+F1036+G1036</f>
        <v>960</v>
      </c>
      <c r="I1036" s="15" t="n">
        <f aca="false">IF($H$1182=0,0,H1036/$H$1182)</f>
        <v>7.9524900220439E-005</v>
      </c>
      <c r="J1036" s="16" t="n">
        <f aca="false">IF(C1036&lt;=0,0,H1036/C1036)</f>
        <v>320</v>
      </c>
    </row>
    <row r="1037" customFormat="false" ht="15" hidden="false" customHeight="true" outlineLevel="0" collapsed="false">
      <c r="A1037" s="5" t="n">
        <v>1033</v>
      </c>
      <c r="B1037" s="5" t="s">
        <v>1044</v>
      </c>
      <c r="C1037" s="6" t="n">
        <v>3</v>
      </c>
      <c r="D1037" s="6" t="n">
        <v>3</v>
      </c>
      <c r="E1037" s="7" t="n">
        <v>899.97</v>
      </c>
      <c r="F1037" s="7" t="n">
        <v>0</v>
      </c>
      <c r="G1037" s="7" t="n">
        <v>0</v>
      </c>
      <c r="H1037" s="8" t="n">
        <f aca="false">E1037+F1037+G1037</f>
        <v>899.97</v>
      </c>
      <c r="I1037" s="9" t="n">
        <f aca="false">IF($H$1182=0,0,H1037/$H$1182)</f>
        <v>7.45521088035297E-005</v>
      </c>
      <c r="J1037" s="10" t="n">
        <f aca="false">IF(C1037&lt;=0,0,H1037/C1037)</f>
        <v>299.99</v>
      </c>
    </row>
    <row r="1038" customFormat="false" ht="15" hidden="false" customHeight="true" outlineLevel="0" collapsed="false">
      <c r="A1038" s="11" t="n">
        <v>1034</v>
      </c>
      <c r="B1038" s="11" t="s">
        <v>1045</v>
      </c>
      <c r="C1038" s="12" t="n">
        <v>3</v>
      </c>
      <c r="D1038" s="12" t="n">
        <v>3</v>
      </c>
      <c r="E1038" s="13" t="n">
        <v>869.97</v>
      </c>
      <c r="F1038" s="13" t="n">
        <v>0</v>
      </c>
      <c r="G1038" s="13" t="n">
        <v>0</v>
      </c>
      <c r="H1038" s="14" t="n">
        <f aca="false">E1038+F1038+G1038</f>
        <v>869.97</v>
      </c>
      <c r="I1038" s="15" t="n">
        <f aca="false">IF($H$1182=0,0,H1038/$H$1182)</f>
        <v>7.2066955671641E-005</v>
      </c>
      <c r="J1038" s="16" t="n">
        <f aca="false">IF(C1038&lt;=0,0,H1038/C1038)</f>
        <v>289.99</v>
      </c>
    </row>
    <row r="1039" customFormat="false" ht="15" hidden="false" customHeight="true" outlineLevel="0" collapsed="false">
      <c r="A1039" s="5" t="n">
        <v>1035</v>
      </c>
      <c r="B1039" s="5" t="s">
        <v>1046</v>
      </c>
      <c r="C1039" s="6" t="n">
        <v>3</v>
      </c>
      <c r="D1039" s="6" t="n">
        <v>4</v>
      </c>
      <c r="E1039" s="7" t="n">
        <v>1160</v>
      </c>
      <c r="F1039" s="7" t="n">
        <v>-29</v>
      </c>
      <c r="G1039" s="7" t="n">
        <v>-290</v>
      </c>
      <c r="H1039" s="8" t="n">
        <f aca="false">E1039+F1039+G1039</f>
        <v>841</v>
      </c>
      <c r="I1039" s="9" t="n">
        <f aca="false">IF($H$1182=0,0,H1039/$H$1182)</f>
        <v>6.96671261306138E-005</v>
      </c>
      <c r="J1039" s="10" t="n">
        <f aca="false">IF(C1039&lt;=0,0,H1039/C1039)</f>
        <v>280.333333333333</v>
      </c>
    </row>
    <row r="1040" customFormat="false" ht="15" hidden="false" customHeight="true" outlineLevel="0" collapsed="false">
      <c r="A1040" s="11" t="n">
        <v>1036</v>
      </c>
      <c r="B1040" s="11" t="s">
        <v>1047</v>
      </c>
      <c r="C1040" s="12" t="n">
        <v>3</v>
      </c>
      <c r="D1040" s="12" t="n">
        <v>4</v>
      </c>
      <c r="E1040" s="13" t="n">
        <v>1999.92</v>
      </c>
      <c r="F1040" s="13" t="n">
        <v>0</v>
      </c>
      <c r="G1040" s="13" t="n">
        <v>-1249.95</v>
      </c>
      <c r="H1040" s="14" t="n">
        <f aca="false">E1040+F1040+G1040</f>
        <v>749.97</v>
      </c>
      <c r="I1040" s="15" t="n">
        <f aca="false">IF($H$1182=0,0,H1040/$H$1182)</f>
        <v>6.21263431440861E-005</v>
      </c>
      <c r="J1040" s="16" t="n">
        <f aca="false">IF(C1040&lt;=0,0,H1040/C1040)</f>
        <v>249.99</v>
      </c>
    </row>
    <row r="1041" customFormat="false" ht="15" hidden="false" customHeight="true" outlineLevel="0" collapsed="false">
      <c r="A1041" s="5" t="n">
        <v>1037</v>
      </c>
      <c r="B1041" s="5" t="s">
        <v>1048</v>
      </c>
      <c r="C1041" s="6" t="n">
        <v>3</v>
      </c>
      <c r="D1041" s="6" t="n">
        <v>3</v>
      </c>
      <c r="E1041" s="7" t="n">
        <v>689.97</v>
      </c>
      <c r="F1041" s="7" t="n">
        <v>-22.99</v>
      </c>
      <c r="G1041" s="7" t="n">
        <v>0</v>
      </c>
      <c r="H1041" s="8" t="n">
        <f aca="false">E1041+F1041+G1041</f>
        <v>666.98</v>
      </c>
      <c r="I1041" s="9" t="n">
        <f aca="false">IF($H$1182=0,0,H1041/$H$1182)</f>
        <v>5.52515811969046E-005</v>
      </c>
      <c r="J1041" s="10" t="n">
        <f aca="false">IF(C1041&lt;=0,0,H1041/C1041)</f>
        <v>222.326666666667</v>
      </c>
    </row>
    <row r="1042" customFormat="false" ht="15" hidden="false" customHeight="true" outlineLevel="0" collapsed="false">
      <c r="A1042" s="11" t="n">
        <v>1038</v>
      </c>
      <c r="B1042" s="11" t="s">
        <v>1049</v>
      </c>
      <c r="C1042" s="12" t="n">
        <v>3</v>
      </c>
      <c r="D1042" s="12" t="n">
        <v>3</v>
      </c>
      <c r="E1042" s="13" t="n">
        <v>659.97</v>
      </c>
      <c r="F1042" s="13" t="n">
        <v>0</v>
      </c>
      <c r="G1042" s="13" t="n">
        <v>0</v>
      </c>
      <c r="H1042" s="14" t="n">
        <f aca="false">E1042+F1042+G1042</f>
        <v>659.97</v>
      </c>
      <c r="I1042" s="15" t="n">
        <f aca="false">IF($H$1182=0,0,H1042/$H$1182)</f>
        <v>5.467088374842E-005</v>
      </c>
      <c r="J1042" s="16" t="n">
        <f aca="false">IF(C1042&lt;=0,0,H1042/C1042)</f>
        <v>219.99</v>
      </c>
    </row>
    <row r="1043" customFormat="false" ht="15" hidden="false" customHeight="true" outlineLevel="0" collapsed="false">
      <c r="A1043" s="5" t="n">
        <v>1039</v>
      </c>
      <c r="B1043" s="5" t="s">
        <v>1050</v>
      </c>
      <c r="C1043" s="6" t="n">
        <v>3</v>
      </c>
      <c r="D1043" s="6" t="n">
        <v>3</v>
      </c>
      <c r="E1043" s="7" t="n">
        <v>949.96</v>
      </c>
      <c r="F1043" s="7" t="n">
        <v>0</v>
      </c>
      <c r="G1043" s="7" t="n">
        <v>-349.99</v>
      </c>
      <c r="H1043" s="8" t="n">
        <f aca="false">E1043+F1043+G1043</f>
        <v>599.97</v>
      </c>
      <c r="I1043" s="9" t="n">
        <f aca="false">IF($H$1182=0,0,H1043/$H$1182)</f>
        <v>4.97005774846425E-005</v>
      </c>
      <c r="J1043" s="10" t="n">
        <f aca="false">IF(C1043&lt;=0,0,H1043/C1043)</f>
        <v>199.99</v>
      </c>
    </row>
    <row r="1044" customFormat="false" ht="15" hidden="false" customHeight="true" outlineLevel="0" collapsed="false">
      <c r="A1044" s="11" t="n">
        <v>1040</v>
      </c>
      <c r="B1044" s="11" t="s">
        <v>1051</v>
      </c>
      <c r="C1044" s="12" t="n">
        <v>3</v>
      </c>
      <c r="D1044" s="12" t="n">
        <v>3</v>
      </c>
      <c r="E1044" s="13" t="n">
        <v>569.97</v>
      </c>
      <c r="F1044" s="13" t="n">
        <v>-9.5</v>
      </c>
      <c r="G1044" s="13" t="n">
        <v>0</v>
      </c>
      <c r="H1044" s="14" t="n">
        <f aca="false">E1044+F1044+G1044</f>
        <v>560.47</v>
      </c>
      <c r="I1044" s="15" t="n">
        <f aca="false">IF($H$1182=0,0,H1044/$H$1182)</f>
        <v>4.64284591943224E-005</v>
      </c>
      <c r="J1044" s="16" t="n">
        <f aca="false">IF(C1044&lt;=0,0,H1044/C1044)</f>
        <v>186.823333333333</v>
      </c>
    </row>
    <row r="1045" customFormat="false" ht="15" hidden="false" customHeight="true" outlineLevel="0" collapsed="false">
      <c r="A1045" s="5" t="n">
        <v>1041</v>
      </c>
      <c r="B1045" s="5" t="s">
        <v>1052</v>
      </c>
      <c r="C1045" s="6" t="n">
        <v>3</v>
      </c>
      <c r="D1045" s="6" t="n">
        <v>2</v>
      </c>
      <c r="E1045" s="7" t="n">
        <v>479.97</v>
      </c>
      <c r="F1045" s="7" t="n">
        <v>0</v>
      </c>
      <c r="G1045" s="7" t="n">
        <v>0</v>
      </c>
      <c r="H1045" s="8" t="n">
        <f aca="false">E1045+F1045+G1045</f>
        <v>479.97</v>
      </c>
      <c r="I1045" s="9" t="n">
        <f aca="false">IF($H$1182=0,0,H1045/$H$1182)</f>
        <v>3.97599649570876E-005</v>
      </c>
      <c r="J1045" s="10" t="n">
        <f aca="false">IF(C1045&lt;=0,0,H1045/C1045)</f>
        <v>159.99</v>
      </c>
    </row>
    <row r="1046" customFormat="false" ht="15" hidden="false" customHeight="true" outlineLevel="0" collapsed="false">
      <c r="A1046" s="11" t="n">
        <v>1042</v>
      </c>
      <c r="B1046" s="11" t="s">
        <v>1053</v>
      </c>
      <c r="C1046" s="12" t="n">
        <v>3</v>
      </c>
      <c r="D1046" s="12" t="n">
        <v>3</v>
      </c>
      <c r="E1046" s="13" t="n">
        <v>449.97</v>
      </c>
      <c r="F1046" s="13" t="n">
        <v>0</v>
      </c>
      <c r="G1046" s="13" t="n">
        <v>0</v>
      </c>
      <c r="H1046" s="14" t="n">
        <f aca="false">E1046+F1046+G1046</f>
        <v>449.97</v>
      </c>
      <c r="I1046" s="15" t="n">
        <f aca="false">IF($H$1182=0,0,H1046/$H$1182)</f>
        <v>3.72748118251989E-005</v>
      </c>
      <c r="J1046" s="16" t="n">
        <f aca="false">IF(C1046&lt;=0,0,H1046/C1046)</f>
        <v>149.99</v>
      </c>
    </row>
    <row r="1047" customFormat="false" ht="15" hidden="false" customHeight="true" outlineLevel="0" collapsed="false">
      <c r="A1047" s="5" t="n">
        <v>1043</v>
      </c>
      <c r="B1047" s="5" t="s">
        <v>1054</v>
      </c>
      <c r="C1047" s="6" t="n">
        <v>3</v>
      </c>
      <c r="D1047" s="6" t="n">
        <v>4</v>
      </c>
      <c r="E1047" s="7" t="n">
        <v>576.89</v>
      </c>
      <c r="F1047" s="7" t="n">
        <v>-13.73</v>
      </c>
      <c r="G1047" s="7" t="n">
        <v>-137.3</v>
      </c>
      <c r="H1047" s="8" t="n">
        <f aca="false">E1047+F1047+G1047</f>
        <v>425.86</v>
      </c>
      <c r="I1047" s="9" t="n">
        <f aca="false">IF($H$1182=0,0,H1047/$H$1182)</f>
        <v>3.52775770915377E-005</v>
      </c>
      <c r="J1047" s="10" t="n">
        <f aca="false">IF(C1047&lt;=0,0,H1047/C1047)</f>
        <v>141.953333333333</v>
      </c>
    </row>
    <row r="1048" customFormat="false" ht="15" hidden="false" customHeight="true" outlineLevel="0" collapsed="false">
      <c r="A1048" s="11" t="n">
        <v>1044</v>
      </c>
      <c r="B1048" s="11" t="s">
        <v>1055</v>
      </c>
      <c r="C1048" s="12" t="n">
        <v>3</v>
      </c>
      <c r="D1048" s="12" t="n">
        <v>5</v>
      </c>
      <c r="E1048" s="13" t="n">
        <v>665</v>
      </c>
      <c r="F1048" s="13" t="n">
        <v>0</v>
      </c>
      <c r="G1048" s="13" t="n">
        <v>-266</v>
      </c>
      <c r="H1048" s="14" t="n">
        <f aca="false">E1048+F1048+G1048</f>
        <v>399</v>
      </c>
      <c r="I1048" s="15" t="n">
        <f aca="false">IF($H$1182=0,0,H1048/$H$1182)</f>
        <v>3.305253665412E-005</v>
      </c>
      <c r="J1048" s="16" t="n">
        <f aca="false">IF(C1048&lt;=0,0,H1048/C1048)</f>
        <v>133</v>
      </c>
    </row>
    <row r="1049" customFormat="false" ht="15" hidden="false" customHeight="true" outlineLevel="0" collapsed="false">
      <c r="A1049" s="5" t="n">
        <v>1045</v>
      </c>
      <c r="B1049" s="5" t="s">
        <v>1056</v>
      </c>
      <c r="C1049" s="6" t="n">
        <v>3</v>
      </c>
      <c r="D1049" s="6" t="n">
        <v>3</v>
      </c>
      <c r="E1049" s="7" t="n">
        <v>389.97</v>
      </c>
      <c r="F1049" s="7" t="n">
        <v>0</v>
      </c>
      <c r="G1049" s="7" t="n">
        <v>0</v>
      </c>
      <c r="H1049" s="8" t="n">
        <f aca="false">E1049+F1049+G1049</f>
        <v>389.97</v>
      </c>
      <c r="I1049" s="9" t="n">
        <f aca="false">IF($H$1182=0,0,H1049/$H$1182)</f>
        <v>3.23045055614215E-005</v>
      </c>
      <c r="J1049" s="10" t="n">
        <f aca="false">IF(C1049&lt;=0,0,H1049/C1049)</f>
        <v>129.99</v>
      </c>
    </row>
    <row r="1050" customFormat="false" ht="15" hidden="false" customHeight="true" outlineLevel="0" collapsed="false">
      <c r="A1050" s="11" t="n">
        <v>1046</v>
      </c>
      <c r="B1050" s="11" t="s">
        <v>1057</v>
      </c>
      <c r="C1050" s="12" t="n">
        <v>3</v>
      </c>
      <c r="D1050" s="12" t="n">
        <v>3</v>
      </c>
      <c r="E1050" s="13" t="n">
        <v>385.39</v>
      </c>
      <c r="F1050" s="13" t="n">
        <v>0</v>
      </c>
      <c r="G1050" s="13" t="n">
        <v>0</v>
      </c>
      <c r="H1050" s="14" t="n">
        <f aca="false">E1050+F1050+G1050</f>
        <v>385.39</v>
      </c>
      <c r="I1050" s="15" t="n">
        <f aca="false">IF($H$1182=0,0,H1050/$H$1182)</f>
        <v>3.19251055166198E-005</v>
      </c>
      <c r="J1050" s="16" t="n">
        <f aca="false">IF(C1050&lt;=0,0,H1050/C1050)</f>
        <v>128.463333333333</v>
      </c>
    </row>
    <row r="1051" customFormat="false" ht="15" hidden="false" customHeight="true" outlineLevel="0" collapsed="false">
      <c r="A1051" s="5" t="n">
        <v>1047</v>
      </c>
      <c r="B1051" s="5" t="s">
        <v>1058</v>
      </c>
      <c r="C1051" s="6" t="n">
        <v>3</v>
      </c>
      <c r="D1051" s="6" t="n">
        <v>3</v>
      </c>
      <c r="E1051" s="7" t="n">
        <v>330</v>
      </c>
      <c r="F1051" s="7" t="n">
        <v>0</v>
      </c>
      <c r="G1051" s="7" t="n">
        <v>0</v>
      </c>
      <c r="H1051" s="8" t="n">
        <f aca="false">E1051+F1051+G1051</f>
        <v>330</v>
      </c>
      <c r="I1051" s="9" t="n">
        <f aca="false">IF($H$1182=0,0,H1051/$H$1182)</f>
        <v>2.73366844507759E-005</v>
      </c>
      <c r="J1051" s="10" t="n">
        <f aca="false">IF(C1051&lt;=0,0,H1051/C1051)</f>
        <v>110</v>
      </c>
    </row>
    <row r="1052" customFormat="false" ht="15" hidden="false" customHeight="true" outlineLevel="0" collapsed="false">
      <c r="A1052" s="11" t="n">
        <v>1048</v>
      </c>
      <c r="B1052" s="11" t="s">
        <v>1059</v>
      </c>
      <c r="C1052" s="12" t="n">
        <v>3</v>
      </c>
      <c r="D1052" s="12" t="n">
        <v>4</v>
      </c>
      <c r="E1052" s="13" t="n">
        <v>550</v>
      </c>
      <c r="F1052" s="13" t="n">
        <v>-11</v>
      </c>
      <c r="G1052" s="13" t="n">
        <v>-209</v>
      </c>
      <c r="H1052" s="14" t="n">
        <f aca="false">E1052+F1052+G1052</f>
        <v>330</v>
      </c>
      <c r="I1052" s="15" t="n">
        <f aca="false">IF($H$1182=0,0,H1052/$H$1182)</f>
        <v>2.73366844507759E-005</v>
      </c>
      <c r="J1052" s="16" t="n">
        <f aca="false">IF(C1052&lt;=0,0,H1052/C1052)</f>
        <v>110</v>
      </c>
    </row>
    <row r="1053" customFormat="false" ht="15" hidden="false" customHeight="true" outlineLevel="0" collapsed="false">
      <c r="A1053" s="5" t="n">
        <v>1049</v>
      </c>
      <c r="B1053" s="5" t="s">
        <v>1060</v>
      </c>
      <c r="C1053" s="6" t="n">
        <v>3</v>
      </c>
      <c r="D1053" s="6" t="n">
        <v>4</v>
      </c>
      <c r="E1053" s="7" t="n">
        <v>632.27</v>
      </c>
      <c r="F1053" s="7" t="n">
        <v>-164.99</v>
      </c>
      <c r="G1053" s="7" t="n">
        <v>-137.3</v>
      </c>
      <c r="H1053" s="8" t="n">
        <f aca="false">E1053+F1053+G1053</f>
        <v>329.98</v>
      </c>
      <c r="I1053" s="9" t="n">
        <f aca="false">IF($H$1182=0,0,H1053/$H$1182)</f>
        <v>2.73350276820213E-005</v>
      </c>
      <c r="J1053" s="10" t="n">
        <f aca="false">IF(C1053&lt;=0,0,H1053/C1053)</f>
        <v>109.993333333333</v>
      </c>
    </row>
    <row r="1054" customFormat="false" ht="15" hidden="false" customHeight="true" outlineLevel="0" collapsed="false">
      <c r="A1054" s="11" t="n">
        <v>1050</v>
      </c>
      <c r="B1054" s="11" t="s">
        <v>1061</v>
      </c>
      <c r="C1054" s="12" t="n">
        <v>3</v>
      </c>
      <c r="D1054" s="12" t="n">
        <v>4</v>
      </c>
      <c r="E1054" s="13" t="n">
        <v>399.96</v>
      </c>
      <c r="F1054" s="13" t="n">
        <v>0</v>
      </c>
      <c r="G1054" s="13" t="n">
        <v>-99.99</v>
      </c>
      <c r="H1054" s="14" t="n">
        <f aca="false">E1054+F1054+G1054</f>
        <v>299.97</v>
      </c>
      <c r="I1054" s="15" t="n">
        <f aca="false">IF($H$1182=0,0,H1054/$H$1182)</f>
        <v>2.48490461657553E-005</v>
      </c>
      <c r="J1054" s="16" t="n">
        <f aca="false">IF(C1054&lt;=0,0,H1054/C1054)</f>
        <v>99.99</v>
      </c>
    </row>
    <row r="1055" customFormat="false" ht="15" hidden="false" customHeight="true" outlineLevel="0" collapsed="false">
      <c r="A1055" s="5" t="n">
        <v>1051</v>
      </c>
      <c r="B1055" s="5" t="s">
        <v>1062</v>
      </c>
      <c r="C1055" s="6" t="n">
        <v>3</v>
      </c>
      <c r="D1055" s="6" t="n">
        <v>3</v>
      </c>
      <c r="E1055" s="7" t="n">
        <v>299.97</v>
      </c>
      <c r="F1055" s="7" t="n">
        <v>0</v>
      </c>
      <c r="G1055" s="7" t="n">
        <v>0</v>
      </c>
      <c r="H1055" s="8" t="n">
        <f aca="false">E1055+F1055+G1055</f>
        <v>299.97</v>
      </c>
      <c r="I1055" s="9" t="n">
        <f aca="false">IF($H$1182=0,0,H1055/$H$1182)</f>
        <v>2.48490461657553E-005</v>
      </c>
      <c r="J1055" s="10" t="n">
        <f aca="false">IF(C1055&lt;=0,0,H1055/C1055)</f>
        <v>99.99</v>
      </c>
    </row>
    <row r="1056" customFormat="false" ht="15" hidden="false" customHeight="true" outlineLevel="0" collapsed="false">
      <c r="A1056" s="11" t="n">
        <v>1052</v>
      </c>
      <c r="B1056" s="11" t="s">
        <v>1063</v>
      </c>
      <c r="C1056" s="12" t="n">
        <v>3</v>
      </c>
      <c r="D1056" s="12" t="n">
        <v>3</v>
      </c>
      <c r="E1056" s="13" t="n">
        <v>285</v>
      </c>
      <c r="F1056" s="13" t="n">
        <v>0</v>
      </c>
      <c r="G1056" s="13" t="n">
        <v>0</v>
      </c>
      <c r="H1056" s="14" t="n">
        <f aca="false">E1056+F1056+G1056</f>
        <v>285</v>
      </c>
      <c r="I1056" s="15" t="n">
        <f aca="false">IF($H$1182=0,0,H1056/$H$1182)</f>
        <v>2.36089547529428E-005</v>
      </c>
      <c r="J1056" s="16" t="n">
        <f aca="false">IF(C1056&lt;=0,0,H1056/C1056)</f>
        <v>95</v>
      </c>
    </row>
    <row r="1057" customFormat="false" ht="15" hidden="false" customHeight="true" outlineLevel="0" collapsed="false">
      <c r="A1057" s="5" t="n">
        <v>1053</v>
      </c>
      <c r="B1057" s="5" t="s">
        <v>1064</v>
      </c>
      <c r="C1057" s="6" t="n">
        <v>3</v>
      </c>
      <c r="D1057" s="6" t="n">
        <v>2</v>
      </c>
      <c r="E1057" s="7" t="n">
        <v>284.97</v>
      </c>
      <c r="F1057" s="7" t="n">
        <v>0</v>
      </c>
      <c r="G1057" s="7" t="n">
        <v>0</v>
      </c>
      <c r="H1057" s="8" t="n">
        <f aca="false">E1057+F1057+G1057</f>
        <v>284.97</v>
      </c>
      <c r="I1057" s="9" t="n">
        <f aca="false">IF($H$1182=0,0,H1057/$H$1182)</f>
        <v>2.3606469599811E-005</v>
      </c>
      <c r="J1057" s="10" t="n">
        <f aca="false">IF(C1057&lt;=0,0,H1057/C1057)</f>
        <v>94.99</v>
      </c>
    </row>
    <row r="1058" customFormat="false" ht="15" hidden="false" customHeight="true" outlineLevel="0" collapsed="false">
      <c r="A1058" s="11" t="n">
        <v>1054</v>
      </c>
      <c r="B1058" s="11" t="s">
        <v>1065</v>
      </c>
      <c r="C1058" s="12" t="n">
        <v>3</v>
      </c>
      <c r="D1058" s="12" t="n">
        <v>2</v>
      </c>
      <c r="E1058" s="13" t="n">
        <v>225</v>
      </c>
      <c r="F1058" s="13" t="n">
        <v>0</v>
      </c>
      <c r="G1058" s="13" t="n">
        <v>0</v>
      </c>
      <c r="H1058" s="14" t="n">
        <f aca="false">E1058+F1058+G1058</f>
        <v>225</v>
      </c>
      <c r="I1058" s="15" t="n">
        <f aca="false">IF($H$1182=0,0,H1058/$H$1182)</f>
        <v>1.86386484891654E-005</v>
      </c>
      <c r="J1058" s="16" t="n">
        <f aca="false">IF(C1058&lt;=0,0,H1058/C1058)</f>
        <v>75</v>
      </c>
    </row>
    <row r="1059" customFormat="false" ht="15" hidden="false" customHeight="true" outlineLevel="0" collapsed="false">
      <c r="A1059" s="5" t="n">
        <v>1055</v>
      </c>
      <c r="B1059" s="5" t="s">
        <v>1066</v>
      </c>
      <c r="C1059" s="6" t="n">
        <v>3</v>
      </c>
      <c r="D1059" s="6" t="n">
        <v>3</v>
      </c>
      <c r="E1059" s="7" t="n">
        <v>224.97</v>
      </c>
      <c r="F1059" s="7" t="n">
        <v>0</v>
      </c>
      <c r="G1059" s="7" t="n">
        <v>0</v>
      </c>
      <c r="H1059" s="8" t="n">
        <f aca="false">E1059+F1059+G1059</f>
        <v>224.97</v>
      </c>
      <c r="I1059" s="9" t="n">
        <f aca="false">IF($H$1182=0,0,H1059/$H$1182)</f>
        <v>1.86361633360335E-005</v>
      </c>
      <c r="J1059" s="10" t="n">
        <f aca="false">IF(C1059&lt;=0,0,H1059/C1059)</f>
        <v>74.99</v>
      </c>
    </row>
    <row r="1060" customFormat="false" ht="15" hidden="false" customHeight="true" outlineLevel="0" collapsed="false">
      <c r="A1060" s="11" t="n">
        <v>1056</v>
      </c>
      <c r="B1060" s="11" t="s">
        <v>1067</v>
      </c>
      <c r="C1060" s="12" t="n">
        <v>3</v>
      </c>
      <c r="D1060" s="12" t="n">
        <v>4</v>
      </c>
      <c r="E1060" s="13" t="n">
        <v>216.64</v>
      </c>
      <c r="F1060" s="13" t="n">
        <v>0</v>
      </c>
      <c r="G1060" s="13" t="n">
        <v>-59</v>
      </c>
      <c r="H1060" s="14" t="n">
        <f aca="false">E1060+F1060+G1060</f>
        <v>157.64</v>
      </c>
      <c r="I1060" s="15" t="n">
        <f aca="false">IF($H$1182=0,0,H1060/$H$1182)</f>
        <v>1.30586513236979E-005</v>
      </c>
      <c r="J1060" s="16" t="n">
        <f aca="false">IF(C1060&lt;=0,0,H1060/C1060)</f>
        <v>52.5466666666667</v>
      </c>
    </row>
    <row r="1061" customFormat="false" ht="15" hidden="false" customHeight="true" outlineLevel="0" collapsed="false">
      <c r="A1061" s="5" t="n">
        <v>1057</v>
      </c>
      <c r="B1061" s="5" t="s">
        <v>1068</v>
      </c>
      <c r="C1061" s="6" t="n">
        <v>3</v>
      </c>
      <c r="D1061" s="6" t="n">
        <v>2</v>
      </c>
      <c r="E1061" s="7" t="n">
        <v>149.97</v>
      </c>
      <c r="F1061" s="7" t="n">
        <v>0</v>
      </c>
      <c r="G1061" s="7" t="n">
        <v>0</v>
      </c>
      <c r="H1061" s="8" t="n">
        <f aca="false">E1061+F1061+G1061</f>
        <v>149.97</v>
      </c>
      <c r="I1061" s="9" t="n">
        <f aca="false">IF($H$1182=0,0,H1061/$H$1182)</f>
        <v>1.24232805063117E-005</v>
      </c>
      <c r="J1061" s="10" t="n">
        <f aca="false">IF(C1061&lt;=0,0,H1061/C1061)</f>
        <v>49.99</v>
      </c>
    </row>
    <row r="1062" customFormat="false" ht="15" hidden="false" customHeight="true" outlineLevel="0" collapsed="false">
      <c r="A1062" s="11" t="n">
        <v>1058</v>
      </c>
      <c r="B1062" s="11" t="s">
        <v>1069</v>
      </c>
      <c r="C1062" s="12" t="n">
        <v>3</v>
      </c>
      <c r="D1062" s="12" t="n">
        <v>2</v>
      </c>
      <c r="E1062" s="13" t="n">
        <v>149.97</v>
      </c>
      <c r="F1062" s="13" t="n">
        <v>-2.41</v>
      </c>
      <c r="G1062" s="13" t="n">
        <v>0</v>
      </c>
      <c r="H1062" s="14" t="n">
        <f aca="false">E1062+F1062+G1062</f>
        <v>147.56</v>
      </c>
      <c r="I1062" s="15" t="n">
        <f aca="false">IF($H$1182=0,0,H1062/$H$1182)</f>
        <v>1.22236398713833E-005</v>
      </c>
      <c r="J1062" s="16" t="n">
        <f aca="false">IF(C1062&lt;=0,0,H1062/C1062)</f>
        <v>49.1866666666667</v>
      </c>
    </row>
    <row r="1063" customFormat="false" ht="15" hidden="false" customHeight="true" outlineLevel="0" collapsed="false">
      <c r="A1063" s="5" t="n">
        <v>1059</v>
      </c>
      <c r="B1063" s="5" t="s">
        <v>1070</v>
      </c>
      <c r="C1063" s="6" t="n">
        <v>3</v>
      </c>
      <c r="D1063" s="6" t="n">
        <v>2</v>
      </c>
      <c r="E1063" s="7" t="n">
        <v>135</v>
      </c>
      <c r="F1063" s="7" t="n">
        <v>0</v>
      </c>
      <c r="G1063" s="7" t="n">
        <v>0</v>
      </c>
      <c r="H1063" s="8" t="n">
        <f aca="false">E1063+F1063+G1063</f>
        <v>135</v>
      </c>
      <c r="I1063" s="9" t="n">
        <f aca="false">IF($H$1182=0,0,H1063/$H$1182)</f>
        <v>1.11831890934992E-005</v>
      </c>
      <c r="J1063" s="10" t="n">
        <f aca="false">IF(C1063&lt;=0,0,H1063/C1063)</f>
        <v>45</v>
      </c>
    </row>
    <row r="1064" customFormat="false" ht="15" hidden="false" customHeight="true" outlineLevel="0" collapsed="false">
      <c r="A1064" s="11" t="n">
        <v>1060</v>
      </c>
      <c r="B1064" s="11" t="s">
        <v>1071</v>
      </c>
      <c r="C1064" s="12" t="n">
        <v>3</v>
      </c>
      <c r="D1064" s="12" t="n">
        <v>2</v>
      </c>
      <c r="E1064" s="13" t="n">
        <v>159.96</v>
      </c>
      <c r="F1064" s="13" t="n">
        <v>0</v>
      </c>
      <c r="G1064" s="13" t="n">
        <v>-39.99</v>
      </c>
      <c r="H1064" s="14" t="n">
        <f aca="false">E1064+F1064+G1064</f>
        <v>119.97</v>
      </c>
      <c r="I1064" s="15" t="n">
        <f aca="false">IF($H$1182=0,0,H1064/$H$1182)</f>
        <v>9.93812737442299E-006</v>
      </c>
      <c r="J1064" s="16" t="n">
        <f aca="false">IF(C1064&lt;=0,0,H1064/C1064)</f>
        <v>39.99</v>
      </c>
    </row>
    <row r="1065" customFormat="false" ht="15" hidden="false" customHeight="true" outlineLevel="0" collapsed="false">
      <c r="A1065" s="5" t="n">
        <v>1061</v>
      </c>
      <c r="B1065" s="5" t="s">
        <v>1072</v>
      </c>
      <c r="C1065" s="6" t="n">
        <v>3</v>
      </c>
      <c r="D1065" s="6" t="n">
        <v>2</v>
      </c>
      <c r="E1065" s="7" t="n">
        <v>105</v>
      </c>
      <c r="F1065" s="7" t="n">
        <v>0</v>
      </c>
      <c r="G1065" s="7" t="n">
        <v>0</v>
      </c>
      <c r="H1065" s="8" t="n">
        <f aca="false">E1065+F1065+G1065</f>
        <v>105</v>
      </c>
      <c r="I1065" s="9" t="n">
        <f aca="false">IF($H$1182=0,0,H1065/$H$1182)</f>
        <v>8.69803596161052E-006</v>
      </c>
      <c r="J1065" s="10" t="n">
        <f aca="false">IF(C1065&lt;=0,0,H1065/C1065)</f>
        <v>35</v>
      </c>
    </row>
    <row r="1066" customFormat="false" ht="15" hidden="false" customHeight="true" outlineLevel="0" collapsed="false">
      <c r="A1066" s="11" t="n">
        <v>1062</v>
      </c>
      <c r="B1066" s="11" t="s">
        <v>1073</v>
      </c>
      <c r="C1066" s="12" t="n">
        <v>3</v>
      </c>
      <c r="D1066" s="12" t="n">
        <v>1</v>
      </c>
      <c r="E1066" s="13" t="n">
        <v>89.97</v>
      </c>
      <c r="F1066" s="13" t="n">
        <v>-4.5</v>
      </c>
      <c r="G1066" s="13" t="n">
        <v>0</v>
      </c>
      <c r="H1066" s="14" t="n">
        <f aca="false">E1066+F1066+G1066</f>
        <v>85.47</v>
      </c>
      <c r="I1066" s="15" t="n">
        <f aca="false">IF($H$1182=0,0,H1066/$H$1182)</f>
        <v>7.08020127275096E-006</v>
      </c>
      <c r="J1066" s="16" t="n">
        <f aca="false">IF(C1066&lt;=0,0,H1066/C1066)</f>
        <v>28.49</v>
      </c>
    </row>
    <row r="1067" customFormat="false" ht="15" hidden="false" customHeight="true" outlineLevel="0" collapsed="false">
      <c r="A1067" s="5" t="n">
        <v>1063</v>
      </c>
      <c r="B1067" s="5" t="s">
        <v>1074</v>
      </c>
      <c r="C1067" s="6" t="n">
        <v>3</v>
      </c>
      <c r="D1067" s="6" t="n">
        <v>4</v>
      </c>
      <c r="E1067" s="7" t="n">
        <v>100</v>
      </c>
      <c r="F1067" s="7" t="n">
        <v>0</v>
      </c>
      <c r="G1067" s="7" t="n">
        <v>-25</v>
      </c>
      <c r="H1067" s="8" t="n">
        <f aca="false">E1067+F1067+G1067</f>
        <v>75</v>
      </c>
      <c r="I1067" s="9" t="n">
        <f aca="false">IF($H$1182=0,0,H1067/$H$1182)</f>
        <v>6.2128828297218E-006</v>
      </c>
      <c r="J1067" s="10" t="n">
        <f aca="false">IF(C1067&lt;=0,0,H1067/C1067)</f>
        <v>25</v>
      </c>
    </row>
    <row r="1068" customFormat="false" ht="15" hidden="false" customHeight="true" outlineLevel="0" collapsed="false">
      <c r="A1068" s="11" t="n">
        <v>1064</v>
      </c>
      <c r="B1068" s="11" t="s">
        <v>1075</v>
      </c>
      <c r="C1068" s="12" t="n">
        <v>3</v>
      </c>
      <c r="D1068" s="12" t="n">
        <v>7</v>
      </c>
      <c r="E1068" s="13" t="n">
        <v>274.89</v>
      </c>
      <c r="F1068" s="13" t="n">
        <v>-2.5</v>
      </c>
      <c r="G1068" s="13" t="n">
        <v>-197.42</v>
      </c>
      <c r="H1068" s="14" t="n">
        <f aca="false">E1068+F1068+G1068</f>
        <v>74.97</v>
      </c>
      <c r="I1068" s="15" t="n">
        <f aca="false">IF($H$1182=0,0,H1068/$H$1182)</f>
        <v>6.21039767658991E-006</v>
      </c>
      <c r="J1068" s="16" t="n">
        <f aca="false">IF(C1068&lt;=0,0,H1068/C1068)</f>
        <v>24.99</v>
      </c>
    </row>
    <row r="1069" customFormat="false" ht="15" hidden="false" customHeight="true" outlineLevel="0" collapsed="false">
      <c r="A1069" s="5" t="n">
        <v>1065</v>
      </c>
      <c r="B1069" s="5" t="s">
        <v>1076</v>
      </c>
      <c r="C1069" s="6" t="n">
        <v>3</v>
      </c>
      <c r="D1069" s="6" t="n">
        <v>3</v>
      </c>
      <c r="E1069" s="7" t="n">
        <v>124.95</v>
      </c>
      <c r="F1069" s="7" t="n">
        <v>-2.5</v>
      </c>
      <c r="G1069" s="7" t="n">
        <v>-47.48</v>
      </c>
      <c r="H1069" s="8" t="n">
        <f aca="false">E1069+F1069+G1069</f>
        <v>74.97</v>
      </c>
      <c r="I1069" s="9" t="n">
        <f aca="false">IF($H$1182=0,0,H1069/$H$1182)</f>
        <v>6.21039767658991E-006</v>
      </c>
      <c r="J1069" s="10" t="n">
        <f aca="false">IF(C1069&lt;=0,0,H1069/C1069)</f>
        <v>24.99</v>
      </c>
    </row>
    <row r="1070" customFormat="false" ht="15" hidden="false" customHeight="true" outlineLevel="0" collapsed="false">
      <c r="A1070" s="11" t="n">
        <v>1066</v>
      </c>
      <c r="B1070" s="11" t="s">
        <v>1077</v>
      </c>
      <c r="C1070" s="12" t="n">
        <v>3</v>
      </c>
      <c r="D1070" s="12" t="n">
        <v>2</v>
      </c>
      <c r="E1070" s="13" t="n">
        <v>74.97</v>
      </c>
      <c r="F1070" s="13" t="n">
        <v>0</v>
      </c>
      <c r="G1070" s="13" t="n">
        <v>0</v>
      </c>
      <c r="H1070" s="14" t="n">
        <f aca="false">E1070+F1070+G1070</f>
        <v>74.97</v>
      </c>
      <c r="I1070" s="15" t="n">
        <f aca="false">IF($H$1182=0,0,H1070/$H$1182)</f>
        <v>6.21039767658991E-006</v>
      </c>
      <c r="J1070" s="16" t="n">
        <f aca="false">IF(C1070&lt;=0,0,H1070/C1070)</f>
        <v>24.99</v>
      </c>
    </row>
    <row r="1071" customFormat="false" ht="15" hidden="false" customHeight="true" outlineLevel="0" collapsed="false">
      <c r="A1071" s="5" t="n">
        <v>1067</v>
      </c>
      <c r="B1071" s="5" t="s">
        <v>1078</v>
      </c>
      <c r="C1071" s="6" t="n">
        <v>3</v>
      </c>
      <c r="D1071" s="6" t="n">
        <v>2</v>
      </c>
      <c r="E1071" s="7" t="n">
        <v>26.1</v>
      </c>
      <c r="F1071" s="7" t="n">
        <v>0</v>
      </c>
      <c r="G1071" s="7" t="n">
        <v>0</v>
      </c>
      <c r="H1071" s="8" t="n">
        <f aca="false">E1071+F1071+G1071</f>
        <v>26.1</v>
      </c>
      <c r="I1071" s="9" t="n">
        <f aca="false">IF($H$1182=0,0,H1071/$H$1182)</f>
        <v>2.16208322474319E-006</v>
      </c>
      <c r="J1071" s="10" t="n">
        <f aca="false">IF(C1071&lt;=0,0,H1071/C1071)</f>
        <v>8.7</v>
      </c>
    </row>
    <row r="1072" customFormat="false" ht="15" hidden="false" customHeight="true" outlineLevel="0" collapsed="false">
      <c r="A1072" s="11" t="n">
        <v>1068</v>
      </c>
      <c r="B1072" s="11" t="s">
        <v>1079</v>
      </c>
      <c r="C1072" s="12" t="n">
        <v>2</v>
      </c>
      <c r="D1072" s="12" t="n">
        <v>2</v>
      </c>
      <c r="E1072" s="13" t="n">
        <v>5000</v>
      </c>
      <c r="F1072" s="13" t="n">
        <v>0</v>
      </c>
      <c r="G1072" s="13" t="n">
        <v>0</v>
      </c>
      <c r="H1072" s="14" t="n">
        <f aca="false">E1072+F1072+G1072</f>
        <v>5000</v>
      </c>
      <c r="I1072" s="15" t="n">
        <f aca="false">IF($H$1182=0,0,H1072/$H$1182)</f>
        <v>0.00041419218864812</v>
      </c>
      <c r="J1072" s="16" t="n">
        <f aca="false">IF(C1072&lt;=0,0,H1072/C1072)</f>
        <v>2500</v>
      </c>
    </row>
    <row r="1073" customFormat="false" ht="15" hidden="false" customHeight="true" outlineLevel="0" collapsed="false">
      <c r="A1073" s="5" t="n">
        <v>1069</v>
      </c>
      <c r="B1073" s="5" t="s">
        <v>1080</v>
      </c>
      <c r="C1073" s="6" t="n">
        <v>2</v>
      </c>
      <c r="D1073" s="6" t="n">
        <v>2</v>
      </c>
      <c r="E1073" s="7" t="n">
        <v>2500</v>
      </c>
      <c r="F1073" s="7" t="n">
        <v>-125</v>
      </c>
      <c r="G1073" s="7" t="n">
        <v>0</v>
      </c>
      <c r="H1073" s="8" t="n">
        <f aca="false">E1073+F1073+G1073</f>
        <v>2375</v>
      </c>
      <c r="I1073" s="9" t="n">
        <f aca="false">IF($H$1182=0,0,H1073/$H$1182)</f>
        <v>0.000196741289607857</v>
      </c>
      <c r="J1073" s="10" t="n">
        <f aca="false">IF(C1073&lt;=0,0,H1073/C1073)</f>
        <v>1187.5</v>
      </c>
    </row>
    <row r="1074" customFormat="false" ht="15" hidden="false" customHeight="true" outlineLevel="0" collapsed="false">
      <c r="A1074" s="11" t="n">
        <v>1070</v>
      </c>
      <c r="B1074" s="11" t="s">
        <v>1081</v>
      </c>
      <c r="C1074" s="12" t="n">
        <v>2</v>
      </c>
      <c r="D1074" s="12" t="n">
        <v>2</v>
      </c>
      <c r="E1074" s="13" t="n">
        <v>2300</v>
      </c>
      <c r="F1074" s="13" t="n">
        <v>0</v>
      </c>
      <c r="G1074" s="13" t="n">
        <v>0</v>
      </c>
      <c r="H1074" s="14" t="n">
        <f aca="false">E1074+F1074+G1074</f>
        <v>2300</v>
      </c>
      <c r="I1074" s="15" t="n">
        <f aca="false">IF($H$1182=0,0,H1074/$H$1182)</f>
        <v>0.000190528406778135</v>
      </c>
      <c r="J1074" s="16" t="n">
        <f aca="false">IF(C1074&lt;=0,0,H1074/C1074)</f>
        <v>1150</v>
      </c>
    </row>
    <row r="1075" customFormat="false" ht="15" hidden="false" customHeight="true" outlineLevel="0" collapsed="false">
      <c r="A1075" s="5" t="n">
        <v>1071</v>
      </c>
      <c r="B1075" s="5" t="s">
        <v>1082</v>
      </c>
      <c r="C1075" s="6" t="n">
        <v>2</v>
      </c>
      <c r="D1075" s="6" t="n">
        <v>2</v>
      </c>
      <c r="E1075" s="7" t="n">
        <v>1399.98</v>
      </c>
      <c r="F1075" s="7" t="n">
        <v>0</v>
      </c>
      <c r="G1075" s="7" t="n">
        <v>0</v>
      </c>
      <c r="H1075" s="8" t="n">
        <f aca="false">E1075+F1075+G1075</f>
        <v>1399.98</v>
      </c>
      <c r="I1075" s="9" t="n">
        <f aca="false">IF($H$1182=0,0,H1075/$H$1182)</f>
        <v>0.000115972156052719</v>
      </c>
      <c r="J1075" s="10" t="n">
        <f aca="false">IF(C1075&lt;=0,0,H1075/C1075)</f>
        <v>699.99</v>
      </c>
    </row>
    <row r="1076" customFormat="false" ht="15" hidden="false" customHeight="true" outlineLevel="0" collapsed="false">
      <c r="A1076" s="11" t="n">
        <v>1072</v>
      </c>
      <c r="B1076" s="11" t="s">
        <v>1083</v>
      </c>
      <c r="C1076" s="12" t="n">
        <v>2</v>
      </c>
      <c r="D1076" s="12" t="n">
        <v>2</v>
      </c>
      <c r="E1076" s="13" t="n">
        <v>1149.98</v>
      </c>
      <c r="F1076" s="13" t="n">
        <v>0</v>
      </c>
      <c r="G1076" s="13" t="n">
        <v>0</v>
      </c>
      <c r="H1076" s="14" t="n">
        <f aca="false">E1076+F1076+G1076</f>
        <v>1149.98</v>
      </c>
      <c r="I1076" s="15" t="n">
        <f aca="false">IF($H$1182=0,0,H1076/$H$1182)</f>
        <v>9.5262546620313E-005</v>
      </c>
      <c r="J1076" s="16" t="n">
        <f aca="false">IF(C1076&lt;=0,0,H1076/C1076)</f>
        <v>574.99</v>
      </c>
    </row>
    <row r="1077" customFormat="false" ht="15" hidden="false" customHeight="true" outlineLevel="0" collapsed="false">
      <c r="A1077" s="5" t="n">
        <v>1073</v>
      </c>
      <c r="B1077" s="5" t="s">
        <v>1084</v>
      </c>
      <c r="C1077" s="6" t="n">
        <v>2</v>
      </c>
      <c r="D1077" s="6" t="n">
        <v>1</v>
      </c>
      <c r="E1077" s="7" t="n">
        <v>1149.98</v>
      </c>
      <c r="F1077" s="7" t="n">
        <v>0</v>
      </c>
      <c r="G1077" s="7" t="n">
        <v>0</v>
      </c>
      <c r="H1077" s="8" t="n">
        <f aca="false">E1077+F1077+G1077</f>
        <v>1149.98</v>
      </c>
      <c r="I1077" s="9" t="n">
        <f aca="false">IF($H$1182=0,0,H1077/$H$1182)</f>
        <v>9.5262546620313E-005</v>
      </c>
      <c r="J1077" s="10" t="n">
        <f aca="false">IF(C1077&lt;=0,0,H1077/C1077)</f>
        <v>574.99</v>
      </c>
    </row>
    <row r="1078" customFormat="false" ht="15" hidden="false" customHeight="true" outlineLevel="0" collapsed="false">
      <c r="A1078" s="11" t="n">
        <v>1074</v>
      </c>
      <c r="B1078" s="11" t="s">
        <v>1085</v>
      </c>
      <c r="C1078" s="12" t="n">
        <v>2</v>
      </c>
      <c r="D1078" s="12" t="n">
        <v>1</v>
      </c>
      <c r="E1078" s="13" t="n">
        <v>1149.98</v>
      </c>
      <c r="F1078" s="13" t="n">
        <v>0</v>
      </c>
      <c r="G1078" s="13" t="n">
        <v>0</v>
      </c>
      <c r="H1078" s="14" t="n">
        <f aca="false">E1078+F1078+G1078</f>
        <v>1149.98</v>
      </c>
      <c r="I1078" s="15" t="n">
        <f aca="false">IF($H$1182=0,0,H1078/$H$1182)</f>
        <v>9.5262546620313E-005</v>
      </c>
      <c r="J1078" s="16" t="n">
        <f aca="false">IF(C1078&lt;=0,0,H1078/C1078)</f>
        <v>574.99</v>
      </c>
    </row>
    <row r="1079" customFormat="false" ht="15" hidden="false" customHeight="true" outlineLevel="0" collapsed="false">
      <c r="A1079" s="5" t="n">
        <v>1075</v>
      </c>
      <c r="B1079" s="5" t="s">
        <v>1086</v>
      </c>
      <c r="C1079" s="6" t="n">
        <v>2</v>
      </c>
      <c r="D1079" s="6" t="n">
        <v>3</v>
      </c>
      <c r="E1079" s="7" t="n">
        <v>2399.96</v>
      </c>
      <c r="F1079" s="7" t="n">
        <v>-59.99</v>
      </c>
      <c r="G1079" s="7" t="n">
        <v>-1199.98</v>
      </c>
      <c r="H1079" s="8" t="n">
        <f aca="false">E1079+F1079+G1079</f>
        <v>1139.99</v>
      </c>
      <c r="I1079" s="9" t="n">
        <f aca="false">IF($H$1182=0,0,H1079/$H$1182)</f>
        <v>9.44349906273941E-005</v>
      </c>
      <c r="J1079" s="10" t="n">
        <f aca="false">IF(C1079&lt;=0,0,H1079/C1079)</f>
        <v>569.995</v>
      </c>
    </row>
    <row r="1080" customFormat="false" ht="15" hidden="false" customHeight="true" outlineLevel="0" collapsed="false">
      <c r="A1080" s="11" t="n">
        <v>1076</v>
      </c>
      <c r="B1080" s="11" t="s">
        <v>1087</v>
      </c>
      <c r="C1080" s="12" t="n">
        <v>2</v>
      </c>
      <c r="D1080" s="12" t="n">
        <v>1</v>
      </c>
      <c r="E1080" s="13" t="n">
        <v>1149.98</v>
      </c>
      <c r="F1080" s="13" t="n">
        <v>-114.98</v>
      </c>
      <c r="G1080" s="13" t="n">
        <v>0</v>
      </c>
      <c r="H1080" s="14" t="n">
        <f aca="false">E1080+F1080+G1080</f>
        <v>1035</v>
      </c>
      <c r="I1080" s="15" t="n">
        <f aca="false">IF($H$1182=0,0,H1080/$H$1182)</f>
        <v>8.57377830501608E-005</v>
      </c>
      <c r="J1080" s="16" t="n">
        <f aca="false">IF(C1080&lt;=0,0,H1080/C1080)</f>
        <v>517.5</v>
      </c>
    </row>
    <row r="1081" customFormat="false" ht="15" hidden="false" customHeight="true" outlineLevel="0" collapsed="false">
      <c r="A1081" s="5" t="n">
        <v>1077</v>
      </c>
      <c r="B1081" s="5" t="s">
        <v>1088</v>
      </c>
      <c r="C1081" s="6" t="n">
        <v>2</v>
      </c>
      <c r="D1081" s="6" t="n">
        <v>2</v>
      </c>
      <c r="E1081" s="7" t="n">
        <v>999.98</v>
      </c>
      <c r="F1081" s="7" t="n">
        <v>0</v>
      </c>
      <c r="G1081" s="7" t="n">
        <v>0</v>
      </c>
      <c r="H1081" s="8" t="n">
        <f aca="false">E1081+F1081+G1081</f>
        <v>999.98</v>
      </c>
      <c r="I1081" s="9" t="n">
        <f aca="false">IF($H$1182=0,0,H1081/$H$1182)</f>
        <v>8.28367809608694E-005</v>
      </c>
      <c r="J1081" s="10" t="n">
        <f aca="false">IF(C1081&lt;=0,0,H1081/C1081)</f>
        <v>499.99</v>
      </c>
    </row>
    <row r="1082" customFormat="false" ht="15" hidden="false" customHeight="true" outlineLevel="0" collapsed="false">
      <c r="A1082" s="11" t="n">
        <v>1078</v>
      </c>
      <c r="B1082" s="11" t="s">
        <v>1089</v>
      </c>
      <c r="C1082" s="12" t="n">
        <v>2</v>
      </c>
      <c r="D1082" s="12" t="n">
        <v>2</v>
      </c>
      <c r="E1082" s="13" t="n">
        <v>999.98</v>
      </c>
      <c r="F1082" s="13" t="n">
        <v>0</v>
      </c>
      <c r="G1082" s="13" t="n">
        <v>0</v>
      </c>
      <c r="H1082" s="14" t="n">
        <f aca="false">E1082+F1082+G1082</f>
        <v>999.98</v>
      </c>
      <c r="I1082" s="15" t="n">
        <f aca="false">IF($H$1182=0,0,H1082/$H$1182)</f>
        <v>8.28367809608694E-005</v>
      </c>
      <c r="J1082" s="16" t="n">
        <f aca="false">IF(C1082&lt;=0,0,H1082/C1082)</f>
        <v>499.99</v>
      </c>
    </row>
    <row r="1083" customFormat="false" ht="15" hidden="false" customHeight="true" outlineLevel="0" collapsed="false">
      <c r="A1083" s="5" t="n">
        <v>1079</v>
      </c>
      <c r="B1083" s="5" t="s">
        <v>1090</v>
      </c>
      <c r="C1083" s="6" t="n">
        <v>2</v>
      </c>
      <c r="D1083" s="6" t="n">
        <v>2</v>
      </c>
      <c r="E1083" s="7" t="n">
        <v>749.98</v>
      </c>
      <c r="F1083" s="7" t="n">
        <v>0</v>
      </c>
      <c r="G1083" s="7" t="n">
        <v>0</v>
      </c>
      <c r="H1083" s="8" t="n">
        <f aca="false">E1083+F1083+G1083</f>
        <v>749.98</v>
      </c>
      <c r="I1083" s="9" t="n">
        <f aca="false">IF($H$1182=0,0,H1083/$H$1182)</f>
        <v>6.21271715284634E-005</v>
      </c>
      <c r="J1083" s="10" t="n">
        <f aca="false">IF(C1083&lt;=0,0,H1083/C1083)</f>
        <v>374.99</v>
      </c>
    </row>
    <row r="1084" customFormat="false" ht="15" hidden="false" customHeight="true" outlineLevel="0" collapsed="false">
      <c r="A1084" s="11" t="n">
        <v>1080</v>
      </c>
      <c r="B1084" s="11" t="s">
        <v>1091</v>
      </c>
      <c r="C1084" s="12" t="n">
        <v>2</v>
      </c>
      <c r="D1084" s="12" t="n">
        <v>2</v>
      </c>
      <c r="E1084" s="13" t="n">
        <v>699.98</v>
      </c>
      <c r="F1084" s="13" t="n">
        <v>0</v>
      </c>
      <c r="G1084" s="13" t="n">
        <v>0</v>
      </c>
      <c r="H1084" s="14" t="n">
        <f aca="false">E1084+F1084+G1084</f>
        <v>699.98</v>
      </c>
      <c r="I1084" s="15" t="n">
        <f aca="false">IF($H$1182=0,0,H1084/$H$1182)</f>
        <v>5.79852496419822E-005</v>
      </c>
      <c r="J1084" s="16" t="n">
        <f aca="false">IF(C1084&lt;=0,0,H1084/C1084)</f>
        <v>349.99</v>
      </c>
    </row>
    <row r="1085" customFormat="false" ht="15" hidden="false" customHeight="true" outlineLevel="0" collapsed="false">
      <c r="A1085" s="5" t="n">
        <v>1081</v>
      </c>
      <c r="B1085" s="5" t="s">
        <v>1092</v>
      </c>
      <c r="C1085" s="6" t="n">
        <v>2</v>
      </c>
      <c r="D1085" s="6" t="n">
        <v>2</v>
      </c>
      <c r="E1085" s="7" t="n">
        <v>679.98</v>
      </c>
      <c r="F1085" s="7" t="n">
        <v>0</v>
      </c>
      <c r="G1085" s="7" t="n">
        <v>0</v>
      </c>
      <c r="H1085" s="8" t="n">
        <f aca="false">E1085+F1085+G1085</f>
        <v>679.98</v>
      </c>
      <c r="I1085" s="9" t="n">
        <f aca="false">IF($H$1182=0,0,H1085/$H$1182)</f>
        <v>5.63284808873897E-005</v>
      </c>
      <c r="J1085" s="10" t="n">
        <f aca="false">IF(C1085&lt;=0,0,H1085/C1085)</f>
        <v>339.99</v>
      </c>
    </row>
    <row r="1086" customFormat="false" ht="15" hidden="false" customHeight="true" outlineLevel="0" collapsed="false">
      <c r="A1086" s="11" t="n">
        <v>1082</v>
      </c>
      <c r="B1086" s="11" t="s">
        <v>1093</v>
      </c>
      <c r="C1086" s="12" t="n">
        <v>2</v>
      </c>
      <c r="D1086" s="12" t="n">
        <v>2</v>
      </c>
      <c r="E1086" s="13" t="n">
        <v>599.98</v>
      </c>
      <c r="F1086" s="13" t="n">
        <v>0</v>
      </c>
      <c r="G1086" s="13" t="n">
        <v>0</v>
      </c>
      <c r="H1086" s="14" t="n">
        <f aca="false">E1086+F1086+G1086</f>
        <v>599.98</v>
      </c>
      <c r="I1086" s="15" t="n">
        <f aca="false">IF($H$1182=0,0,H1086/$H$1182)</f>
        <v>4.97014058690198E-005</v>
      </c>
      <c r="J1086" s="16" t="n">
        <f aca="false">IF(C1086&lt;=0,0,H1086/C1086)</f>
        <v>299.99</v>
      </c>
    </row>
    <row r="1087" customFormat="false" ht="15" hidden="false" customHeight="true" outlineLevel="0" collapsed="false">
      <c r="A1087" s="5" t="n">
        <v>1083</v>
      </c>
      <c r="B1087" s="5" t="s">
        <v>1094</v>
      </c>
      <c r="C1087" s="6" t="n">
        <v>2</v>
      </c>
      <c r="D1087" s="6" t="n">
        <v>2</v>
      </c>
      <c r="E1087" s="7" t="n">
        <v>599.98</v>
      </c>
      <c r="F1087" s="7" t="n">
        <v>0</v>
      </c>
      <c r="G1087" s="7" t="n">
        <v>0</v>
      </c>
      <c r="H1087" s="8" t="n">
        <f aca="false">E1087+F1087+G1087</f>
        <v>599.98</v>
      </c>
      <c r="I1087" s="9" t="n">
        <f aca="false">IF($H$1182=0,0,H1087/$H$1182)</f>
        <v>4.97014058690198E-005</v>
      </c>
      <c r="J1087" s="10" t="n">
        <f aca="false">IF(C1087&lt;=0,0,H1087/C1087)</f>
        <v>299.99</v>
      </c>
    </row>
    <row r="1088" customFormat="false" ht="15" hidden="false" customHeight="true" outlineLevel="0" collapsed="false">
      <c r="A1088" s="11" t="n">
        <v>1084</v>
      </c>
      <c r="B1088" s="11" t="s">
        <v>1095</v>
      </c>
      <c r="C1088" s="12" t="n">
        <v>2</v>
      </c>
      <c r="D1088" s="12" t="n">
        <v>2</v>
      </c>
      <c r="E1088" s="13" t="n">
        <v>549.98</v>
      </c>
      <c r="F1088" s="13" t="n">
        <v>0</v>
      </c>
      <c r="G1088" s="13" t="n">
        <v>0</v>
      </c>
      <c r="H1088" s="14" t="n">
        <f aca="false">E1088+F1088+G1088</f>
        <v>549.98</v>
      </c>
      <c r="I1088" s="15" t="n">
        <f aca="false">IF($H$1182=0,0,H1088/$H$1182)</f>
        <v>4.55594839825386E-005</v>
      </c>
      <c r="J1088" s="16" t="n">
        <f aca="false">IF(C1088&lt;=0,0,H1088/C1088)</f>
        <v>274.99</v>
      </c>
    </row>
    <row r="1089" customFormat="false" ht="15" hidden="false" customHeight="true" outlineLevel="0" collapsed="false">
      <c r="A1089" s="5" t="n">
        <v>1085</v>
      </c>
      <c r="B1089" s="5" t="s">
        <v>1096</v>
      </c>
      <c r="C1089" s="6" t="n">
        <v>2</v>
      </c>
      <c r="D1089" s="6" t="n">
        <v>3</v>
      </c>
      <c r="E1089" s="7" t="n">
        <v>736.22</v>
      </c>
      <c r="F1089" s="7" t="n">
        <v>0</v>
      </c>
      <c r="G1089" s="7" t="n">
        <v>-199.99</v>
      </c>
      <c r="H1089" s="8" t="n">
        <f aca="false">E1089+F1089+G1089</f>
        <v>536.23</v>
      </c>
      <c r="I1089" s="9" t="n">
        <f aca="false">IF($H$1182=0,0,H1089/$H$1182)</f>
        <v>4.44204554637563E-005</v>
      </c>
      <c r="J1089" s="10" t="n">
        <f aca="false">IF(C1089&lt;=0,0,H1089/C1089)</f>
        <v>268.115</v>
      </c>
    </row>
    <row r="1090" customFormat="false" ht="15" hidden="false" customHeight="true" outlineLevel="0" collapsed="false">
      <c r="A1090" s="11" t="n">
        <v>1086</v>
      </c>
      <c r="B1090" s="11" t="s">
        <v>1097</v>
      </c>
      <c r="C1090" s="12" t="n">
        <v>2</v>
      </c>
      <c r="D1090" s="12" t="n">
        <v>3</v>
      </c>
      <c r="E1090" s="13" t="n">
        <v>779.97</v>
      </c>
      <c r="F1090" s="13" t="n">
        <v>0</v>
      </c>
      <c r="G1090" s="13" t="n">
        <v>-259.99</v>
      </c>
      <c r="H1090" s="14" t="n">
        <f aca="false">E1090+F1090+G1090</f>
        <v>519.98</v>
      </c>
      <c r="I1090" s="15" t="n">
        <f aca="false">IF($H$1182=0,0,H1090/$H$1182)</f>
        <v>4.30743308506499E-005</v>
      </c>
      <c r="J1090" s="16" t="n">
        <f aca="false">IF(C1090&lt;=0,0,H1090/C1090)</f>
        <v>259.99</v>
      </c>
    </row>
    <row r="1091" customFormat="false" ht="15" hidden="false" customHeight="true" outlineLevel="0" collapsed="false">
      <c r="A1091" s="5" t="n">
        <v>1087</v>
      </c>
      <c r="B1091" s="5" t="s">
        <v>1098</v>
      </c>
      <c r="C1091" s="6" t="n">
        <v>2</v>
      </c>
      <c r="D1091" s="6" t="n">
        <v>2</v>
      </c>
      <c r="E1091" s="7" t="n">
        <v>489.98</v>
      </c>
      <c r="F1091" s="7" t="n">
        <v>0</v>
      </c>
      <c r="G1091" s="7" t="n">
        <v>0</v>
      </c>
      <c r="H1091" s="8" t="n">
        <f aca="false">E1091+F1091+G1091</f>
        <v>489.98</v>
      </c>
      <c r="I1091" s="9" t="n">
        <f aca="false">IF($H$1182=0,0,H1091/$H$1182)</f>
        <v>4.05891777187612E-005</v>
      </c>
      <c r="J1091" s="10" t="n">
        <f aca="false">IF(C1091&lt;=0,0,H1091/C1091)</f>
        <v>244.99</v>
      </c>
    </row>
    <row r="1092" customFormat="false" ht="15" hidden="false" customHeight="true" outlineLevel="0" collapsed="false">
      <c r="A1092" s="11" t="n">
        <v>1088</v>
      </c>
      <c r="B1092" s="11" t="s">
        <v>1099</v>
      </c>
      <c r="C1092" s="12" t="n">
        <v>2</v>
      </c>
      <c r="D1092" s="12" t="n">
        <v>3</v>
      </c>
      <c r="E1092" s="13" t="n">
        <v>1039.96</v>
      </c>
      <c r="F1092" s="13" t="n">
        <v>-51.98</v>
      </c>
      <c r="G1092" s="13" t="n">
        <v>-519.98</v>
      </c>
      <c r="H1092" s="14" t="n">
        <f aca="false">E1092+F1092+G1092</f>
        <v>468</v>
      </c>
      <c r="I1092" s="15" t="n">
        <f aca="false">IF($H$1182=0,0,H1092/$H$1182)</f>
        <v>3.8768388857464E-005</v>
      </c>
      <c r="J1092" s="16" t="n">
        <f aca="false">IF(C1092&lt;=0,0,H1092/C1092)</f>
        <v>234</v>
      </c>
    </row>
    <row r="1093" customFormat="false" ht="15" hidden="false" customHeight="true" outlineLevel="0" collapsed="false">
      <c r="A1093" s="5" t="n">
        <v>1089</v>
      </c>
      <c r="B1093" s="5" t="s">
        <v>1100</v>
      </c>
      <c r="C1093" s="6" t="n">
        <v>2</v>
      </c>
      <c r="D1093" s="6" t="n">
        <v>3</v>
      </c>
      <c r="E1093" s="7" t="n">
        <v>660</v>
      </c>
      <c r="F1093" s="7" t="n">
        <v>-11</v>
      </c>
      <c r="G1093" s="7" t="n">
        <v>-209</v>
      </c>
      <c r="H1093" s="8" t="n">
        <f aca="false">E1093+F1093+G1093</f>
        <v>440</v>
      </c>
      <c r="I1093" s="9" t="n">
        <f aca="false">IF($H$1182=0,0,H1093/$H$1182)</f>
        <v>3.64489126010346E-005</v>
      </c>
      <c r="J1093" s="10" t="n">
        <f aca="false">IF(C1093&lt;=0,0,H1093/C1093)</f>
        <v>220</v>
      </c>
    </row>
    <row r="1094" customFormat="false" ht="15" hidden="false" customHeight="true" outlineLevel="0" collapsed="false">
      <c r="A1094" s="11" t="n">
        <v>1090</v>
      </c>
      <c r="B1094" s="11" t="s">
        <v>1101</v>
      </c>
      <c r="C1094" s="12" t="n">
        <v>2</v>
      </c>
      <c r="D1094" s="12" t="n">
        <v>3</v>
      </c>
      <c r="E1094" s="13" t="n">
        <v>630</v>
      </c>
      <c r="F1094" s="13" t="n">
        <v>0</v>
      </c>
      <c r="G1094" s="13" t="n">
        <v>-210</v>
      </c>
      <c r="H1094" s="14" t="n">
        <f aca="false">E1094+F1094+G1094</f>
        <v>420</v>
      </c>
      <c r="I1094" s="15" t="n">
        <f aca="false">IF($H$1182=0,0,H1094/$H$1182)</f>
        <v>3.47921438464421E-005</v>
      </c>
      <c r="J1094" s="16" t="n">
        <f aca="false">IF(C1094&lt;=0,0,H1094/C1094)</f>
        <v>210</v>
      </c>
    </row>
    <row r="1095" customFormat="false" ht="15" hidden="false" customHeight="true" outlineLevel="0" collapsed="false">
      <c r="A1095" s="5" t="n">
        <v>1091</v>
      </c>
      <c r="B1095" s="5" t="s">
        <v>1102</v>
      </c>
      <c r="C1095" s="6" t="n">
        <v>2</v>
      </c>
      <c r="D1095" s="6" t="n">
        <v>3</v>
      </c>
      <c r="E1095" s="7" t="n">
        <v>534.97</v>
      </c>
      <c r="F1095" s="7" t="n">
        <v>0</v>
      </c>
      <c r="G1095" s="7" t="n">
        <v>-174.99</v>
      </c>
      <c r="H1095" s="8" t="n">
        <f aca="false">E1095+F1095+G1095</f>
        <v>359.98</v>
      </c>
      <c r="I1095" s="9" t="n">
        <f aca="false">IF($H$1182=0,0,H1095/$H$1182)</f>
        <v>2.98201808139101E-005</v>
      </c>
      <c r="J1095" s="10" t="n">
        <f aca="false">IF(C1095&lt;=0,0,H1095/C1095)</f>
        <v>179.99</v>
      </c>
    </row>
    <row r="1096" customFormat="false" ht="15" hidden="false" customHeight="true" outlineLevel="0" collapsed="false">
      <c r="A1096" s="11" t="n">
        <v>1092</v>
      </c>
      <c r="B1096" s="11" t="s">
        <v>1103</v>
      </c>
      <c r="C1096" s="12" t="n">
        <v>2</v>
      </c>
      <c r="D1096" s="12" t="n">
        <v>2</v>
      </c>
      <c r="E1096" s="13" t="n">
        <v>359.98</v>
      </c>
      <c r="F1096" s="13" t="n">
        <v>0</v>
      </c>
      <c r="G1096" s="13" t="n">
        <v>0</v>
      </c>
      <c r="H1096" s="14" t="n">
        <f aca="false">E1096+F1096+G1096</f>
        <v>359.98</v>
      </c>
      <c r="I1096" s="15" t="n">
        <f aca="false">IF($H$1182=0,0,H1096/$H$1182)</f>
        <v>2.98201808139101E-005</v>
      </c>
      <c r="J1096" s="16" t="n">
        <f aca="false">IF(C1096&lt;=0,0,H1096/C1096)</f>
        <v>179.99</v>
      </c>
    </row>
    <row r="1097" customFormat="false" ht="15" hidden="false" customHeight="true" outlineLevel="0" collapsed="false">
      <c r="A1097" s="5" t="n">
        <v>1093</v>
      </c>
      <c r="B1097" s="5" t="s">
        <v>1104</v>
      </c>
      <c r="C1097" s="6" t="n">
        <v>2</v>
      </c>
      <c r="D1097" s="6" t="n">
        <v>4</v>
      </c>
      <c r="E1097" s="7" t="n">
        <v>719.96</v>
      </c>
      <c r="F1097" s="7" t="n">
        <v>0</v>
      </c>
      <c r="G1097" s="7" t="n">
        <v>-359.98</v>
      </c>
      <c r="H1097" s="8" t="n">
        <f aca="false">E1097+F1097+G1097</f>
        <v>359.98</v>
      </c>
      <c r="I1097" s="9" t="n">
        <f aca="false">IF($H$1182=0,0,H1097/$H$1182)</f>
        <v>2.98201808139101E-005</v>
      </c>
      <c r="J1097" s="10" t="n">
        <f aca="false">IF(C1097&lt;=0,0,H1097/C1097)</f>
        <v>179.99</v>
      </c>
    </row>
    <row r="1098" customFormat="false" ht="15" hidden="false" customHeight="true" outlineLevel="0" collapsed="false">
      <c r="A1098" s="11" t="n">
        <v>1094</v>
      </c>
      <c r="B1098" s="11" t="s">
        <v>1105</v>
      </c>
      <c r="C1098" s="12" t="n">
        <v>2</v>
      </c>
      <c r="D1098" s="12" t="n">
        <v>1</v>
      </c>
      <c r="E1098" s="13" t="n">
        <v>350.24</v>
      </c>
      <c r="F1098" s="13" t="n">
        <v>0</v>
      </c>
      <c r="G1098" s="13" t="n">
        <v>0</v>
      </c>
      <c r="H1098" s="14" t="n">
        <f aca="false">E1098+F1098+G1098</f>
        <v>350.24</v>
      </c>
      <c r="I1098" s="15" t="n">
        <f aca="false">IF($H$1182=0,0,H1098/$H$1182)</f>
        <v>2.90133344304235E-005</v>
      </c>
      <c r="J1098" s="16" t="n">
        <f aca="false">IF(C1098&lt;=0,0,H1098/C1098)</f>
        <v>175.12</v>
      </c>
    </row>
    <row r="1099" customFormat="false" ht="15" hidden="false" customHeight="true" outlineLevel="0" collapsed="false">
      <c r="A1099" s="5" t="n">
        <v>1095</v>
      </c>
      <c r="B1099" s="5" t="s">
        <v>1106</v>
      </c>
      <c r="C1099" s="6" t="n">
        <v>2</v>
      </c>
      <c r="D1099" s="6" t="n">
        <v>2</v>
      </c>
      <c r="E1099" s="7" t="n">
        <v>331.48</v>
      </c>
      <c r="F1099" s="7" t="n">
        <v>0</v>
      </c>
      <c r="G1099" s="7" t="n">
        <v>0</v>
      </c>
      <c r="H1099" s="8" t="n">
        <f aca="false">E1099+F1099+G1099</f>
        <v>331.48</v>
      </c>
      <c r="I1099" s="9" t="n">
        <f aca="false">IF($H$1182=0,0,H1099/$H$1182)</f>
        <v>2.74592853386158E-005</v>
      </c>
      <c r="J1099" s="10" t="n">
        <f aca="false">IF(C1099&lt;=0,0,H1099/C1099)</f>
        <v>165.74</v>
      </c>
    </row>
    <row r="1100" customFormat="false" ht="15" hidden="false" customHeight="true" outlineLevel="0" collapsed="false">
      <c r="A1100" s="11" t="n">
        <v>1096</v>
      </c>
      <c r="B1100" s="11" t="s">
        <v>1107</v>
      </c>
      <c r="C1100" s="12" t="n">
        <v>2</v>
      </c>
      <c r="D1100" s="12" t="n">
        <v>2</v>
      </c>
      <c r="E1100" s="13" t="n">
        <v>659.96</v>
      </c>
      <c r="F1100" s="13" t="n">
        <v>0</v>
      </c>
      <c r="G1100" s="13" t="n">
        <v>-329.98</v>
      </c>
      <c r="H1100" s="14" t="n">
        <f aca="false">E1100+F1100+G1100</f>
        <v>329.98</v>
      </c>
      <c r="I1100" s="15" t="n">
        <f aca="false">IF($H$1182=0,0,H1100/$H$1182)</f>
        <v>2.73350276820213E-005</v>
      </c>
      <c r="J1100" s="16" t="n">
        <f aca="false">IF(C1100&lt;=0,0,H1100/C1100)</f>
        <v>164.99</v>
      </c>
    </row>
    <row r="1101" customFormat="false" ht="15" hidden="false" customHeight="true" outlineLevel="0" collapsed="false">
      <c r="A1101" s="5" t="n">
        <v>1097</v>
      </c>
      <c r="B1101" s="5" t="s">
        <v>1108</v>
      </c>
      <c r="C1101" s="6" t="n">
        <v>2</v>
      </c>
      <c r="D1101" s="6" t="n">
        <v>3</v>
      </c>
      <c r="E1101" s="7" t="n">
        <v>479.97</v>
      </c>
      <c r="F1101" s="7" t="n">
        <v>0</v>
      </c>
      <c r="G1101" s="7" t="n">
        <v>-159.99</v>
      </c>
      <c r="H1101" s="8" t="n">
        <f aca="false">E1101+F1101+G1101</f>
        <v>319.98</v>
      </c>
      <c r="I1101" s="9" t="n">
        <f aca="false">IF($H$1182=0,0,H1101/$H$1182)</f>
        <v>2.65066433047251E-005</v>
      </c>
      <c r="J1101" s="10" t="n">
        <f aca="false">IF(C1101&lt;=0,0,H1101/C1101)</f>
        <v>159.99</v>
      </c>
    </row>
    <row r="1102" customFormat="false" ht="15" hidden="false" customHeight="true" outlineLevel="0" collapsed="false">
      <c r="A1102" s="11" t="n">
        <v>1098</v>
      </c>
      <c r="B1102" s="11" t="s">
        <v>1109</v>
      </c>
      <c r="C1102" s="12" t="n">
        <v>2</v>
      </c>
      <c r="D1102" s="12" t="n">
        <v>3</v>
      </c>
      <c r="E1102" s="13" t="n">
        <v>463.97</v>
      </c>
      <c r="F1102" s="13" t="n">
        <v>0</v>
      </c>
      <c r="G1102" s="13" t="n">
        <v>-151.99</v>
      </c>
      <c r="H1102" s="14" t="n">
        <f aca="false">E1102+F1102+G1102</f>
        <v>311.98</v>
      </c>
      <c r="I1102" s="15" t="n">
        <f aca="false">IF($H$1182=0,0,H1102/$H$1182)</f>
        <v>2.58439358028881E-005</v>
      </c>
      <c r="J1102" s="16" t="n">
        <f aca="false">IF(C1102&lt;=0,0,H1102/C1102)</f>
        <v>155.99</v>
      </c>
    </row>
    <row r="1103" customFormat="false" ht="15" hidden="false" customHeight="true" outlineLevel="0" collapsed="false">
      <c r="A1103" s="5" t="n">
        <v>1099</v>
      </c>
      <c r="B1103" s="5" t="s">
        <v>1110</v>
      </c>
      <c r="C1103" s="6" t="n">
        <v>2</v>
      </c>
      <c r="D1103" s="6" t="n">
        <v>2</v>
      </c>
      <c r="E1103" s="7" t="n">
        <v>326.1</v>
      </c>
      <c r="F1103" s="7" t="n">
        <v>-16.3</v>
      </c>
      <c r="G1103" s="7" t="n">
        <v>0</v>
      </c>
      <c r="H1103" s="8" t="n">
        <f aca="false">E1103+F1103+G1103</f>
        <v>309.8</v>
      </c>
      <c r="I1103" s="9" t="n">
        <f aca="false">IF($H$1182=0,0,H1103/$H$1182)</f>
        <v>2.56633480086375E-005</v>
      </c>
      <c r="J1103" s="10" t="n">
        <f aca="false">IF(C1103&lt;=0,0,H1103/C1103)</f>
        <v>154.9</v>
      </c>
    </row>
    <row r="1104" customFormat="false" ht="15" hidden="false" customHeight="true" outlineLevel="0" collapsed="false">
      <c r="A1104" s="11" t="n">
        <v>1100</v>
      </c>
      <c r="B1104" s="11" t="s">
        <v>1111</v>
      </c>
      <c r="C1104" s="12" t="n">
        <v>2</v>
      </c>
      <c r="D1104" s="12" t="n">
        <v>3</v>
      </c>
      <c r="E1104" s="13" t="n">
        <v>479.97</v>
      </c>
      <c r="F1104" s="13" t="n">
        <v>-15.99</v>
      </c>
      <c r="G1104" s="13" t="n">
        <v>-159.99</v>
      </c>
      <c r="H1104" s="14" t="n">
        <f aca="false">E1104+F1104+G1104</f>
        <v>303.99</v>
      </c>
      <c r="I1104" s="15" t="n">
        <f aca="false">IF($H$1182=0,0,H1104/$H$1182)</f>
        <v>2.51820566854284E-005</v>
      </c>
      <c r="J1104" s="16" t="n">
        <f aca="false">IF(C1104&lt;=0,0,H1104/C1104)</f>
        <v>151.995</v>
      </c>
    </row>
    <row r="1105" customFormat="false" ht="15" hidden="false" customHeight="true" outlineLevel="0" collapsed="false">
      <c r="A1105" s="5" t="n">
        <v>1101</v>
      </c>
      <c r="B1105" s="5" t="s">
        <v>1112</v>
      </c>
      <c r="C1105" s="6" t="n">
        <v>2</v>
      </c>
      <c r="D1105" s="6" t="n">
        <v>2</v>
      </c>
      <c r="E1105" s="7" t="n">
        <v>299.98</v>
      </c>
      <c r="F1105" s="7" t="n">
        <v>0</v>
      </c>
      <c r="G1105" s="7" t="n">
        <v>0</v>
      </c>
      <c r="H1105" s="8" t="n">
        <f aca="false">E1105+F1105+G1105</f>
        <v>299.98</v>
      </c>
      <c r="I1105" s="9" t="n">
        <f aca="false">IF($H$1182=0,0,H1105/$H$1182)</f>
        <v>2.48498745501326E-005</v>
      </c>
      <c r="J1105" s="10" t="n">
        <f aca="false">IF(C1105&lt;=0,0,H1105/C1105)</f>
        <v>149.99</v>
      </c>
    </row>
    <row r="1106" customFormat="false" ht="15" hidden="false" customHeight="true" outlineLevel="0" collapsed="false">
      <c r="A1106" s="11" t="n">
        <v>1102</v>
      </c>
      <c r="B1106" s="11" t="s">
        <v>1113</v>
      </c>
      <c r="C1106" s="12" t="n">
        <v>2</v>
      </c>
      <c r="D1106" s="12" t="n">
        <v>2</v>
      </c>
      <c r="E1106" s="13" t="n">
        <v>299.98</v>
      </c>
      <c r="F1106" s="13" t="n">
        <v>0</v>
      </c>
      <c r="G1106" s="13" t="n">
        <v>0</v>
      </c>
      <c r="H1106" s="14" t="n">
        <f aca="false">E1106+F1106+G1106</f>
        <v>299.98</v>
      </c>
      <c r="I1106" s="15" t="n">
        <f aca="false">IF($H$1182=0,0,H1106/$H$1182)</f>
        <v>2.48498745501326E-005</v>
      </c>
      <c r="J1106" s="16" t="n">
        <f aca="false">IF(C1106&lt;=0,0,H1106/C1106)</f>
        <v>149.99</v>
      </c>
    </row>
    <row r="1107" customFormat="false" ht="15" hidden="false" customHeight="true" outlineLevel="0" collapsed="false">
      <c r="A1107" s="5" t="n">
        <v>1103</v>
      </c>
      <c r="B1107" s="5" t="s">
        <v>1114</v>
      </c>
      <c r="C1107" s="6" t="n">
        <v>2</v>
      </c>
      <c r="D1107" s="6" t="n">
        <v>2</v>
      </c>
      <c r="E1107" s="7" t="n">
        <v>255.73</v>
      </c>
      <c r="F1107" s="7" t="n">
        <v>0</v>
      </c>
      <c r="G1107" s="7" t="n">
        <v>0</v>
      </c>
      <c r="H1107" s="8" t="n">
        <f aca="false">E1107+F1107+G1107</f>
        <v>255.73</v>
      </c>
      <c r="I1107" s="9" t="n">
        <f aca="false">IF($H$1182=0,0,H1107/$H$1182)</f>
        <v>2.11842736805967E-005</v>
      </c>
      <c r="J1107" s="10" t="n">
        <f aca="false">IF(C1107&lt;=0,0,H1107/C1107)</f>
        <v>127.865</v>
      </c>
    </row>
    <row r="1108" customFormat="false" ht="15" hidden="false" customHeight="true" outlineLevel="0" collapsed="false">
      <c r="A1108" s="11" t="n">
        <v>1104</v>
      </c>
      <c r="B1108" s="11" t="s">
        <v>1115</v>
      </c>
      <c r="C1108" s="12" t="n">
        <v>2</v>
      </c>
      <c r="D1108" s="12" t="n">
        <v>2</v>
      </c>
      <c r="E1108" s="13" t="n">
        <v>218</v>
      </c>
      <c r="F1108" s="13" t="n">
        <v>0</v>
      </c>
      <c r="G1108" s="13" t="n">
        <v>0</v>
      </c>
      <c r="H1108" s="14" t="n">
        <f aca="false">E1108+F1108+G1108</f>
        <v>218</v>
      </c>
      <c r="I1108" s="15" t="n">
        <f aca="false">IF($H$1182=0,0,H1108/$H$1182)</f>
        <v>1.8058779425058E-005</v>
      </c>
      <c r="J1108" s="16" t="n">
        <f aca="false">IF(C1108&lt;=0,0,H1108/C1108)</f>
        <v>109</v>
      </c>
    </row>
    <row r="1109" customFormat="false" ht="15" hidden="false" customHeight="true" outlineLevel="0" collapsed="false">
      <c r="A1109" s="5" t="n">
        <v>1105</v>
      </c>
      <c r="B1109" s="5" t="s">
        <v>1116</v>
      </c>
      <c r="C1109" s="6" t="n">
        <v>2</v>
      </c>
      <c r="D1109" s="6" t="n">
        <v>1</v>
      </c>
      <c r="E1109" s="7" t="n">
        <v>239.98</v>
      </c>
      <c r="F1109" s="7" t="n">
        <v>-24</v>
      </c>
      <c r="G1109" s="7" t="n">
        <v>0</v>
      </c>
      <c r="H1109" s="8" t="n">
        <f aca="false">E1109+F1109+G1109</f>
        <v>215.98</v>
      </c>
      <c r="I1109" s="9" t="n">
        <f aca="false">IF($H$1182=0,0,H1109/$H$1182)</f>
        <v>1.78914457808442E-005</v>
      </c>
      <c r="J1109" s="10" t="n">
        <f aca="false">IF(C1109&lt;=0,0,H1109/C1109)</f>
        <v>107.99</v>
      </c>
    </row>
    <row r="1110" customFormat="false" ht="15" hidden="false" customHeight="true" outlineLevel="0" collapsed="false">
      <c r="A1110" s="11" t="n">
        <v>1106</v>
      </c>
      <c r="B1110" s="11" t="s">
        <v>1117</v>
      </c>
      <c r="C1110" s="12" t="n">
        <v>2</v>
      </c>
      <c r="D1110" s="12" t="n">
        <v>2</v>
      </c>
      <c r="E1110" s="13" t="n">
        <v>199.98</v>
      </c>
      <c r="F1110" s="13" t="n">
        <v>0</v>
      </c>
      <c r="G1110" s="13" t="n">
        <v>0</v>
      </c>
      <c r="H1110" s="14" t="n">
        <f aca="false">E1110+F1110+G1110</f>
        <v>199.98</v>
      </c>
      <c r="I1110" s="15" t="n">
        <f aca="false">IF($H$1182=0,0,H1110/$H$1182)</f>
        <v>1.65660307771702E-005</v>
      </c>
      <c r="J1110" s="16" t="n">
        <f aca="false">IF(C1110&lt;=0,0,H1110/C1110)</f>
        <v>99.99</v>
      </c>
    </row>
    <row r="1111" customFormat="false" ht="15" hidden="false" customHeight="true" outlineLevel="0" collapsed="false">
      <c r="A1111" s="5" t="n">
        <v>1107</v>
      </c>
      <c r="B1111" s="5" t="s">
        <v>1118</v>
      </c>
      <c r="C1111" s="6" t="n">
        <v>2</v>
      </c>
      <c r="D1111" s="6" t="n">
        <v>2</v>
      </c>
      <c r="E1111" s="7" t="n">
        <v>199.98</v>
      </c>
      <c r="F1111" s="7" t="n">
        <v>0</v>
      </c>
      <c r="G1111" s="7" t="n">
        <v>0</v>
      </c>
      <c r="H1111" s="8" t="n">
        <f aca="false">E1111+F1111+G1111</f>
        <v>199.98</v>
      </c>
      <c r="I1111" s="9" t="n">
        <f aca="false">IF($H$1182=0,0,H1111/$H$1182)</f>
        <v>1.65660307771702E-005</v>
      </c>
      <c r="J1111" s="10" t="n">
        <f aca="false">IF(C1111&lt;=0,0,H1111/C1111)</f>
        <v>99.99</v>
      </c>
    </row>
    <row r="1112" customFormat="false" ht="15" hidden="false" customHeight="true" outlineLevel="0" collapsed="false">
      <c r="A1112" s="11" t="n">
        <v>1108</v>
      </c>
      <c r="B1112" s="11" t="s">
        <v>1119</v>
      </c>
      <c r="C1112" s="12" t="n">
        <v>2</v>
      </c>
      <c r="D1112" s="12" t="n">
        <v>2</v>
      </c>
      <c r="E1112" s="13" t="n">
        <v>199.98</v>
      </c>
      <c r="F1112" s="13" t="n">
        <v>0</v>
      </c>
      <c r="G1112" s="13" t="n">
        <v>0</v>
      </c>
      <c r="H1112" s="14" t="n">
        <f aca="false">E1112+F1112+G1112</f>
        <v>199.98</v>
      </c>
      <c r="I1112" s="15" t="n">
        <f aca="false">IF($H$1182=0,0,H1112/$H$1182)</f>
        <v>1.65660307771702E-005</v>
      </c>
      <c r="J1112" s="16" t="n">
        <f aca="false">IF(C1112&lt;=0,0,H1112/C1112)</f>
        <v>99.99</v>
      </c>
    </row>
    <row r="1113" customFormat="false" ht="15" hidden="false" customHeight="true" outlineLevel="0" collapsed="false">
      <c r="A1113" s="5" t="n">
        <v>1109</v>
      </c>
      <c r="B1113" s="5" t="s">
        <v>1120</v>
      </c>
      <c r="C1113" s="6" t="n">
        <v>2</v>
      </c>
      <c r="D1113" s="6" t="n">
        <v>2</v>
      </c>
      <c r="E1113" s="7" t="n">
        <v>274.97</v>
      </c>
      <c r="F1113" s="7" t="n">
        <v>0</v>
      </c>
      <c r="G1113" s="7" t="n">
        <v>-84.99</v>
      </c>
      <c r="H1113" s="8" t="n">
        <f aca="false">E1113+F1113+G1113</f>
        <v>189.98</v>
      </c>
      <c r="I1113" s="9" t="n">
        <f aca="false">IF($H$1182=0,0,H1113/$H$1182)</f>
        <v>1.5737646399874E-005</v>
      </c>
      <c r="J1113" s="10" t="n">
        <f aca="false">IF(C1113&lt;=0,0,H1113/C1113)</f>
        <v>94.99</v>
      </c>
    </row>
    <row r="1114" customFormat="false" ht="15" hidden="false" customHeight="true" outlineLevel="0" collapsed="false">
      <c r="A1114" s="11" t="n">
        <v>1110</v>
      </c>
      <c r="B1114" s="11" t="s">
        <v>1121</v>
      </c>
      <c r="C1114" s="12" t="n">
        <v>2</v>
      </c>
      <c r="D1114" s="12" t="n">
        <v>1</v>
      </c>
      <c r="E1114" s="13" t="n">
        <v>159.98</v>
      </c>
      <c r="F1114" s="13" t="n">
        <v>0</v>
      </c>
      <c r="G1114" s="13" t="n">
        <v>0</v>
      </c>
      <c r="H1114" s="14" t="n">
        <f aca="false">E1114+F1114+G1114</f>
        <v>159.98</v>
      </c>
      <c r="I1114" s="15" t="n">
        <f aca="false">IF($H$1182=0,0,H1114/$H$1182)</f>
        <v>1.32524932679852E-005</v>
      </c>
      <c r="J1114" s="16" t="n">
        <f aca="false">IF(C1114&lt;=0,0,H1114/C1114)</f>
        <v>79.99</v>
      </c>
    </row>
    <row r="1115" customFormat="false" ht="15" hidden="false" customHeight="true" outlineLevel="0" collapsed="false">
      <c r="A1115" s="5" t="n">
        <v>1111</v>
      </c>
      <c r="B1115" s="5" t="s">
        <v>1122</v>
      </c>
      <c r="C1115" s="6" t="n">
        <v>2</v>
      </c>
      <c r="D1115" s="6" t="n">
        <v>2</v>
      </c>
      <c r="E1115" s="7" t="n">
        <v>99.98</v>
      </c>
      <c r="F1115" s="7" t="n">
        <v>0</v>
      </c>
      <c r="G1115" s="7" t="n">
        <v>0</v>
      </c>
      <c r="H1115" s="8" t="n">
        <f aca="false">E1115+F1115+G1115</f>
        <v>99.98</v>
      </c>
      <c r="I1115" s="9" t="n">
        <f aca="false">IF($H$1182=0,0,H1115/$H$1182)</f>
        <v>8.28218700420781E-006</v>
      </c>
      <c r="J1115" s="10" t="n">
        <f aca="false">IF(C1115&lt;=0,0,H1115/C1115)</f>
        <v>49.99</v>
      </c>
    </row>
    <row r="1116" customFormat="false" ht="15" hidden="false" customHeight="true" outlineLevel="0" collapsed="false">
      <c r="A1116" s="11" t="n">
        <v>1112</v>
      </c>
      <c r="B1116" s="11" t="s">
        <v>1123</v>
      </c>
      <c r="C1116" s="12" t="n">
        <v>2</v>
      </c>
      <c r="D1116" s="12" t="n">
        <v>2</v>
      </c>
      <c r="E1116" s="13" t="n">
        <v>93.54</v>
      </c>
      <c r="F1116" s="13" t="n">
        <v>0</v>
      </c>
      <c r="G1116" s="13" t="n">
        <v>0</v>
      </c>
      <c r="H1116" s="14" t="n">
        <f aca="false">E1116+F1116+G1116</f>
        <v>93.54</v>
      </c>
      <c r="I1116" s="15" t="n">
        <f aca="false">IF($H$1182=0,0,H1116/$H$1182)</f>
        <v>7.74870746522903E-006</v>
      </c>
      <c r="J1116" s="16" t="n">
        <f aca="false">IF(C1116&lt;=0,0,H1116/C1116)</f>
        <v>46.77</v>
      </c>
    </row>
    <row r="1117" customFormat="false" ht="15" hidden="false" customHeight="true" outlineLevel="0" collapsed="false">
      <c r="A1117" s="5" t="n">
        <v>1113</v>
      </c>
      <c r="B1117" s="5" t="s">
        <v>1124</v>
      </c>
      <c r="C1117" s="6" t="n">
        <v>2</v>
      </c>
      <c r="D1117" s="6" t="n">
        <v>3</v>
      </c>
      <c r="E1117" s="7" t="n">
        <v>256.23</v>
      </c>
      <c r="F1117" s="7" t="n">
        <v>-85.41</v>
      </c>
      <c r="G1117" s="7" t="n">
        <v>-85.41</v>
      </c>
      <c r="H1117" s="8" t="n">
        <f aca="false">E1117+F1117+G1117</f>
        <v>85.41</v>
      </c>
      <c r="I1117" s="9" t="n">
        <f aca="false">IF($H$1182=0,0,H1117/$H$1182)</f>
        <v>7.07523096648719E-006</v>
      </c>
      <c r="J1117" s="10" t="n">
        <f aca="false">IF(C1117&lt;=0,0,H1117/C1117)</f>
        <v>42.705</v>
      </c>
    </row>
    <row r="1118" customFormat="false" ht="15" hidden="false" customHeight="true" outlineLevel="0" collapsed="false">
      <c r="A1118" s="11" t="n">
        <v>1114</v>
      </c>
      <c r="B1118" s="11" t="s">
        <v>1125</v>
      </c>
      <c r="C1118" s="12" t="n">
        <v>2</v>
      </c>
      <c r="D1118" s="12" t="n">
        <v>1</v>
      </c>
      <c r="E1118" s="13" t="n">
        <v>79.98</v>
      </c>
      <c r="F1118" s="13" t="n">
        <v>0</v>
      </c>
      <c r="G1118" s="13" t="n">
        <v>0</v>
      </c>
      <c r="H1118" s="14" t="n">
        <f aca="false">E1118+F1118+G1118</f>
        <v>79.98</v>
      </c>
      <c r="I1118" s="15" t="n">
        <f aca="false">IF($H$1182=0,0,H1118/$H$1182)</f>
        <v>6.62541824961533E-006</v>
      </c>
      <c r="J1118" s="16" t="n">
        <f aca="false">IF(C1118&lt;=0,0,H1118/C1118)</f>
        <v>39.99</v>
      </c>
    </row>
    <row r="1119" customFormat="false" ht="15" hidden="false" customHeight="true" outlineLevel="0" collapsed="false">
      <c r="A1119" s="5" t="n">
        <v>1115</v>
      </c>
      <c r="B1119" s="5" t="s">
        <v>1126</v>
      </c>
      <c r="C1119" s="6" t="n">
        <v>2</v>
      </c>
      <c r="D1119" s="6" t="n">
        <v>3</v>
      </c>
      <c r="E1119" s="7" t="n">
        <v>78.4</v>
      </c>
      <c r="F1119" s="7" t="n">
        <v>0</v>
      </c>
      <c r="G1119" s="7" t="n">
        <v>-18.42</v>
      </c>
      <c r="H1119" s="8" t="n">
        <f aca="false">E1119+F1119+G1119</f>
        <v>59.98</v>
      </c>
      <c r="I1119" s="9" t="n">
        <f aca="false">IF($H$1182=0,0,H1119/$H$1182)</f>
        <v>4.96864949502285E-006</v>
      </c>
      <c r="J1119" s="10" t="n">
        <f aca="false">IF(C1119&lt;=0,0,H1119/C1119)</f>
        <v>29.99</v>
      </c>
    </row>
    <row r="1120" customFormat="false" ht="15" hidden="false" customHeight="true" outlineLevel="0" collapsed="false">
      <c r="A1120" s="11" t="n">
        <v>1116</v>
      </c>
      <c r="B1120" s="11" t="s">
        <v>1127</v>
      </c>
      <c r="C1120" s="12" t="n">
        <v>2</v>
      </c>
      <c r="D1120" s="12" t="n">
        <v>1</v>
      </c>
      <c r="E1120" s="13" t="n">
        <v>39.98</v>
      </c>
      <c r="F1120" s="13" t="n">
        <v>0</v>
      </c>
      <c r="G1120" s="13" t="n">
        <v>0</v>
      </c>
      <c r="H1120" s="14" t="n">
        <f aca="false">E1120+F1120+G1120</f>
        <v>39.98</v>
      </c>
      <c r="I1120" s="15" t="n">
        <f aca="false">IF($H$1182=0,0,H1120/$H$1182)</f>
        <v>3.31188074043037E-006</v>
      </c>
      <c r="J1120" s="16" t="n">
        <f aca="false">IF(C1120&lt;=0,0,H1120/C1120)</f>
        <v>19.99</v>
      </c>
    </row>
    <row r="1121" customFormat="false" ht="15" hidden="false" customHeight="true" outlineLevel="0" collapsed="false">
      <c r="A1121" s="5" t="n">
        <v>1117</v>
      </c>
      <c r="B1121" s="5" t="s">
        <v>1128</v>
      </c>
      <c r="C1121" s="6" t="n">
        <v>2</v>
      </c>
      <c r="D1121" s="6" t="n">
        <v>2</v>
      </c>
      <c r="E1121" s="7" t="n">
        <v>39.98</v>
      </c>
      <c r="F1121" s="7" t="n">
        <v>0</v>
      </c>
      <c r="G1121" s="7" t="n">
        <v>0</v>
      </c>
      <c r="H1121" s="8" t="n">
        <f aca="false">E1121+F1121+G1121</f>
        <v>39.98</v>
      </c>
      <c r="I1121" s="9" t="n">
        <f aca="false">IF($H$1182=0,0,H1121/$H$1182)</f>
        <v>3.31188074043037E-006</v>
      </c>
      <c r="J1121" s="10" t="n">
        <f aca="false">IF(C1121&lt;=0,0,H1121/C1121)</f>
        <v>19.99</v>
      </c>
    </row>
    <row r="1122" customFormat="false" ht="15" hidden="false" customHeight="true" outlineLevel="0" collapsed="false">
      <c r="A1122" s="11" t="n">
        <v>1118</v>
      </c>
      <c r="B1122" s="11" t="s">
        <v>1129</v>
      </c>
      <c r="C1122" s="12" t="n">
        <v>1</v>
      </c>
      <c r="D1122" s="12" t="n">
        <v>1</v>
      </c>
      <c r="E1122" s="13" t="n">
        <v>2600</v>
      </c>
      <c r="F1122" s="13" t="n">
        <v>0</v>
      </c>
      <c r="G1122" s="13" t="n">
        <v>0</v>
      </c>
      <c r="H1122" s="14" t="n">
        <f aca="false">E1122+F1122+G1122</f>
        <v>2600</v>
      </c>
      <c r="I1122" s="15" t="n">
        <f aca="false">IF($H$1182=0,0,H1122/$H$1182)</f>
        <v>0.000215379938097022</v>
      </c>
      <c r="J1122" s="16" t="n">
        <f aca="false">IF(C1122&lt;=0,0,H1122/C1122)</f>
        <v>2600</v>
      </c>
    </row>
    <row r="1123" customFormat="false" ht="15" hidden="false" customHeight="true" outlineLevel="0" collapsed="false">
      <c r="A1123" s="5" t="n">
        <v>1119</v>
      </c>
      <c r="B1123" s="5" t="s">
        <v>1130</v>
      </c>
      <c r="C1123" s="6" t="n">
        <v>1</v>
      </c>
      <c r="D1123" s="6" t="n">
        <v>5</v>
      </c>
      <c r="E1123" s="7" t="n">
        <v>12500</v>
      </c>
      <c r="F1123" s="7" t="n">
        <v>0</v>
      </c>
      <c r="G1123" s="7" t="n">
        <v>-10000</v>
      </c>
      <c r="H1123" s="8" t="n">
        <f aca="false">E1123+F1123+G1123</f>
        <v>2500</v>
      </c>
      <c r="I1123" s="9" t="n">
        <f aca="false">IF($H$1182=0,0,H1123/$H$1182)</f>
        <v>0.00020709609432406</v>
      </c>
      <c r="J1123" s="10" t="n">
        <f aca="false">IF(C1123&lt;=0,0,H1123/C1123)</f>
        <v>2500</v>
      </c>
    </row>
    <row r="1124" customFormat="false" ht="15" hidden="false" customHeight="true" outlineLevel="0" collapsed="false">
      <c r="A1124" s="11" t="n">
        <v>1120</v>
      </c>
      <c r="B1124" s="11" t="s">
        <v>1131</v>
      </c>
      <c r="C1124" s="12" t="n">
        <v>1</v>
      </c>
      <c r="D1124" s="12" t="n">
        <v>1</v>
      </c>
      <c r="E1124" s="13" t="n">
        <v>2500</v>
      </c>
      <c r="F1124" s="13" t="n">
        <v>0</v>
      </c>
      <c r="G1124" s="13" t="n">
        <v>0</v>
      </c>
      <c r="H1124" s="14" t="n">
        <f aca="false">E1124+F1124+G1124</f>
        <v>2500</v>
      </c>
      <c r="I1124" s="15" t="n">
        <f aca="false">IF($H$1182=0,0,H1124/$H$1182)</f>
        <v>0.00020709609432406</v>
      </c>
      <c r="J1124" s="16" t="n">
        <f aca="false">IF(C1124&lt;=0,0,H1124/C1124)</f>
        <v>2500</v>
      </c>
    </row>
    <row r="1125" customFormat="false" ht="15" hidden="false" customHeight="true" outlineLevel="0" collapsed="false">
      <c r="A1125" s="5" t="n">
        <v>1121</v>
      </c>
      <c r="B1125" s="5" t="s">
        <v>1132</v>
      </c>
      <c r="C1125" s="6" t="n">
        <v>1</v>
      </c>
      <c r="D1125" s="6" t="n">
        <v>2</v>
      </c>
      <c r="E1125" s="7" t="n">
        <v>4400</v>
      </c>
      <c r="F1125" s="7" t="n">
        <v>-220</v>
      </c>
      <c r="G1125" s="7" t="n">
        <v>-2200</v>
      </c>
      <c r="H1125" s="8" t="n">
        <f aca="false">E1125+F1125+G1125</f>
        <v>1980</v>
      </c>
      <c r="I1125" s="9" t="n">
        <f aca="false">IF($H$1182=0,0,H1125/$H$1182)</f>
        <v>0.000164020106704656</v>
      </c>
      <c r="J1125" s="10" t="n">
        <f aca="false">IF(C1125&lt;=0,0,H1125/C1125)</f>
        <v>1980</v>
      </c>
    </row>
    <row r="1126" customFormat="false" ht="15" hidden="false" customHeight="true" outlineLevel="0" collapsed="false">
      <c r="A1126" s="11" t="n">
        <v>1122</v>
      </c>
      <c r="B1126" s="11" t="s">
        <v>1133</v>
      </c>
      <c r="C1126" s="12" t="n">
        <v>1</v>
      </c>
      <c r="D1126" s="12" t="n">
        <v>1</v>
      </c>
      <c r="E1126" s="13" t="n">
        <v>1128</v>
      </c>
      <c r="F1126" s="13" t="n">
        <v>0</v>
      </c>
      <c r="G1126" s="13" t="n">
        <v>0</v>
      </c>
      <c r="H1126" s="14" t="n">
        <f aca="false">E1126+F1126+G1126</f>
        <v>1128</v>
      </c>
      <c r="I1126" s="15" t="n">
        <f aca="false">IF($H$1182=0,0,H1126/$H$1182)</f>
        <v>9.34417577590159E-005</v>
      </c>
      <c r="J1126" s="16" t="n">
        <f aca="false">IF(C1126&lt;=0,0,H1126/C1126)</f>
        <v>1128</v>
      </c>
    </row>
    <row r="1127" customFormat="false" ht="15" hidden="false" customHeight="true" outlineLevel="0" collapsed="false">
      <c r="A1127" s="5" t="n">
        <v>1123</v>
      </c>
      <c r="B1127" s="5" t="s">
        <v>1134</v>
      </c>
      <c r="C1127" s="6" t="n">
        <v>1</v>
      </c>
      <c r="D1127" s="6" t="n">
        <v>1</v>
      </c>
      <c r="E1127" s="7" t="n">
        <v>1150</v>
      </c>
      <c r="F1127" s="7" t="n">
        <v>-115</v>
      </c>
      <c r="G1127" s="7" t="n">
        <v>0</v>
      </c>
      <c r="H1127" s="8" t="n">
        <f aca="false">E1127+F1127+G1127</f>
        <v>1035</v>
      </c>
      <c r="I1127" s="9" t="n">
        <f aca="false">IF($H$1182=0,0,H1127/$H$1182)</f>
        <v>8.57377830501608E-005</v>
      </c>
      <c r="J1127" s="10" t="n">
        <f aca="false">IF(C1127&lt;=0,0,H1127/C1127)</f>
        <v>1035</v>
      </c>
    </row>
    <row r="1128" customFormat="false" ht="15" hidden="false" customHeight="true" outlineLevel="0" collapsed="false">
      <c r="A1128" s="11" t="n">
        <v>1124</v>
      </c>
      <c r="B1128" s="11" t="s">
        <v>1135</v>
      </c>
      <c r="C1128" s="12" t="n">
        <v>1</v>
      </c>
      <c r="D1128" s="12" t="n">
        <v>2</v>
      </c>
      <c r="E1128" s="13" t="n">
        <v>1988.98</v>
      </c>
      <c r="F1128" s="13" t="n">
        <v>-0.96</v>
      </c>
      <c r="G1128" s="13" t="n">
        <v>-968.99</v>
      </c>
      <c r="H1128" s="14" t="n">
        <f aca="false">E1128+F1128+G1128</f>
        <v>1019.03</v>
      </c>
      <c r="I1128" s="15" t="n">
        <f aca="false">IF($H$1182=0,0,H1128/$H$1182)</f>
        <v>8.44148531996187E-005</v>
      </c>
      <c r="J1128" s="16" t="n">
        <f aca="false">IF(C1128&lt;=0,0,H1128/C1128)</f>
        <v>1019.03</v>
      </c>
    </row>
    <row r="1129" customFormat="false" ht="15" hidden="false" customHeight="true" outlineLevel="0" collapsed="false">
      <c r="A1129" s="5" t="n">
        <v>1125</v>
      </c>
      <c r="B1129" s="5" t="s">
        <v>1136</v>
      </c>
      <c r="C1129" s="6" t="n">
        <v>1</v>
      </c>
      <c r="D1129" s="6" t="n">
        <v>1</v>
      </c>
      <c r="E1129" s="7" t="n">
        <v>1000</v>
      </c>
      <c r="F1129" s="7" t="n">
        <v>0</v>
      </c>
      <c r="G1129" s="7" t="n">
        <v>0</v>
      </c>
      <c r="H1129" s="8" t="n">
        <f aca="false">E1129+F1129+G1129</f>
        <v>1000</v>
      </c>
      <c r="I1129" s="9" t="n">
        <f aca="false">IF($H$1182=0,0,H1129/$H$1182)</f>
        <v>8.2838437729624E-005</v>
      </c>
      <c r="J1129" s="10" t="n">
        <f aca="false">IF(C1129&lt;=0,0,H1129/C1129)</f>
        <v>1000</v>
      </c>
    </row>
    <row r="1130" customFormat="false" ht="15" hidden="false" customHeight="true" outlineLevel="0" collapsed="false">
      <c r="A1130" s="11" t="n">
        <v>1126</v>
      </c>
      <c r="B1130" s="11" t="s">
        <v>1137</v>
      </c>
      <c r="C1130" s="12" t="n">
        <v>1</v>
      </c>
      <c r="D1130" s="12" t="n">
        <v>2</v>
      </c>
      <c r="E1130" s="13" t="n">
        <v>3199.96</v>
      </c>
      <c r="F1130" s="13" t="n">
        <v>0</v>
      </c>
      <c r="G1130" s="13" t="n">
        <v>-2599.96</v>
      </c>
      <c r="H1130" s="14" t="n">
        <f aca="false">E1130+F1130+G1130</f>
        <v>600</v>
      </c>
      <c r="I1130" s="15" t="n">
        <f aca="false">IF($H$1182=0,0,H1130/$H$1182)</f>
        <v>4.97030626377744E-005</v>
      </c>
      <c r="J1130" s="16" t="n">
        <f aca="false">IF(C1130&lt;=0,0,H1130/C1130)</f>
        <v>600</v>
      </c>
    </row>
    <row r="1131" customFormat="false" ht="15" hidden="false" customHeight="true" outlineLevel="0" collapsed="false">
      <c r="A1131" s="5" t="n">
        <v>1127</v>
      </c>
      <c r="B1131" s="5" t="s">
        <v>1138</v>
      </c>
      <c r="C1131" s="6" t="n">
        <v>1</v>
      </c>
      <c r="D1131" s="6" t="n">
        <v>1</v>
      </c>
      <c r="E1131" s="7" t="n">
        <v>600</v>
      </c>
      <c r="F1131" s="7" t="n">
        <v>0</v>
      </c>
      <c r="G1131" s="7" t="n">
        <v>0</v>
      </c>
      <c r="H1131" s="8" t="n">
        <f aca="false">E1131+F1131+G1131</f>
        <v>600</v>
      </c>
      <c r="I1131" s="9" t="n">
        <f aca="false">IF($H$1182=0,0,H1131/$H$1182)</f>
        <v>4.97030626377744E-005</v>
      </c>
      <c r="J1131" s="10" t="n">
        <f aca="false">IF(C1131&lt;=0,0,H1131/C1131)</f>
        <v>600</v>
      </c>
    </row>
    <row r="1132" customFormat="false" ht="15" hidden="false" customHeight="true" outlineLevel="0" collapsed="false">
      <c r="A1132" s="11" t="n">
        <v>1128</v>
      </c>
      <c r="B1132" s="11" t="s">
        <v>1139</v>
      </c>
      <c r="C1132" s="12" t="n">
        <v>1</v>
      </c>
      <c r="D1132" s="12" t="n">
        <v>1</v>
      </c>
      <c r="E1132" s="13" t="n">
        <v>599.99</v>
      </c>
      <c r="F1132" s="13" t="n">
        <v>0</v>
      </c>
      <c r="G1132" s="13" t="n">
        <v>0</v>
      </c>
      <c r="H1132" s="14" t="n">
        <f aca="false">E1132+F1132+G1132</f>
        <v>599.99</v>
      </c>
      <c r="I1132" s="15" t="n">
        <f aca="false">IF($H$1182=0,0,H1132/$H$1182)</f>
        <v>4.97022342533971E-005</v>
      </c>
      <c r="J1132" s="16" t="n">
        <f aca="false">IF(C1132&lt;=0,0,H1132/C1132)</f>
        <v>599.99</v>
      </c>
    </row>
    <row r="1133" customFormat="false" ht="15" hidden="false" customHeight="true" outlineLevel="0" collapsed="false">
      <c r="A1133" s="5" t="n">
        <v>1129</v>
      </c>
      <c r="B1133" s="5" t="s">
        <v>1140</v>
      </c>
      <c r="C1133" s="6" t="n">
        <v>1</v>
      </c>
      <c r="D1133" s="6" t="n">
        <v>1</v>
      </c>
      <c r="E1133" s="7" t="n">
        <v>599.99</v>
      </c>
      <c r="F1133" s="7" t="n">
        <v>0</v>
      </c>
      <c r="G1133" s="7" t="n">
        <v>0</v>
      </c>
      <c r="H1133" s="8" t="n">
        <f aca="false">E1133+F1133+G1133</f>
        <v>599.99</v>
      </c>
      <c r="I1133" s="9" t="n">
        <f aca="false">IF($H$1182=0,0,H1133/$H$1182)</f>
        <v>4.97022342533971E-005</v>
      </c>
      <c r="J1133" s="10" t="n">
        <f aca="false">IF(C1133&lt;=0,0,H1133/C1133)</f>
        <v>599.99</v>
      </c>
    </row>
    <row r="1134" customFormat="false" ht="15" hidden="false" customHeight="true" outlineLevel="0" collapsed="false">
      <c r="A1134" s="11" t="n">
        <v>1130</v>
      </c>
      <c r="B1134" s="11" t="s">
        <v>1141</v>
      </c>
      <c r="C1134" s="12" t="n">
        <v>1</v>
      </c>
      <c r="D1134" s="12" t="n">
        <v>1</v>
      </c>
      <c r="E1134" s="13" t="n">
        <v>599.99</v>
      </c>
      <c r="F1134" s="13" t="n">
        <v>0</v>
      </c>
      <c r="G1134" s="13" t="n">
        <v>0</v>
      </c>
      <c r="H1134" s="14" t="n">
        <f aca="false">E1134+F1134+G1134</f>
        <v>599.99</v>
      </c>
      <c r="I1134" s="15" t="n">
        <f aca="false">IF($H$1182=0,0,H1134/$H$1182)</f>
        <v>4.97022342533971E-005</v>
      </c>
      <c r="J1134" s="16" t="n">
        <f aca="false">IF(C1134&lt;=0,0,H1134/C1134)</f>
        <v>599.99</v>
      </c>
    </row>
    <row r="1135" customFormat="false" ht="15" hidden="false" customHeight="true" outlineLevel="0" collapsed="false">
      <c r="A1135" s="5" t="n">
        <v>1131</v>
      </c>
      <c r="B1135" s="5" t="s">
        <v>1142</v>
      </c>
      <c r="C1135" s="6" t="n">
        <v>1</v>
      </c>
      <c r="D1135" s="6" t="n">
        <v>1</v>
      </c>
      <c r="E1135" s="7" t="n">
        <v>575</v>
      </c>
      <c r="F1135" s="7" t="n">
        <v>0</v>
      </c>
      <c r="G1135" s="7" t="n">
        <v>0</v>
      </c>
      <c r="H1135" s="8" t="n">
        <f aca="false">E1135+F1135+G1135</f>
        <v>575</v>
      </c>
      <c r="I1135" s="9" t="n">
        <f aca="false">IF($H$1182=0,0,H1135/$H$1182)</f>
        <v>4.76321016945338E-005</v>
      </c>
      <c r="J1135" s="10" t="n">
        <f aca="false">IF(C1135&lt;=0,0,H1135/C1135)</f>
        <v>575</v>
      </c>
    </row>
    <row r="1136" customFormat="false" ht="15" hidden="false" customHeight="true" outlineLevel="0" collapsed="false">
      <c r="A1136" s="11" t="n">
        <v>1132</v>
      </c>
      <c r="B1136" s="11" t="s">
        <v>1143</v>
      </c>
      <c r="C1136" s="12" t="n">
        <v>1</v>
      </c>
      <c r="D1136" s="12" t="n">
        <v>1</v>
      </c>
      <c r="E1136" s="13" t="n">
        <v>575</v>
      </c>
      <c r="F1136" s="13" t="n">
        <v>0</v>
      </c>
      <c r="G1136" s="13" t="n">
        <v>0</v>
      </c>
      <c r="H1136" s="14" t="n">
        <f aca="false">E1136+F1136+G1136</f>
        <v>575</v>
      </c>
      <c r="I1136" s="15" t="n">
        <f aca="false">IF($H$1182=0,0,H1136/$H$1182)</f>
        <v>4.76321016945338E-005</v>
      </c>
      <c r="J1136" s="16" t="n">
        <f aca="false">IF(C1136&lt;=0,0,H1136/C1136)</f>
        <v>575</v>
      </c>
    </row>
    <row r="1137" customFormat="false" ht="15" hidden="false" customHeight="true" outlineLevel="0" collapsed="false">
      <c r="A1137" s="5" t="n">
        <v>1133</v>
      </c>
      <c r="B1137" s="5" t="s">
        <v>1144</v>
      </c>
      <c r="C1137" s="6" t="n">
        <v>1</v>
      </c>
      <c r="D1137" s="6" t="n">
        <v>1</v>
      </c>
      <c r="E1137" s="7" t="n">
        <v>574.99</v>
      </c>
      <c r="F1137" s="7" t="n">
        <v>0</v>
      </c>
      <c r="G1137" s="7" t="n">
        <v>0</v>
      </c>
      <c r="H1137" s="8" t="n">
        <f aca="false">E1137+F1137+G1137</f>
        <v>574.99</v>
      </c>
      <c r="I1137" s="9" t="n">
        <f aca="false">IF($H$1182=0,0,H1137/$H$1182)</f>
        <v>4.76312733101565E-005</v>
      </c>
      <c r="J1137" s="10" t="n">
        <f aca="false">IF(C1137&lt;=0,0,H1137/C1137)</f>
        <v>574.99</v>
      </c>
    </row>
    <row r="1138" customFormat="false" ht="15" hidden="false" customHeight="true" outlineLevel="0" collapsed="false">
      <c r="A1138" s="11" t="n">
        <v>1134</v>
      </c>
      <c r="B1138" s="11" t="s">
        <v>1145</v>
      </c>
      <c r="C1138" s="12" t="n">
        <v>1</v>
      </c>
      <c r="D1138" s="12" t="n">
        <v>1</v>
      </c>
      <c r="E1138" s="13" t="n">
        <v>499.99</v>
      </c>
      <c r="F1138" s="13" t="n">
        <v>0</v>
      </c>
      <c r="G1138" s="13" t="n">
        <v>0</v>
      </c>
      <c r="H1138" s="14" t="n">
        <f aca="false">E1138+F1138+G1138</f>
        <v>499.99</v>
      </c>
      <c r="I1138" s="15" t="n">
        <f aca="false">IF($H$1182=0,0,H1138/$H$1182)</f>
        <v>4.14183904804347E-005</v>
      </c>
      <c r="J1138" s="16" t="n">
        <f aca="false">IF(C1138&lt;=0,0,H1138/C1138)</f>
        <v>499.99</v>
      </c>
    </row>
    <row r="1139" customFormat="false" ht="15" hidden="false" customHeight="true" outlineLevel="0" collapsed="false">
      <c r="A1139" s="5" t="n">
        <v>1135</v>
      </c>
      <c r="B1139" s="5" t="s">
        <v>1146</v>
      </c>
      <c r="C1139" s="6" t="n">
        <v>1</v>
      </c>
      <c r="D1139" s="6" t="n">
        <v>1</v>
      </c>
      <c r="E1139" s="7" t="n">
        <v>399.99</v>
      </c>
      <c r="F1139" s="7" t="n">
        <v>0</v>
      </c>
      <c r="G1139" s="7" t="n">
        <v>0</v>
      </c>
      <c r="H1139" s="8" t="n">
        <f aca="false">E1139+F1139+G1139</f>
        <v>399.99</v>
      </c>
      <c r="I1139" s="9" t="n">
        <f aca="false">IF($H$1182=0,0,H1139/$H$1182)</f>
        <v>3.31345467074723E-005</v>
      </c>
      <c r="J1139" s="10" t="n">
        <f aca="false">IF(C1139&lt;=0,0,H1139/C1139)</f>
        <v>399.99</v>
      </c>
    </row>
    <row r="1140" customFormat="false" ht="15" hidden="false" customHeight="true" outlineLevel="0" collapsed="false">
      <c r="A1140" s="11" t="n">
        <v>1136</v>
      </c>
      <c r="B1140" s="11" t="s">
        <v>1147</v>
      </c>
      <c r="C1140" s="12" t="n">
        <v>1</v>
      </c>
      <c r="D1140" s="12" t="n">
        <v>1</v>
      </c>
      <c r="E1140" s="13" t="n">
        <v>399.99</v>
      </c>
      <c r="F1140" s="13" t="n">
        <v>0</v>
      </c>
      <c r="G1140" s="13" t="n">
        <v>0</v>
      </c>
      <c r="H1140" s="14" t="n">
        <f aca="false">E1140+F1140+G1140</f>
        <v>399.99</v>
      </c>
      <c r="I1140" s="15" t="n">
        <f aca="false">IF($H$1182=0,0,H1140/$H$1182)</f>
        <v>3.31345467074723E-005</v>
      </c>
      <c r="J1140" s="16" t="n">
        <f aca="false">IF(C1140&lt;=0,0,H1140/C1140)</f>
        <v>399.99</v>
      </c>
    </row>
    <row r="1141" customFormat="false" ht="15" hidden="false" customHeight="true" outlineLevel="0" collapsed="false">
      <c r="A1141" s="5" t="n">
        <v>1137</v>
      </c>
      <c r="B1141" s="5" t="s">
        <v>1148</v>
      </c>
      <c r="C1141" s="6" t="n">
        <v>1</v>
      </c>
      <c r="D1141" s="6" t="n">
        <v>2</v>
      </c>
      <c r="E1141" s="7" t="n">
        <v>700</v>
      </c>
      <c r="F1141" s="7" t="n">
        <v>0</v>
      </c>
      <c r="G1141" s="7" t="n">
        <v>-350</v>
      </c>
      <c r="H1141" s="8" t="n">
        <f aca="false">E1141+F1141+G1141</f>
        <v>350</v>
      </c>
      <c r="I1141" s="9" t="n">
        <f aca="false">IF($H$1182=0,0,H1141/$H$1182)</f>
        <v>2.89934532053684E-005</v>
      </c>
      <c r="J1141" s="10" t="n">
        <f aca="false">IF(C1141&lt;=0,0,H1141/C1141)</f>
        <v>350</v>
      </c>
    </row>
    <row r="1142" customFormat="false" ht="15" hidden="false" customHeight="true" outlineLevel="0" collapsed="false">
      <c r="A1142" s="11" t="n">
        <v>1138</v>
      </c>
      <c r="B1142" s="11" t="s">
        <v>1149</v>
      </c>
      <c r="C1142" s="12" t="n">
        <v>1</v>
      </c>
      <c r="D1142" s="12" t="n">
        <v>1</v>
      </c>
      <c r="E1142" s="13" t="n">
        <v>349.99</v>
      </c>
      <c r="F1142" s="13" t="n">
        <v>0</v>
      </c>
      <c r="G1142" s="13" t="n">
        <v>0</v>
      </c>
      <c r="H1142" s="14" t="n">
        <f aca="false">E1142+F1142+G1142</f>
        <v>349.99</v>
      </c>
      <c r="I1142" s="15" t="n">
        <f aca="false">IF($H$1182=0,0,H1142/$H$1182)</f>
        <v>2.89926248209911E-005</v>
      </c>
      <c r="J1142" s="16" t="n">
        <f aca="false">IF(C1142&lt;=0,0,H1142/C1142)</f>
        <v>349.99</v>
      </c>
    </row>
    <row r="1143" customFormat="false" ht="15" hidden="false" customHeight="true" outlineLevel="0" collapsed="false">
      <c r="A1143" s="5" t="n">
        <v>1139</v>
      </c>
      <c r="B1143" s="5" t="s">
        <v>1150</v>
      </c>
      <c r="C1143" s="6" t="n">
        <v>1</v>
      </c>
      <c r="D1143" s="6" t="n">
        <v>1</v>
      </c>
      <c r="E1143" s="7" t="n">
        <v>349.99</v>
      </c>
      <c r="F1143" s="7" t="n">
        <v>0</v>
      </c>
      <c r="G1143" s="7" t="n">
        <v>0</v>
      </c>
      <c r="H1143" s="8" t="n">
        <f aca="false">E1143+F1143+G1143</f>
        <v>349.99</v>
      </c>
      <c r="I1143" s="9" t="n">
        <f aca="false">IF($H$1182=0,0,H1143/$H$1182)</f>
        <v>2.89926248209911E-005</v>
      </c>
      <c r="J1143" s="10" t="n">
        <f aca="false">IF(C1143&lt;=0,0,H1143/C1143)</f>
        <v>349.99</v>
      </c>
    </row>
    <row r="1144" customFormat="false" ht="15" hidden="false" customHeight="true" outlineLevel="0" collapsed="false">
      <c r="A1144" s="11" t="n">
        <v>1140</v>
      </c>
      <c r="B1144" s="11" t="s">
        <v>1151</v>
      </c>
      <c r="C1144" s="12" t="n">
        <v>1</v>
      </c>
      <c r="D1144" s="12" t="n">
        <v>2</v>
      </c>
      <c r="E1144" s="13" t="n">
        <v>559.98</v>
      </c>
      <c r="F1144" s="13" t="n">
        <v>0</v>
      </c>
      <c r="G1144" s="13" t="n">
        <v>-279.99</v>
      </c>
      <c r="H1144" s="14" t="n">
        <f aca="false">E1144+F1144+G1144</f>
        <v>279.99</v>
      </c>
      <c r="I1144" s="15" t="n">
        <f aca="false">IF($H$1182=0,0,H1144/$H$1182)</f>
        <v>2.31939341799174E-005</v>
      </c>
      <c r="J1144" s="16" t="n">
        <f aca="false">IF(C1144&lt;=0,0,H1144/C1144)</f>
        <v>279.99</v>
      </c>
    </row>
    <row r="1145" customFormat="false" ht="15" hidden="false" customHeight="true" outlineLevel="0" collapsed="false">
      <c r="A1145" s="5" t="n">
        <v>1141</v>
      </c>
      <c r="B1145" s="5" t="s">
        <v>1152</v>
      </c>
      <c r="C1145" s="6" t="n">
        <v>1</v>
      </c>
      <c r="D1145" s="6" t="n">
        <v>1</v>
      </c>
      <c r="E1145" s="7" t="n">
        <v>274.99</v>
      </c>
      <c r="F1145" s="7" t="n">
        <v>0</v>
      </c>
      <c r="G1145" s="7" t="n">
        <v>0</v>
      </c>
      <c r="H1145" s="8" t="n">
        <f aca="false">E1145+F1145+G1145</f>
        <v>274.99</v>
      </c>
      <c r="I1145" s="9" t="n">
        <f aca="false">IF($H$1182=0,0,H1145/$H$1182)</f>
        <v>2.27797419912693E-005</v>
      </c>
      <c r="J1145" s="10" t="n">
        <f aca="false">IF(C1145&lt;=0,0,H1145/C1145)</f>
        <v>274.99</v>
      </c>
    </row>
    <row r="1146" customFormat="false" ht="15" hidden="false" customHeight="true" outlineLevel="0" collapsed="false">
      <c r="A1146" s="11" t="n">
        <v>1142</v>
      </c>
      <c r="B1146" s="11" t="s">
        <v>1153</v>
      </c>
      <c r="C1146" s="12" t="n">
        <v>1</v>
      </c>
      <c r="D1146" s="12" t="n">
        <v>1</v>
      </c>
      <c r="E1146" s="13" t="n">
        <v>225</v>
      </c>
      <c r="F1146" s="13" t="n">
        <v>0</v>
      </c>
      <c r="G1146" s="13" t="n">
        <v>0</v>
      </c>
      <c r="H1146" s="14" t="n">
        <f aca="false">E1146+F1146+G1146</f>
        <v>225</v>
      </c>
      <c r="I1146" s="15" t="n">
        <f aca="false">IF($H$1182=0,0,H1146/$H$1182)</f>
        <v>1.86386484891654E-005</v>
      </c>
      <c r="J1146" s="16" t="n">
        <f aca="false">IF(C1146&lt;=0,0,H1146/C1146)</f>
        <v>225</v>
      </c>
    </row>
    <row r="1147" customFormat="false" ht="15" hidden="false" customHeight="true" outlineLevel="0" collapsed="false">
      <c r="A1147" s="5" t="n">
        <v>1143</v>
      </c>
      <c r="B1147" s="5" t="s">
        <v>1154</v>
      </c>
      <c r="C1147" s="6" t="n">
        <v>1</v>
      </c>
      <c r="D1147" s="6" t="n">
        <v>1</v>
      </c>
      <c r="E1147" s="7" t="n">
        <v>219.99</v>
      </c>
      <c r="F1147" s="7" t="n">
        <v>0</v>
      </c>
      <c r="G1147" s="7" t="n">
        <v>0</v>
      </c>
      <c r="H1147" s="8" t="n">
        <f aca="false">E1147+F1147+G1147</f>
        <v>219.99</v>
      </c>
      <c r="I1147" s="9" t="n">
        <f aca="false">IF($H$1182=0,0,H1147/$H$1182)</f>
        <v>1.822362791614E-005</v>
      </c>
      <c r="J1147" s="10" t="n">
        <f aca="false">IF(C1147&lt;=0,0,H1147/C1147)</f>
        <v>219.99</v>
      </c>
    </row>
    <row r="1148" customFormat="false" ht="15" hidden="false" customHeight="true" outlineLevel="0" collapsed="false">
      <c r="A1148" s="11" t="n">
        <v>1144</v>
      </c>
      <c r="B1148" s="11" t="s">
        <v>1155</v>
      </c>
      <c r="C1148" s="12" t="n">
        <v>1</v>
      </c>
      <c r="D1148" s="12" t="n">
        <v>1</v>
      </c>
      <c r="E1148" s="13" t="n">
        <v>219.99</v>
      </c>
      <c r="F1148" s="13" t="n">
        <v>0</v>
      </c>
      <c r="G1148" s="13" t="n">
        <v>0</v>
      </c>
      <c r="H1148" s="14" t="n">
        <f aca="false">E1148+F1148+G1148</f>
        <v>219.99</v>
      </c>
      <c r="I1148" s="15" t="n">
        <f aca="false">IF($H$1182=0,0,H1148/$H$1182)</f>
        <v>1.822362791614E-005</v>
      </c>
      <c r="J1148" s="16" t="n">
        <f aca="false">IF(C1148&lt;=0,0,H1148/C1148)</f>
        <v>219.99</v>
      </c>
    </row>
    <row r="1149" customFormat="false" ht="15" hidden="false" customHeight="true" outlineLevel="0" collapsed="false">
      <c r="A1149" s="5" t="n">
        <v>1145</v>
      </c>
      <c r="B1149" s="5" t="s">
        <v>1156</v>
      </c>
      <c r="C1149" s="6" t="n">
        <v>1</v>
      </c>
      <c r="D1149" s="6" t="n">
        <v>1</v>
      </c>
      <c r="E1149" s="7" t="n">
        <v>219.99</v>
      </c>
      <c r="F1149" s="7" t="n">
        <v>0</v>
      </c>
      <c r="G1149" s="7" t="n">
        <v>0</v>
      </c>
      <c r="H1149" s="8" t="n">
        <f aca="false">E1149+F1149+G1149</f>
        <v>219.99</v>
      </c>
      <c r="I1149" s="9" t="n">
        <f aca="false">IF($H$1182=0,0,H1149/$H$1182)</f>
        <v>1.822362791614E-005</v>
      </c>
      <c r="J1149" s="10" t="n">
        <f aca="false">IF(C1149&lt;=0,0,H1149/C1149)</f>
        <v>219.99</v>
      </c>
    </row>
    <row r="1150" customFormat="false" ht="15" hidden="false" customHeight="true" outlineLevel="0" collapsed="false">
      <c r="A1150" s="11" t="n">
        <v>1146</v>
      </c>
      <c r="B1150" s="11" t="s">
        <v>1157</v>
      </c>
      <c r="C1150" s="12" t="n">
        <v>1</v>
      </c>
      <c r="D1150" s="12" t="n">
        <v>1</v>
      </c>
      <c r="E1150" s="13" t="n">
        <v>219.99</v>
      </c>
      <c r="F1150" s="13" t="n">
        <v>0</v>
      </c>
      <c r="G1150" s="13" t="n">
        <v>0</v>
      </c>
      <c r="H1150" s="14" t="n">
        <f aca="false">E1150+F1150+G1150</f>
        <v>219.99</v>
      </c>
      <c r="I1150" s="15" t="n">
        <f aca="false">IF($H$1182=0,0,H1150/$H$1182)</f>
        <v>1.822362791614E-005</v>
      </c>
      <c r="J1150" s="16" t="n">
        <f aca="false">IF(C1150&lt;=0,0,H1150/C1150)</f>
        <v>219.99</v>
      </c>
    </row>
    <row r="1151" customFormat="false" ht="15" hidden="false" customHeight="true" outlineLevel="0" collapsed="false">
      <c r="A1151" s="5" t="n">
        <v>1147</v>
      </c>
      <c r="B1151" s="5" t="s">
        <v>1158</v>
      </c>
      <c r="C1151" s="6" t="n">
        <v>1</v>
      </c>
      <c r="D1151" s="6" t="n">
        <v>1</v>
      </c>
      <c r="E1151" s="7" t="n">
        <v>179.99</v>
      </c>
      <c r="F1151" s="7" t="n">
        <v>0</v>
      </c>
      <c r="G1151" s="7" t="n">
        <v>0</v>
      </c>
      <c r="H1151" s="8" t="n">
        <f aca="false">E1151+F1151+G1151</f>
        <v>179.99</v>
      </c>
      <c r="I1151" s="9" t="n">
        <f aca="false">IF($H$1182=0,0,H1151/$H$1182)</f>
        <v>1.4910090406955E-005</v>
      </c>
      <c r="J1151" s="10" t="n">
        <f aca="false">IF(C1151&lt;=0,0,H1151/C1151)</f>
        <v>179.99</v>
      </c>
    </row>
    <row r="1152" customFormat="false" ht="15" hidden="false" customHeight="true" outlineLevel="0" collapsed="false">
      <c r="A1152" s="11" t="n">
        <v>1148</v>
      </c>
      <c r="B1152" s="11" t="s">
        <v>1159</v>
      </c>
      <c r="C1152" s="12" t="n">
        <v>1</v>
      </c>
      <c r="D1152" s="12" t="n">
        <v>1</v>
      </c>
      <c r="E1152" s="13" t="n">
        <v>174.99</v>
      </c>
      <c r="F1152" s="13" t="n">
        <v>0</v>
      </c>
      <c r="G1152" s="13" t="n">
        <v>0</v>
      </c>
      <c r="H1152" s="14" t="n">
        <f aca="false">E1152+F1152+G1152</f>
        <v>174.99</v>
      </c>
      <c r="I1152" s="15" t="n">
        <f aca="false">IF($H$1182=0,0,H1152/$H$1182)</f>
        <v>1.44958982183069E-005</v>
      </c>
      <c r="J1152" s="16" t="n">
        <f aca="false">IF(C1152&lt;=0,0,H1152/C1152)</f>
        <v>174.99</v>
      </c>
    </row>
    <row r="1153" customFormat="false" ht="15" hidden="false" customHeight="true" outlineLevel="0" collapsed="false">
      <c r="A1153" s="5" t="n">
        <v>1149</v>
      </c>
      <c r="B1153" s="5" t="s">
        <v>1160</v>
      </c>
      <c r="C1153" s="6" t="n">
        <v>1</v>
      </c>
      <c r="D1153" s="6" t="n">
        <v>1</v>
      </c>
      <c r="E1153" s="7" t="n">
        <v>159.99</v>
      </c>
      <c r="F1153" s="7" t="n">
        <v>0</v>
      </c>
      <c r="G1153" s="7" t="n">
        <v>0</v>
      </c>
      <c r="H1153" s="8" t="n">
        <f aca="false">E1153+F1153+G1153</f>
        <v>159.99</v>
      </c>
      <c r="I1153" s="9" t="n">
        <f aca="false">IF($H$1182=0,0,H1153/$H$1182)</f>
        <v>1.32533216523625E-005</v>
      </c>
      <c r="J1153" s="10" t="n">
        <f aca="false">IF(C1153&lt;=0,0,H1153/C1153)</f>
        <v>159.99</v>
      </c>
    </row>
    <row r="1154" customFormat="false" ht="15" hidden="false" customHeight="true" outlineLevel="0" collapsed="false">
      <c r="A1154" s="11" t="n">
        <v>1150</v>
      </c>
      <c r="B1154" s="11" t="s">
        <v>1161</v>
      </c>
      <c r="C1154" s="12" t="n">
        <v>1</v>
      </c>
      <c r="D1154" s="12" t="n">
        <v>1</v>
      </c>
      <c r="E1154" s="13" t="n">
        <v>149.99</v>
      </c>
      <c r="F1154" s="13" t="n">
        <v>0</v>
      </c>
      <c r="G1154" s="13" t="n">
        <v>0</v>
      </c>
      <c r="H1154" s="14" t="n">
        <f aca="false">E1154+F1154+G1154</f>
        <v>149.99</v>
      </c>
      <c r="I1154" s="15" t="n">
        <f aca="false">IF($H$1182=0,0,H1154/$H$1182)</f>
        <v>1.24249372750663E-005</v>
      </c>
      <c r="J1154" s="16" t="n">
        <f aca="false">IF(C1154&lt;=0,0,H1154/C1154)</f>
        <v>149.99</v>
      </c>
    </row>
    <row r="1155" customFormat="false" ht="15" hidden="false" customHeight="true" outlineLevel="0" collapsed="false">
      <c r="A1155" s="5" t="n">
        <v>1151</v>
      </c>
      <c r="B1155" s="5" t="s">
        <v>1162</v>
      </c>
      <c r="C1155" s="6" t="n">
        <v>1</v>
      </c>
      <c r="D1155" s="6" t="n">
        <v>1</v>
      </c>
      <c r="E1155" s="7" t="n">
        <v>149.99</v>
      </c>
      <c r="F1155" s="7" t="n">
        <v>0</v>
      </c>
      <c r="G1155" s="7" t="n">
        <v>0</v>
      </c>
      <c r="H1155" s="8" t="n">
        <f aca="false">E1155+F1155+G1155</f>
        <v>149.99</v>
      </c>
      <c r="I1155" s="9" t="n">
        <f aca="false">IF($H$1182=0,0,H1155/$H$1182)</f>
        <v>1.24249372750663E-005</v>
      </c>
      <c r="J1155" s="10" t="n">
        <f aca="false">IF(C1155&lt;=0,0,H1155/C1155)</f>
        <v>149.99</v>
      </c>
    </row>
    <row r="1156" customFormat="false" ht="15" hidden="false" customHeight="true" outlineLevel="0" collapsed="false">
      <c r="A1156" s="11" t="n">
        <v>1152</v>
      </c>
      <c r="B1156" s="11" t="s">
        <v>1163</v>
      </c>
      <c r="C1156" s="12" t="n">
        <v>1</v>
      </c>
      <c r="D1156" s="12" t="n">
        <v>2</v>
      </c>
      <c r="E1156" s="13" t="n">
        <v>239.08</v>
      </c>
      <c r="F1156" s="13" t="n">
        <v>0</v>
      </c>
      <c r="G1156" s="13" t="n">
        <v>-89.09</v>
      </c>
      <c r="H1156" s="14" t="n">
        <f aca="false">E1156+F1156+G1156</f>
        <v>149.99</v>
      </c>
      <c r="I1156" s="15" t="n">
        <f aca="false">IF($H$1182=0,0,H1156/$H$1182)</f>
        <v>1.24249372750663E-005</v>
      </c>
      <c r="J1156" s="16" t="n">
        <f aca="false">IF(C1156&lt;=0,0,H1156/C1156)</f>
        <v>149.99</v>
      </c>
    </row>
    <row r="1157" customFormat="false" ht="15" hidden="false" customHeight="true" outlineLevel="0" collapsed="false">
      <c r="A1157" s="5" t="n">
        <v>1153</v>
      </c>
      <c r="B1157" s="5" t="s">
        <v>1164</v>
      </c>
      <c r="C1157" s="6" t="n">
        <v>1</v>
      </c>
      <c r="D1157" s="6" t="n">
        <v>1</v>
      </c>
      <c r="E1157" s="7" t="n">
        <v>140.03</v>
      </c>
      <c r="F1157" s="7" t="n">
        <v>0</v>
      </c>
      <c r="G1157" s="7" t="n">
        <v>0</v>
      </c>
      <c r="H1157" s="8" t="n">
        <f aca="false">E1157+F1157+G1157</f>
        <v>140.03</v>
      </c>
      <c r="I1157" s="9" t="n">
        <f aca="false">IF($H$1182=0,0,H1157/$H$1182)</f>
        <v>1.15998664352793E-005</v>
      </c>
      <c r="J1157" s="10" t="n">
        <f aca="false">IF(C1157&lt;=0,0,H1157/C1157)</f>
        <v>140.03</v>
      </c>
    </row>
    <row r="1158" customFormat="false" ht="15" hidden="false" customHeight="true" outlineLevel="0" collapsed="false">
      <c r="A1158" s="11" t="n">
        <v>1154</v>
      </c>
      <c r="B1158" s="11" t="s">
        <v>1165</v>
      </c>
      <c r="C1158" s="12" t="n">
        <v>1</v>
      </c>
      <c r="D1158" s="12" t="n">
        <v>1</v>
      </c>
      <c r="E1158" s="13" t="n">
        <v>153.23</v>
      </c>
      <c r="F1158" s="13" t="n">
        <v>-15.32</v>
      </c>
      <c r="G1158" s="13" t="n">
        <v>0</v>
      </c>
      <c r="H1158" s="14" t="n">
        <f aca="false">E1158+F1158+G1158</f>
        <v>137.91</v>
      </c>
      <c r="I1158" s="15" t="n">
        <f aca="false">IF($H$1182=0,0,H1158/$H$1182)</f>
        <v>1.14242489472924E-005</v>
      </c>
      <c r="J1158" s="16" t="n">
        <f aca="false">IF(C1158&lt;=0,0,H1158/C1158)</f>
        <v>137.91</v>
      </c>
    </row>
    <row r="1159" customFormat="false" ht="15" hidden="false" customHeight="true" outlineLevel="0" collapsed="false">
      <c r="A1159" s="5" t="n">
        <v>1155</v>
      </c>
      <c r="B1159" s="5" t="s">
        <v>1166</v>
      </c>
      <c r="C1159" s="6" t="n">
        <v>1</v>
      </c>
      <c r="D1159" s="6" t="n">
        <v>2</v>
      </c>
      <c r="E1159" s="7" t="n">
        <v>259.98</v>
      </c>
      <c r="F1159" s="7" t="n">
        <v>0</v>
      </c>
      <c r="G1159" s="7" t="n">
        <v>-129.99</v>
      </c>
      <c r="H1159" s="8" t="n">
        <f aca="false">E1159+F1159+G1159</f>
        <v>129.99</v>
      </c>
      <c r="I1159" s="9" t="n">
        <f aca="false">IF($H$1182=0,0,H1159/$H$1182)</f>
        <v>1.07681685204738E-005</v>
      </c>
      <c r="J1159" s="10" t="n">
        <f aca="false">IF(C1159&lt;=0,0,H1159/C1159)</f>
        <v>129.99</v>
      </c>
    </row>
    <row r="1160" customFormat="false" ht="15" hidden="false" customHeight="true" outlineLevel="0" collapsed="false">
      <c r="A1160" s="11" t="n">
        <v>1156</v>
      </c>
      <c r="B1160" s="11" t="s">
        <v>1167</v>
      </c>
      <c r="C1160" s="12" t="n">
        <v>1</v>
      </c>
      <c r="D1160" s="12" t="n">
        <v>1</v>
      </c>
      <c r="E1160" s="13" t="n">
        <v>110</v>
      </c>
      <c r="F1160" s="13" t="n">
        <v>0</v>
      </c>
      <c r="G1160" s="13" t="n">
        <v>0</v>
      </c>
      <c r="H1160" s="14" t="n">
        <f aca="false">E1160+F1160+G1160</f>
        <v>110</v>
      </c>
      <c r="I1160" s="15" t="n">
        <f aca="false">IF($H$1182=0,0,H1160/$H$1182)</f>
        <v>9.11222815025864E-006</v>
      </c>
      <c r="J1160" s="16" t="n">
        <f aca="false">IF(C1160&lt;=0,0,H1160/C1160)</f>
        <v>110</v>
      </c>
    </row>
    <row r="1161" customFormat="false" ht="15" hidden="false" customHeight="true" outlineLevel="0" collapsed="false">
      <c r="A1161" s="5" t="n">
        <v>1157</v>
      </c>
      <c r="B1161" s="5" t="s">
        <v>1168</v>
      </c>
      <c r="C1161" s="6" t="n">
        <v>1</v>
      </c>
      <c r="D1161" s="6" t="n">
        <v>1</v>
      </c>
      <c r="E1161" s="7" t="n">
        <v>110</v>
      </c>
      <c r="F1161" s="7" t="n">
        <v>0</v>
      </c>
      <c r="G1161" s="7" t="n">
        <v>0</v>
      </c>
      <c r="H1161" s="8" t="n">
        <f aca="false">E1161+F1161+G1161</f>
        <v>110</v>
      </c>
      <c r="I1161" s="9" t="n">
        <f aca="false">IF($H$1182=0,0,H1161/$H$1182)</f>
        <v>9.11222815025864E-006</v>
      </c>
      <c r="J1161" s="10" t="n">
        <f aca="false">IF(C1161&lt;=0,0,H1161/C1161)</f>
        <v>110</v>
      </c>
    </row>
    <row r="1162" customFormat="false" ht="15" hidden="false" customHeight="true" outlineLevel="0" collapsed="false">
      <c r="A1162" s="11" t="n">
        <v>1158</v>
      </c>
      <c r="B1162" s="11" t="s">
        <v>1169</v>
      </c>
      <c r="C1162" s="12" t="n">
        <v>1</v>
      </c>
      <c r="D1162" s="12" t="n">
        <v>1</v>
      </c>
      <c r="E1162" s="13" t="n">
        <v>99.99</v>
      </c>
      <c r="F1162" s="13" t="n">
        <v>0</v>
      </c>
      <c r="G1162" s="13" t="n">
        <v>0</v>
      </c>
      <c r="H1162" s="14" t="n">
        <f aca="false">E1162+F1162+G1162</f>
        <v>99.99</v>
      </c>
      <c r="I1162" s="15" t="n">
        <f aca="false">IF($H$1182=0,0,H1162/$H$1182)</f>
        <v>8.2830153885851E-006</v>
      </c>
      <c r="J1162" s="16" t="n">
        <f aca="false">IF(C1162&lt;=0,0,H1162/C1162)</f>
        <v>99.99</v>
      </c>
    </row>
    <row r="1163" customFormat="false" ht="15" hidden="false" customHeight="true" outlineLevel="0" collapsed="false">
      <c r="A1163" s="5" t="n">
        <v>1159</v>
      </c>
      <c r="B1163" s="5" t="s">
        <v>1170</v>
      </c>
      <c r="C1163" s="6" t="n">
        <v>1</v>
      </c>
      <c r="D1163" s="6" t="n">
        <v>1</v>
      </c>
      <c r="E1163" s="7" t="n">
        <v>99.99</v>
      </c>
      <c r="F1163" s="7" t="n">
        <v>0</v>
      </c>
      <c r="G1163" s="7" t="n">
        <v>0</v>
      </c>
      <c r="H1163" s="8" t="n">
        <f aca="false">E1163+F1163+G1163</f>
        <v>99.99</v>
      </c>
      <c r="I1163" s="9" t="n">
        <f aca="false">IF($H$1182=0,0,H1163/$H$1182)</f>
        <v>8.2830153885851E-006</v>
      </c>
      <c r="J1163" s="10" t="n">
        <f aca="false">IF(C1163&lt;=0,0,H1163/C1163)</f>
        <v>99.99</v>
      </c>
    </row>
    <row r="1164" customFormat="false" ht="15" hidden="false" customHeight="true" outlineLevel="0" collapsed="false">
      <c r="A1164" s="11" t="n">
        <v>1160</v>
      </c>
      <c r="B1164" s="11" t="s">
        <v>1171</v>
      </c>
      <c r="C1164" s="12" t="n">
        <v>1</v>
      </c>
      <c r="D1164" s="12" t="n">
        <v>1</v>
      </c>
      <c r="E1164" s="13" t="n">
        <v>99.99</v>
      </c>
      <c r="F1164" s="13" t="n">
        <v>0</v>
      </c>
      <c r="G1164" s="13" t="n">
        <v>0</v>
      </c>
      <c r="H1164" s="14" t="n">
        <f aca="false">E1164+F1164+G1164</f>
        <v>99.99</v>
      </c>
      <c r="I1164" s="15" t="n">
        <f aca="false">IF($H$1182=0,0,H1164/$H$1182)</f>
        <v>8.2830153885851E-006</v>
      </c>
      <c r="J1164" s="16" t="n">
        <f aca="false">IF(C1164&lt;=0,0,H1164/C1164)</f>
        <v>99.99</v>
      </c>
    </row>
    <row r="1165" customFormat="false" ht="15" hidden="false" customHeight="true" outlineLevel="0" collapsed="false">
      <c r="A1165" s="5" t="n">
        <v>1161</v>
      </c>
      <c r="B1165" s="5" t="s">
        <v>1172</v>
      </c>
      <c r="C1165" s="6" t="n">
        <v>1</v>
      </c>
      <c r="D1165" s="6" t="n">
        <v>1</v>
      </c>
      <c r="E1165" s="7" t="n">
        <v>79.99</v>
      </c>
      <c r="F1165" s="7" t="n">
        <v>0</v>
      </c>
      <c r="G1165" s="7" t="n">
        <v>0</v>
      </c>
      <c r="H1165" s="8" t="n">
        <f aca="false">E1165+F1165+G1165</f>
        <v>79.99</v>
      </c>
      <c r="I1165" s="9" t="n">
        <f aca="false">IF($H$1182=0,0,H1165/$H$1182)</f>
        <v>6.62624663399262E-006</v>
      </c>
      <c r="J1165" s="10" t="n">
        <f aca="false">IF(C1165&lt;=0,0,H1165/C1165)</f>
        <v>79.99</v>
      </c>
    </row>
    <row r="1166" customFormat="false" ht="15" hidden="false" customHeight="true" outlineLevel="0" collapsed="false">
      <c r="A1166" s="11" t="n">
        <v>1162</v>
      </c>
      <c r="B1166" s="11" t="s">
        <v>1173</v>
      </c>
      <c r="C1166" s="12" t="n">
        <v>1</v>
      </c>
      <c r="D1166" s="12" t="n">
        <v>3</v>
      </c>
      <c r="E1166" s="13" t="n">
        <v>674.91</v>
      </c>
      <c r="F1166" s="13" t="n">
        <v>0</v>
      </c>
      <c r="G1166" s="13" t="n">
        <v>-599.92</v>
      </c>
      <c r="H1166" s="14" t="n">
        <f aca="false">E1166+F1166+G1166</f>
        <v>74.99</v>
      </c>
      <c r="I1166" s="15" t="n">
        <f aca="false">IF($H$1182=0,0,H1166/$H$1182)</f>
        <v>6.2120544453445E-006</v>
      </c>
      <c r="J1166" s="16" t="n">
        <f aca="false">IF(C1166&lt;=0,0,H1166/C1166)</f>
        <v>74.99</v>
      </c>
    </row>
    <row r="1167" customFormat="false" ht="15" hidden="false" customHeight="true" outlineLevel="0" collapsed="false">
      <c r="A1167" s="5" t="n">
        <v>1163</v>
      </c>
      <c r="B1167" s="5" t="s">
        <v>1174</v>
      </c>
      <c r="C1167" s="6" t="n">
        <v>1</v>
      </c>
      <c r="D1167" s="6" t="n">
        <v>1</v>
      </c>
      <c r="E1167" s="7" t="n">
        <v>39.99</v>
      </c>
      <c r="F1167" s="7" t="n">
        <v>0</v>
      </c>
      <c r="G1167" s="7" t="n">
        <v>0</v>
      </c>
      <c r="H1167" s="8" t="n">
        <f aca="false">E1167+F1167+G1167</f>
        <v>39.99</v>
      </c>
      <c r="I1167" s="9" t="n">
        <f aca="false">IF($H$1182=0,0,H1167/$H$1182)</f>
        <v>3.31270912480766E-006</v>
      </c>
      <c r="J1167" s="10" t="n">
        <f aca="false">IF(C1167&lt;=0,0,H1167/C1167)</f>
        <v>39.99</v>
      </c>
    </row>
    <row r="1168" customFormat="false" ht="15" hidden="false" customHeight="true" outlineLevel="0" collapsed="false">
      <c r="A1168" s="11" t="n">
        <v>1164</v>
      </c>
      <c r="B1168" s="11" t="s">
        <v>1175</v>
      </c>
      <c r="C1168" s="12" t="n">
        <v>1</v>
      </c>
      <c r="D1168" s="12" t="n">
        <v>1</v>
      </c>
      <c r="E1168" s="13" t="n">
        <v>24.99</v>
      </c>
      <c r="F1168" s="13" t="n">
        <v>0</v>
      </c>
      <c r="G1168" s="13" t="n">
        <v>0</v>
      </c>
      <c r="H1168" s="14" t="n">
        <f aca="false">E1168+F1168+G1168</f>
        <v>24.99</v>
      </c>
      <c r="I1168" s="15" t="n">
        <f aca="false">IF($H$1182=0,0,H1168/$H$1182)</f>
        <v>2.0701325588633E-006</v>
      </c>
      <c r="J1168" s="16" t="n">
        <f aca="false">IF(C1168&lt;=0,0,H1168/C1168)</f>
        <v>24.99</v>
      </c>
    </row>
    <row r="1169" customFormat="false" ht="15" hidden="false" customHeight="true" outlineLevel="0" collapsed="false">
      <c r="A1169" s="5" t="n">
        <v>1165</v>
      </c>
      <c r="B1169" s="5" t="s">
        <v>1176</v>
      </c>
      <c r="C1169" s="6" t="n">
        <v>1</v>
      </c>
      <c r="D1169" s="6" t="n">
        <v>1</v>
      </c>
      <c r="E1169" s="7" t="n">
        <v>19</v>
      </c>
      <c r="F1169" s="7" t="n">
        <v>0</v>
      </c>
      <c r="G1169" s="7" t="n">
        <v>0</v>
      </c>
      <c r="H1169" s="8" t="n">
        <f aca="false">E1169+F1169+G1169</f>
        <v>19</v>
      </c>
      <c r="I1169" s="9" t="n">
        <f aca="false">IF($H$1182=0,0,H1169/$H$1182)</f>
        <v>1.57393031686286E-006</v>
      </c>
      <c r="J1169" s="10" t="n">
        <f aca="false">IF(C1169&lt;=0,0,H1169/C1169)</f>
        <v>19</v>
      </c>
    </row>
    <row r="1170" customFormat="false" ht="15" hidden="false" customHeight="true" outlineLevel="0" collapsed="false">
      <c r="A1170" s="11" t="n">
        <v>1166</v>
      </c>
      <c r="B1170" s="11" t="s">
        <v>1177</v>
      </c>
      <c r="C1170" s="12" t="n">
        <v>1</v>
      </c>
      <c r="D1170" s="12" t="n">
        <v>1</v>
      </c>
      <c r="E1170" s="13" t="n">
        <v>18</v>
      </c>
      <c r="F1170" s="13" t="n">
        <v>0</v>
      </c>
      <c r="G1170" s="13" t="n">
        <v>0</v>
      </c>
      <c r="H1170" s="14" t="n">
        <f aca="false">E1170+F1170+G1170</f>
        <v>18</v>
      </c>
      <c r="I1170" s="15" t="n">
        <f aca="false">IF($H$1182=0,0,H1170/$H$1182)</f>
        <v>1.49109187913323E-006</v>
      </c>
      <c r="J1170" s="16" t="n">
        <f aca="false">IF(C1170&lt;=0,0,H1170/C1170)</f>
        <v>18</v>
      </c>
    </row>
    <row r="1171" customFormat="false" ht="15" hidden="false" customHeight="true" outlineLevel="0" collapsed="false">
      <c r="A1171" s="5" t="n">
        <v>1167</v>
      </c>
      <c r="B1171" s="5" t="s">
        <v>1178</v>
      </c>
      <c r="C1171" s="6" t="n">
        <v>1</v>
      </c>
      <c r="D1171" s="6" t="n">
        <v>2</v>
      </c>
      <c r="E1171" s="7" t="n">
        <v>170.82</v>
      </c>
      <c r="F1171" s="7" t="n">
        <v>-85.41</v>
      </c>
      <c r="G1171" s="7" t="n">
        <v>-85.41</v>
      </c>
      <c r="H1171" s="8" t="n">
        <f aca="false">E1171+F1171+G1171</f>
        <v>0</v>
      </c>
      <c r="I1171" s="9" t="n">
        <f aca="false">IF($H$1182=0,0,H1171/$H$1182)</f>
        <v>0</v>
      </c>
      <c r="J1171" s="10" t="n">
        <f aca="false">IF(C1171&lt;=0,0,H1171/C1171)</f>
        <v>0</v>
      </c>
    </row>
    <row r="1172" customFormat="false" ht="15" hidden="false" customHeight="true" outlineLevel="0" collapsed="false">
      <c r="A1172" s="11" t="n">
        <v>1168</v>
      </c>
      <c r="B1172" s="11" t="s">
        <v>1179</v>
      </c>
      <c r="C1172" s="12" t="n">
        <v>0</v>
      </c>
      <c r="D1172" s="12" t="n">
        <v>1</v>
      </c>
      <c r="E1172" s="13" t="n">
        <v>1299.98</v>
      </c>
      <c r="F1172" s="13" t="n">
        <v>0</v>
      </c>
      <c r="G1172" s="13" t="n">
        <v>-1299.98</v>
      </c>
      <c r="H1172" s="14" t="n">
        <f aca="false">E1172+F1172+G1172</f>
        <v>0</v>
      </c>
      <c r="I1172" s="15" t="n">
        <f aca="false">IF($H$1182=0,0,H1172/$H$1182)</f>
        <v>0</v>
      </c>
      <c r="J1172" s="16" t="n">
        <f aca="false">IF(C1172&lt;=0,0,H1172/C1172)</f>
        <v>0</v>
      </c>
    </row>
    <row r="1173" customFormat="false" ht="15" hidden="false" customHeight="true" outlineLevel="0" collapsed="false">
      <c r="A1173" s="5" t="n">
        <v>1169</v>
      </c>
      <c r="B1173" s="5" t="s">
        <v>1180</v>
      </c>
      <c r="C1173" s="6" t="n">
        <v>0</v>
      </c>
      <c r="D1173" s="6" t="n">
        <v>2</v>
      </c>
      <c r="E1173" s="7" t="n">
        <v>182.4</v>
      </c>
      <c r="F1173" s="7" t="n">
        <v>0</v>
      </c>
      <c r="G1173" s="7" t="n">
        <v>-182.4</v>
      </c>
      <c r="H1173" s="8" t="n">
        <f aca="false">E1173+F1173+G1173</f>
        <v>0</v>
      </c>
      <c r="I1173" s="9" t="n">
        <f aca="false">IF($H$1182=0,0,H1173/$H$1182)</f>
        <v>0</v>
      </c>
      <c r="J1173" s="10" t="n">
        <f aca="false">IF(C1173&lt;=0,0,H1173/C1173)</f>
        <v>0</v>
      </c>
    </row>
    <row r="1174" customFormat="false" ht="15" hidden="false" customHeight="true" outlineLevel="0" collapsed="false">
      <c r="A1174" s="11" t="n">
        <v>1170</v>
      </c>
      <c r="B1174" s="11" t="s">
        <v>1181</v>
      </c>
      <c r="C1174" s="12" t="n">
        <v>0</v>
      </c>
      <c r="D1174" s="12" t="n">
        <v>1</v>
      </c>
      <c r="E1174" s="13" t="n">
        <v>149.99</v>
      </c>
      <c r="F1174" s="13" t="n">
        <v>0</v>
      </c>
      <c r="G1174" s="13" t="n">
        <v>-149.99</v>
      </c>
      <c r="H1174" s="14" t="n">
        <f aca="false">E1174+F1174+G1174</f>
        <v>0</v>
      </c>
      <c r="I1174" s="15" t="n">
        <f aca="false">IF($H$1182=0,0,H1174/$H$1182)</f>
        <v>0</v>
      </c>
      <c r="J1174" s="16" t="n">
        <f aca="false">IF(C1174&lt;=0,0,H1174/C1174)</f>
        <v>0</v>
      </c>
    </row>
    <row r="1175" customFormat="false" ht="15" hidden="false" customHeight="true" outlineLevel="0" collapsed="false">
      <c r="A1175" s="5" t="n">
        <v>1171</v>
      </c>
      <c r="B1175" s="5" t="s">
        <v>1182</v>
      </c>
      <c r="C1175" s="6" t="n">
        <v>0</v>
      </c>
      <c r="D1175" s="6" t="n">
        <v>1</v>
      </c>
      <c r="E1175" s="7" t="n">
        <v>119.99</v>
      </c>
      <c r="F1175" s="7" t="n">
        <v>0</v>
      </c>
      <c r="G1175" s="7" t="n">
        <v>-119.99</v>
      </c>
      <c r="H1175" s="8" t="n">
        <f aca="false">E1175+F1175+G1175</f>
        <v>0</v>
      </c>
      <c r="I1175" s="9" t="n">
        <f aca="false">IF($H$1182=0,0,H1175/$H$1182)</f>
        <v>0</v>
      </c>
      <c r="J1175" s="10" t="n">
        <f aca="false">IF(C1175&lt;=0,0,H1175/C1175)</f>
        <v>0</v>
      </c>
    </row>
    <row r="1176" customFormat="false" ht="15" hidden="false" customHeight="true" outlineLevel="0" collapsed="false">
      <c r="A1176" s="11" t="n">
        <v>1172</v>
      </c>
      <c r="B1176" s="11" t="s">
        <v>1183</v>
      </c>
      <c r="C1176" s="12" t="n">
        <v>0</v>
      </c>
      <c r="D1176" s="12" t="n">
        <v>1</v>
      </c>
      <c r="E1176" s="13" t="n">
        <v>149.99</v>
      </c>
      <c r="F1176" s="13" t="n">
        <v>0</v>
      </c>
      <c r="G1176" s="13" t="n">
        <v>-149.99</v>
      </c>
      <c r="H1176" s="14" t="n">
        <f aca="false">E1176+F1176+G1176</f>
        <v>0</v>
      </c>
      <c r="I1176" s="15" t="n">
        <f aca="false">IF($H$1182=0,0,H1176/$H$1182)</f>
        <v>0</v>
      </c>
      <c r="J1176" s="16" t="n">
        <f aca="false">IF(C1176&lt;=0,0,H1176/C1176)</f>
        <v>0</v>
      </c>
    </row>
    <row r="1177" customFormat="false" ht="15" hidden="false" customHeight="true" outlineLevel="0" collapsed="false">
      <c r="A1177" s="5" t="n">
        <v>1173</v>
      </c>
      <c r="B1177" s="5" t="s">
        <v>1184</v>
      </c>
      <c r="C1177" s="6" t="n">
        <v>0</v>
      </c>
      <c r="D1177" s="6" t="n">
        <v>1</v>
      </c>
      <c r="E1177" s="7" t="n">
        <v>79.99</v>
      </c>
      <c r="F1177" s="7" t="n">
        <v>0</v>
      </c>
      <c r="G1177" s="7" t="n">
        <v>-79.99</v>
      </c>
      <c r="H1177" s="8" t="n">
        <f aca="false">E1177+F1177+G1177</f>
        <v>0</v>
      </c>
      <c r="I1177" s="9" t="n">
        <f aca="false">IF($H$1182=0,0,H1177/$H$1182)</f>
        <v>0</v>
      </c>
      <c r="J1177" s="10" t="n">
        <f aca="false">IF(C1177&lt;=0,0,H1177/C1177)</f>
        <v>0</v>
      </c>
    </row>
    <row r="1178" customFormat="false" ht="15" hidden="false" customHeight="true" outlineLevel="0" collapsed="false">
      <c r="A1178" s="11" t="n">
        <v>1174</v>
      </c>
      <c r="B1178" s="11" t="s">
        <v>1185</v>
      </c>
      <c r="C1178" s="12" t="n">
        <v>0</v>
      </c>
      <c r="D1178" s="12" t="n">
        <v>2</v>
      </c>
      <c r="E1178" s="13" t="n">
        <v>449.94</v>
      </c>
      <c r="F1178" s="13" t="n">
        <v>0</v>
      </c>
      <c r="G1178" s="13" t="n">
        <v>-449.94</v>
      </c>
      <c r="H1178" s="14" t="n">
        <f aca="false">E1178+F1178+G1178</f>
        <v>0</v>
      </c>
      <c r="I1178" s="15" t="n">
        <f aca="false">IF($H$1182=0,0,H1178/$H$1182)</f>
        <v>0</v>
      </c>
      <c r="J1178" s="16" t="n">
        <f aca="false">IF(C1178&lt;=0,0,H1178/C1178)</f>
        <v>0</v>
      </c>
    </row>
    <row r="1179" customFormat="false" ht="15" hidden="false" customHeight="true" outlineLevel="0" collapsed="false">
      <c r="A1179" s="5" t="n">
        <v>1175</v>
      </c>
      <c r="B1179" s="5" t="s">
        <v>1186</v>
      </c>
      <c r="C1179" s="6" t="n">
        <v>0</v>
      </c>
      <c r="D1179" s="6" t="n">
        <v>1</v>
      </c>
      <c r="E1179" s="7" t="n">
        <v>149.99</v>
      </c>
      <c r="F1179" s="7" t="n">
        <v>0</v>
      </c>
      <c r="G1179" s="7" t="n">
        <v>-149.99</v>
      </c>
      <c r="H1179" s="8" t="n">
        <f aca="false">E1179+F1179+G1179</f>
        <v>0</v>
      </c>
      <c r="I1179" s="9" t="n">
        <f aca="false">IF($H$1182=0,0,H1179/$H$1182)</f>
        <v>0</v>
      </c>
      <c r="J1179" s="10" t="n">
        <f aca="false">IF(C1179&lt;=0,0,H1179/C1179)</f>
        <v>0</v>
      </c>
    </row>
    <row r="1180" customFormat="false" ht="15" hidden="false" customHeight="true" outlineLevel="0" collapsed="false">
      <c r="A1180" s="11" t="n">
        <v>1176</v>
      </c>
      <c r="B1180" s="11" t="s">
        <v>1187</v>
      </c>
      <c r="C1180" s="12" t="n">
        <v>0</v>
      </c>
      <c r="D1180" s="12" t="n">
        <v>1</v>
      </c>
      <c r="E1180" s="13" t="n">
        <v>499.99</v>
      </c>
      <c r="F1180" s="13" t="n">
        <v>0</v>
      </c>
      <c r="G1180" s="13" t="n">
        <v>-499.99</v>
      </c>
      <c r="H1180" s="14" t="n">
        <f aca="false">E1180+F1180+G1180</f>
        <v>0</v>
      </c>
      <c r="I1180" s="15" t="n">
        <f aca="false">IF($H$1182=0,0,H1180/$H$1182)</f>
        <v>0</v>
      </c>
      <c r="J1180" s="16" t="n">
        <f aca="false">IF(C1180&lt;=0,0,H1180/C1180)</f>
        <v>0</v>
      </c>
    </row>
    <row r="1181" customFormat="false" ht="15" hidden="false" customHeight="true" outlineLevel="0" collapsed="false">
      <c r="A1181" s="5" t="n">
        <v>1177</v>
      </c>
      <c r="B1181" s="5" t="s">
        <v>1188</v>
      </c>
      <c r="C1181" s="6" t="n">
        <v>-2</v>
      </c>
      <c r="D1181" s="6" t="n">
        <v>3</v>
      </c>
      <c r="E1181" s="7" t="n">
        <v>160</v>
      </c>
      <c r="F1181" s="7" t="n">
        <v>0</v>
      </c>
      <c r="G1181" s="7" t="n">
        <v>-224</v>
      </c>
      <c r="H1181" s="8" t="n">
        <f aca="false">E1181+F1181+G1181</f>
        <v>-64</v>
      </c>
      <c r="I1181" s="9" t="n">
        <f aca="false">IF($H$1182=0,0,H1181/$H$1182)</f>
        <v>-5.30166001469594E-006</v>
      </c>
      <c r="J1181" s="10" t="n">
        <f aca="false">IF(C1181&lt;=0,0,H1181/C1181)</f>
        <v>0</v>
      </c>
    </row>
    <row r="1182" customFormat="false" ht="15" hidden="false" customHeight="true" outlineLevel="0" collapsed="false">
      <c r="A1182" s="17"/>
      <c r="B1182" s="17" t="s">
        <v>1189</v>
      </c>
      <c r="C1182" s="18" t="n">
        <f aca="false">SUM(C5:C1181)</f>
        <v>84070</v>
      </c>
      <c r="D1182" s="17"/>
      <c r="E1182" s="17" t="n">
        <f aca="false">SUM(E5:E1181)</f>
        <v>13471631.81</v>
      </c>
      <c r="F1182" s="17" t="n">
        <f aca="false">SUM(F5:F1181)</f>
        <v>-222563.04</v>
      </c>
      <c r="G1182" s="17" t="n">
        <f aca="false">SUM(G5:G1181)</f>
        <v>-1177378.05</v>
      </c>
      <c r="H1182" s="17" t="n">
        <f aca="false">SUM(H5:H1181)</f>
        <v>12071690.72</v>
      </c>
      <c r="I1182" s="19" t="n">
        <f aca="false">SUM(I5:I1181)</f>
        <v>1</v>
      </c>
      <c r="J1182" s="17" t="n">
        <f aca="false">IF(C1182&lt;=0,0,H1182/C1182)</f>
        <v>143.59094468895</v>
      </c>
    </row>
  </sheetData>
  <autoFilter ref="A4:J11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0"/>
  </cols>
  <sheetData>
    <row r="1" customFormat="false" ht="15" hidden="false" customHeight="true" outlineLevel="0" collapsed="false">
      <c r="A1" s="20" t="s">
        <v>1190</v>
      </c>
    </row>
    <row r="2" customFormat="false" ht="15" hidden="false" customHeight="true" outlineLevel="0" collapsed="false">
      <c r="A2" s="21" t="s">
        <v>1191</v>
      </c>
      <c r="B2" s="22" t="s">
        <v>1192</v>
      </c>
    </row>
    <row r="3" customFormat="false" ht="15" hidden="false" customHeight="true" outlineLevel="0" collapsed="false">
      <c r="A3" s="21" t="s">
        <v>1193</v>
      </c>
      <c r="B3" s="22" t="s">
        <v>1194</v>
      </c>
    </row>
    <row r="4" customFormat="false" ht="15" hidden="false" customHeight="true" outlineLevel="0" collapsed="false">
      <c r="A4" s="21" t="s">
        <v>1195</v>
      </c>
      <c r="B4" s="22" t="s">
        <v>1196</v>
      </c>
    </row>
    <row r="5" customFormat="false" ht="15" hidden="false" customHeight="true" outlineLevel="0" collapsed="false">
      <c r="A5" s="21" t="s">
        <v>4</v>
      </c>
      <c r="B5" s="22" t="s">
        <v>1197</v>
      </c>
    </row>
    <row r="6" customFormat="false" ht="15" hidden="false" customHeight="true" outlineLevel="0" collapsed="false">
      <c r="A6" s="21" t="s">
        <v>1198</v>
      </c>
      <c r="B6" s="22" t="s">
        <v>1199</v>
      </c>
    </row>
    <row r="7" customFormat="false" ht="15" hidden="false" customHeight="true" outlineLevel="0" collapsed="false">
      <c r="A7" s="21" t="s">
        <v>1200</v>
      </c>
      <c r="B7" s="22" t="s">
        <v>1201</v>
      </c>
    </row>
    <row r="8" customFormat="false" ht="15" hidden="false" customHeight="true" outlineLevel="0" collapsed="false">
      <c r="A8" s="21" t="s">
        <v>1202</v>
      </c>
      <c r="B8" s="22" t="s">
        <v>1203</v>
      </c>
    </row>
    <row r="9" customFormat="false" ht="15" hidden="false" customHeight="true" outlineLevel="0" collapsed="false">
      <c r="A9" s="21" t="s">
        <v>1204</v>
      </c>
      <c r="B9" s="22" t="s">
        <v>1205</v>
      </c>
    </row>
    <row r="10" customFormat="false" ht="15" hidden="false" customHeight="true" outlineLevel="0" collapsed="false">
      <c r="A10" s="21" t="s">
        <v>1206</v>
      </c>
      <c r="B10" s="22" t="s">
        <v>1207</v>
      </c>
    </row>
    <row r="12" customFormat="false" ht="15" hidden="false" customHeight="true" outlineLevel="0" collapsed="false">
      <c r="A12" s="20" t="s">
        <v>1208</v>
      </c>
    </row>
    <row r="13" customFormat="false" ht="15" hidden="false" customHeight="true" outlineLevel="0" collapsed="false">
      <c r="A13" s="21" t="s">
        <v>1209</v>
      </c>
      <c r="B13" s="23" t="n">
        <v>12.5</v>
      </c>
    </row>
    <row r="14" customFormat="false" ht="15" hidden="false" customHeight="true" outlineLevel="0" collapsed="false">
      <c r="A14" s="21" t="s">
        <v>1210</v>
      </c>
      <c r="B14" s="23" t="n">
        <v>14.74</v>
      </c>
    </row>
    <row r="15" customFormat="false" ht="15" hidden="false" customHeight="true" outlineLevel="0" collapsed="false">
      <c r="A15" s="21" t="s">
        <v>1211</v>
      </c>
      <c r="B15" s="24" t="n">
        <f aca="false">B14/B13-1</f>
        <v>0.1792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2026-10-22T16:20:37Z</dcterms:created>
  <dc:creator>openpyxl</dc:creator>
  <dc:description/>
  <dc:language>en-US</dc:language>
  <cp:lastModifiedBy/>
  <dcterms:modified xsi:type="dcterms:W3CDTF">2026-10-22T16:20:46Z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